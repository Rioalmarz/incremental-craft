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c32e6ec4154b9d2f/Desktop/HTML/vs fol/"/>
    </mc:Choice>
  </mc:AlternateContent>
  <xr:revisionPtr revIDLastSave="4" documentId="11_D517FEA30D424F4784409ADF501D0CF7674BCA9E" xr6:coauthVersionLast="47" xr6:coauthVersionMax="47" xr10:uidLastSave="{DF4C229A-B37F-48A1-A132-3E02EC5F5B7E}"/>
  <bookViews>
    <workbookView xWindow="-110" yWindow="-110" windowWidth="19420" windowHeight="11500" tabRatio="500" xr2:uid="{00000000-000D-0000-FFFF-FFFF00000000}"/>
  </bookViews>
  <sheets>
    <sheet name="December 2025 Predic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1240" i="1" l="1"/>
  <c r="V1240" i="1"/>
  <c r="X1240" i="1" s="1"/>
  <c r="U1240" i="1"/>
  <c r="W1239" i="1"/>
  <c r="V1239" i="1"/>
  <c r="X1239" i="1" s="1"/>
  <c r="U1239" i="1"/>
  <c r="Z1239" i="1" s="1"/>
  <c r="W1238" i="1"/>
  <c r="V1238" i="1"/>
  <c r="X1238" i="1" s="1"/>
  <c r="U1238" i="1"/>
  <c r="Z1238" i="1" s="1"/>
  <c r="W1237" i="1"/>
  <c r="V1237" i="1"/>
  <c r="U1237" i="1"/>
  <c r="W1236" i="1"/>
  <c r="V1236" i="1"/>
  <c r="U1236" i="1"/>
  <c r="Y1236" i="1" s="1"/>
  <c r="W1235" i="1"/>
  <c r="X1235" i="1" s="1"/>
  <c r="V1235" i="1"/>
  <c r="U1235" i="1"/>
  <c r="W1234" i="1"/>
  <c r="V1234" i="1"/>
  <c r="X1234" i="1" s="1"/>
  <c r="U1234" i="1"/>
  <c r="W1233" i="1"/>
  <c r="V1233" i="1"/>
  <c r="U1233" i="1"/>
  <c r="W1232" i="1"/>
  <c r="V1232" i="1"/>
  <c r="U1232" i="1"/>
  <c r="W1231" i="1"/>
  <c r="V1231" i="1"/>
  <c r="U1231" i="1"/>
  <c r="Z1231" i="1" s="1"/>
  <c r="W1230" i="1"/>
  <c r="V1230" i="1"/>
  <c r="X1230" i="1" s="1"/>
  <c r="U1230" i="1"/>
  <c r="W1229" i="1"/>
  <c r="V1229" i="1"/>
  <c r="U1229" i="1"/>
  <c r="W1228" i="1"/>
  <c r="V1228" i="1"/>
  <c r="U1228" i="1"/>
  <c r="W1227" i="1"/>
  <c r="V1227" i="1"/>
  <c r="X1227" i="1" s="1"/>
  <c r="U1227" i="1"/>
  <c r="W1226" i="1"/>
  <c r="V1226" i="1"/>
  <c r="U1226" i="1"/>
  <c r="W1225" i="1"/>
  <c r="V1225" i="1"/>
  <c r="U1225" i="1"/>
  <c r="W1224" i="1"/>
  <c r="V1224" i="1"/>
  <c r="U1224" i="1"/>
  <c r="W1223" i="1"/>
  <c r="V1223" i="1"/>
  <c r="U1223" i="1"/>
  <c r="W1222" i="1"/>
  <c r="V1222" i="1"/>
  <c r="U1222" i="1"/>
  <c r="W1221" i="1"/>
  <c r="V1221" i="1"/>
  <c r="X1221" i="1" s="1"/>
  <c r="U1221" i="1"/>
  <c r="W1220" i="1"/>
  <c r="V1220" i="1"/>
  <c r="U1220" i="1"/>
  <c r="W1219" i="1"/>
  <c r="V1219" i="1"/>
  <c r="X1219" i="1" s="1"/>
  <c r="U1219" i="1"/>
  <c r="Z1218" i="1"/>
  <c r="W1218" i="1"/>
  <c r="V1218" i="1"/>
  <c r="U1218" i="1"/>
  <c r="Y1218" i="1" s="1"/>
  <c r="W1217" i="1"/>
  <c r="V1217" i="1"/>
  <c r="U1217" i="1"/>
  <c r="W1216" i="1"/>
  <c r="V1216" i="1"/>
  <c r="U1216" i="1"/>
  <c r="W1215" i="1"/>
  <c r="V1215" i="1"/>
  <c r="X1215" i="1" s="1"/>
  <c r="U1215" i="1"/>
  <c r="W1214" i="1"/>
  <c r="V1214" i="1"/>
  <c r="X1214" i="1" s="1"/>
  <c r="U1214" i="1"/>
  <c r="W1213" i="1"/>
  <c r="V1213" i="1"/>
  <c r="U1213" i="1"/>
  <c r="W1212" i="1"/>
  <c r="V1212" i="1"/>
  <c r="U1212" i="1"/>
  <c r="Y1212" i="1" s="1"/>
  <c r="W1211" i="1"/>
  <c r="V1211" i="1"/>
  <c r="U1211" i="1"/>
  <c r="W1210" i="1"/>
  <c r="V1210" i="1"/>
  <c r="X1210" i="1" s="1"/>
  <c r="U1210" i="1"/>
  <c r="Y1209" i="1"/>
  <c r="W1209" i="1"/>
  <c r="V1209" i="1"/>
  <c r="U1209" i="1"/>
  <c r="Z1209" i="1" s="1"/>
  <c r="W1208" i="1"/>
  <c r="V1208" i="1"/>
  <c r="U1208" i="1"/>
  <c r="W1207" i="1"/>
  <c r="V1207" i="1"/>
  <c r="U1207" i="1"/>
  <c r="Y1206" i="1"/>
  <c r="X1206" i="1"/>
  <c r="W1206" i="1"/>
  <c r="V1206" i="1"/>
  <c r="U1206" i="1"/>
  <c r="Z1206" i="1" s="1"/>
  <c r="W1205" i="1"/>
  <c r="V1205" i="1"/>
  <c r="X1205" i="1" s="1"/>
  <c r="U1205" i="1"/>
  <c r="W1204" i="1"/>
  <c r="V1204" i="1"/>
  <c r="U1204" i="1"/>
  <c r="W1203" i="1"/>
  <c r="V1203" i="1"/>
  <c r="X1203" i="1" s="1"/>
  <c r="U1203" i="1"/>
  <c r="Z1202" i="1"/>
  <c r="Y1202" i="1"/>
  <c r="W1202" i="1"/>
  <c r="V1202" i="1"/>
  <c r="U1202" i="1"/>
  <c r="W1201" i="1"/>
  <c r="V1201" i="1"/>
  <c r="X1201" i="1" s="1"/>
  <c r="U1201" i="1"/>
  <c r="Z1200" i="1"/>
  <c r="W1200" i="1"/>
  <c r="V1200" i="1"/>
  <c r="U1200" i="1"/>
  <c r="Y1200" i="1" s="1"/>
  <c r="W1199" i="1"/>
  <c r="V1199" i="1"/>
  <c r="U1199" i="1"/>
  <c r="Y1198" i="1"/>
  <c r="W1198" i="1"/>
  <c r="V1198" i="1"/>
  <c r="U1198" i="1"/>
  <c r="Z1198" i="1" s="1"/>
  <c r="W1197" i="1"/>
  <c r="V1197" i="1"/>
  <c r="U1197" i="1"/>
  <c r="W1196" i="1"/>
  <c r="V1196" i="1"/>
  <c r="X1196" i="1" s="1"/>
  <c r="U1196" i="1"/>
  <c r="W1195" i="1"/>
  <c r="V1195" i="1"/>
  <c r="U1195" i="1"/>
  <c r="W1194" i="1"/>
  <c r="V1194" i="1"/>
  <c r="U1194" i="1"/>
  <c r="W1193" i="1"/>
  <c r="V1193" i="1"/>
  <c r="U1193" i="1"/>
  <c r="W1192" i="1"/>
  <c r="V1192" i="1"/>
  <c r="U1192" i="1"/>
  <c r="W1191" i="1"/>
  <c r="V1191" i="1"/>
  <c r="U1191" i="1"/>
  <c r="W1190" i="1"/>
  <c r="V1190" i="1"/>
  <c r="U1190" i="1"/>
  <c r="W1189" i="1"/>
  <c r="V1189" i="1"/>
  <c r="X1189" i="1" s="1"/>
  <c r="U1189" i="1"/>
  <c r="Z1189" i="1" s="1"/>
  <c r="W1188" i="1"/>
  <c r="V1188" i="1"/>
  <c r="U1188" i="1"/>
  <c r="W1187" i="1"/>
  <c r="V1187" i="1"/>
  <c r="U1187" i="1"/>
  <c r="W1186" i="1"/>
  <c r="V1186" i="1"/>
  <c r="U1186" i="1"/>
  <c r="W1185" i="1"/>
  <c r="V1185" i="1"/>
  <c r="U1185" i="1"/>
  <c r="Z1185" i="1" s="1"/>
  <c r="W1184" i="1"/>
  <c r="V1184" i="1"/>
  <c r="U1184" i="1"/>
  <c r="W1183" i="1"/>
  <c r="V1183" i="1"/>
  <c r="X1183" i="1" s="1"/>
  <c r="U1183" i="1"/>
  <c r="W1182" i="1"/>
  <c r="V1182" i="1"/>
  <c r="U1182" i="1"/>
  <c r="W1181" i="1"/>
  <c r="V1181" i="1"/>
  <c r="U1181" i="1"/>
  <c r="W1180" i="1"/>
  <c r="V1180" i="1"/>
  <c r="U1180" i="1"/>
  <c r="W1179" i="1"/>
  <c r="V1179" i="1"/>
  <c r="X1179" i="1" s="1"/>
  <c r="U1179" i="1"/>
  <c r="W1178" i="1"/>
  <c r="V1178" i="1"/>
  <c r="X1178" i="1" s="1"/>
  <c r="U1178" i="1"/>
  <c r="W1177" i="1"/>
  <c r="V1177" i="1"/>
  <c r="X1177" i="1" s="1"/>
  <c r="U1177" i="1"/>
  <c r="Z1177" i="1" s="1"/>
  <c r="W1176" i="1"/>
  <c r="V1176" i="1"/>
  <c r="U1176" i="1"/>
  <c r="Z1175" i="1"/>
  <c r="W1175" i="1"/>
  <c r="V1175" i="1"/>
  <c r="U1175" i="1"/>
  <c r="Y1175" i="1" s="1"/>
  <c r="W1174" i="1"/>
  <c r="V1174" i="1"/>
  <c r="X1174" i="1" s="1"/>
  <c r="U1174" i="1"/>
  <c r="W1173" i="1"/>
  <c r="V1173" i="1"/>
  <c r="U1173" i="1"/>
  <c r="W1172" i="1"/>
  <c r="V1172" i="1"/>
  <c r="X1172" i="1" s="1"/>
  <c r="U1172" i="1"/>
  <c r="W1171" i="1"/>
  <c r="V1171" i="1"/>
  <c r="U1171" i="1"/>
  <c r="W1170" i="1"/>
  <c r="V1170" i="1"/>
  <c r="U1170" i="1"/>
  <c r="W1169" i="1"/>
  <c r="V1169" i="1"/>
  <c r="X1169" i="1" s="1"/>
  <c r="U1169" i="1"/>
  <c r="W1168" i="1"/>
  <c r="V1168" i="1"/>
  <c r="X1168" i="1" s="1"/>
  <c r="U1168" i="1"/>
  <c r="W1167" i="1"/>
  <c r="V1167" i="1"/>
  <c r="U1167" i="1"/>
  <c r="W1166" i="1"/>
  <c r="V1166" i="1"/>
  <c r="U1166" i="1"/>
  <c r="W1165" i="1"/>
  <c r="V1165" i="1"/>
  <c r="U1165" i="1"/>
  <c r="W1164" i="1"/>
  <c r="V1164" i="1"/>
  <c r="U1164" i="1"/>
  <c r="W1163" i="1"/>
  <c r="V1163" i="1"/>
  <c r="X1163" i="1" s="1"/>
  <c r="U1163" i="1"/>
  <c r="W1162" i="1"/>
  <c r="V1162" i="1"/>
  <c r="U1162" i="1"/>
  <c r="W1161" i="1"/>
  <c r="V1161" i="1"/>
  <c r="U1161" i="1"/>
  <c r="W1160" i="1"/>
  <c r="V1160" i="1"/>
  <c r="X1160" i="1" s="1"/>
  <c r="U1160" i="1"/>
  <c r="W1159" i="1"/>
  <c r="V1159" i="1"/>
  <c r="X1159" i="1" s="1"/>
  <c r="U1159" i="1"/>
  <c r="Z1158" i="1"/>
  <c r="W1158" i="1"/>
  <c r="V1158" i="1"/>
  <c r="U1158" i="1"/>
  <c r="Y1158" i="1" s="1"/>
  <c r="W1157" i="1"/>
  <c r="V1157" i="1"/>
  <c r="X1157" i="1" s="1"/>
  <c r="U1157" i="1"/>
  <c r="W1156" i="1"/>
  <c r="V1156" i="1"/>
  <c r="U1156" i="1"/>
  <c r="W1155" i="1"/>
  <c r="V1155" i="1"/>
  <c r="X1155" i="1" s="1"/>
  <c r="U1155" i="1"/>
  <c r="W1154" i="1"/>
  <c r="V1154" i="1"/>
  <c r="X1154" i="1" s="1"/>
  <c r="U1154" i="1"/>
  <c r="W1153" i="1"/>
  <c r="V1153" i="1"/>
  <c r="U1153" i="1"/>
  <c r="W1152" i="1"/>
  <c r="V1152" i="1"/>
  <c r="X1152" i="1" s="1"/>
  <c r="U1152" i="1"/>
  <c r="Z1151" i="1"/>
  <c r="W1151" i="1"/>
  <c r="V1151" i="1"/>
  <c r="U1151" i="1"/>
  <c r="Y1151" i="1" s="1"/>
  <c r="W1150" i="1"/>
  <c r="V1150" i="1"/>
  <c r="X1150" i="1" s="1"/>
  <c r="U1150" i="1"/>
  <c r="W1149" i="1"/>
  <c r="V1149" i="1"/>
  <c r="U1149" i="1"/>
  <c r="W1148" i="1"/>
  <c r="V1148" i="1"/>
  <c r="U1148" i="1"/>
  <c r="W1147" i="1"/>
  <c r="V1147" i="1"/>
  <c r="U1147" i="1"/>
  <c r="W1146" i="1"/>
  <c r="V1146" i="1"/>
  <c r="U1146" i="1"/>
  <c r="W1145" i="1"/>
  <c r="V1145" i="1"/>
  <c r="U1145" i="1"/>
  <c r="W1144" i="1"/>
  <c r="V1144" i="1"/>
  <c r="U1144" i="1"/>
  <c r="W1143" i="1"/>
  <c r="V1143" i="1"/>
  <c r="X1143" i="1" s="1"/>
  <c r="U1143" i="1"/>
  <c r="W1142" i="1"/>
  <c r="V1142" i="1"/>
  <c r="U1142" i="1"/>
  <c r="W1141" i="1"/>
  <c r="V1141" i="1"/>
  <c r="U1141" i="1"/>
  <c r="W1140" i="1"/>
  <c r="V1140" i="1"/>
  <c r="X1140" i="1" s="1"/>
  <c r="U1140" i="1"/>
  <c r="W1139" i="1"/>
  <c r="V1139" i="1"/>
  <c r="U1139" i="1"/>
  <c r="W1138" i="1"/>
  <c r="V1138" i="1"/>
  <c r="U1138" i="1"/>
  <c r="W1137" i="1"/>
  <c r="V1137" i="1"/>
  <c r="U1137" i="1"/>
  <c r="W1136" i="1"/>
  <c r="V1136" i="1"/>
  <c r="U1136" i="1"/>
  <c r="W1135" i="1"/>
  <c r="V1135" i="1"/>
  <c r="U1135" i="1"/>
  <c r="W1134" i="1"/>
  <c r="V1134" i="1"/>
  <c r="U1134" i="1"/>
  <c r="W1133" i="1"/>
  <c r="V1133" i="1"/>
  <c r="U1133" i="1"/>
  <c r="W1132" i="1"/>
  <c r="V1132" i="1"/>
  <c r="X1132" i="1" s="1"/>
  <c r="U1132" i="1"/>
  <c r="W1131" i="1"/>
  <c r="V1131" i="1"/>
  <c r="U1131" i="1"/>
  <c r="W1130" i="1"/>
  <c r="V1130" i="1"/>
  <c r="U1130" i="1"/>
  <c r="Z1130" i="1" s="1"/>
  <c r="W1129" i="1"/>
  <c r="V1129" i="1"/>
  <c r="U1129" i="1"/>
  <c r="W1128" i="1"/>
  <c r="V1128" i="1"/>
  <c r="X1128" i="1" s="1"/>
  <c r="U1128" i="1"/>
  <c r="W1127" i="1"/>
  <c r="V1127" i="1"/>
  <c r="U1127" i="1"/>
  <c r="W1126" i="1"/>
  <c r="V1126" i="1"/>
  <c r="U1126" i="1"/>
  <c r="W1125" i="1"/>
  <c r="V1125" i="1"/>
  <c r="X1125" i="1" s="1"/>
  <c r="U1125" i="1"/>
  <c r="W1124" i="1"/>
  <c r="V1124" i="1"/>
  <c r="U1124" i="1"/>
  <c r="Y1124" i="1" s="1"/>
  <c r="W1123" i="1"/>
  <c r="V1123" i="1"/>
  <c r="X1123" i="1" s="1"/>
  <c r="U1123" i="1"/>
  <c r="Z1122" i="1"/>
  <c r="Y1122" i="1"/>
  <c r="W1122" i="1"/>
  <c r="V1122" i="1"/>
  <c r="U1122" i="1"/>
  <c r="W1121" i="1"/>
  <c r="V1121" i="1"/>
  <c r="U1121" i="1"/>
  <c r="W1120" i="1"/>
  <c r="V1120" i="1"/>
  <c r="U1120" i="1"/>
  <c r="W1119" i="1"/>
  <c r="V1119" i="1"/>
  <c r="U1119" i="1"/>
  <c r="W1118" i="1"/>
  <c r="V1118" i="1"/>
  <c r="U1118" i="1"/>
  <c r="W1117" i="1"/>
  <c r="V1117" i="1"/>
  <c r="U1117" i="1"/>
  <c r="W1116" i="1"/>
  <c r="V1116" i="1"/>
  <c r="U1116" i="1"/>
  <c r="W1115" i="1"/>
  <c r="V1115" i="1"/>
  <c r="U1115" i="1"/>
  <c r="W1114" i="1"/>
  <c r="V1114" i="1"/>
  <c r="U1114" i="1"/>
  <c r="W1113" i="1"/>
  <c r="V1113" i="1"/>
  <c r="U1113" i="1"/>
  <c r="W1112" i="1"/>
  <c r="V1112" i="1"/>
  <c r="X1112" i="1" s="1"/>
  <c r="U1112" i="1"/>
  <c r="W1111" i="1"/>
  <c r="V1111" i="1"/>
  <c r="U1111" i="1"/>
  <c r="W1110" i="1"/>
  <c r="V1110" i="1"/>
  <c r="X1110" i="1" s="1"/>
  <c r="U1110" i="1"/>
  <c r="W1109" i="1"/>
  <c r="V1109" i="1"/>
  <c r="U1109" i="1"/>
  <c r="W1108" i="1"/>
  <c r="V1108" i="1"/>
  <c r="U1108" i="1"/>
  <c r="W1107" i="1"/>
  <c r="V1107" i="1"/>
  <c r="X1107" i="1" s="1"/>
  <c r="U1107" i="1"/>
  <c r="W1106" i="1"/>
  <c r="V1106" i="1"/>
  <c r="U1106" i="1"/>
  <c r="W1105" i="1"/>
  <c r="V1105" i="1"/>
  <c r="X1105" i="1" s="1"/>
  <c r="U1105" i="1"/>
  <c r="W1104" i="1"/>
  <c r="V1104" i="1"/>
  <c r="X1104" i="1" s="1"/>
  <c r="U1104" i="1"/>
  <c r="W1103" i="1"/>
  <c r="V1103" i="1"/>
  <c r="X1103" i="1" s="1"/>
  <c r="U1103" i="1"/>
  <c r="W1102" i="1"/>
  <c r="V1102" i="1"/>
  <c r="U1102" i="1"/>
  <c r="W1101" i="1"/>
  <c r="V1101" i="1"/>
  <c r="U1101" i="1"/>
  <c r="W1100" i="1"/>
  <c r="V1100" i="1"/>
  <c r="U1100" i="1"/>
  <c r="W1099" i="1"/>
  <c r="V1099" i="1"/>
  <c r="U1099" i="1"/>
  <c r="W1098" i="1"/>
  <c r="V1098" i="1"/>
  <c r="U1098" i="1"/>
  <c r="Z1098" i="1" s="1"/>
  <c r="W1097" i="1"/>
  <c r="X1097" i="1" s="1"/>
  <c r="V1097" i="1"/>
  <c r="U1097" i="1"/>
  <c r="Z1096" i="1"/>
  <c r="W1096" i="1"/>
  <c r="V1096" i="1"/>
  <c r="U1096" i="1"/>
  <c r="Y1096" i="1" s="1"/>
  <c r="W1095" i="1"/>
  <c r="V1095" i="1"/>
  <c r="U1095" i="1"/>
  <c r="Y1095" i="1" s="1"/>
  <c r="W1094" i="1"/>
  <c r="V1094" i="1"/>
  <c r="U1094" i="1"/>
  <c r="W1093" i="1"/>
  <c r="V1093" i="1"/>
  <c r="U1093" i="1"/>
  <c r="W1092" i="1"/>
  <c r="V1092" i="1"/>
  <c r="U1092" i="1"/>
  <c r="W1091" i="1"/>
  <c r="X1091" i="1" s="1"/>
  <c r="V1091" i="1"/>
  <c r="U1091" i="1"/>
  <c r="W1090" i="1"/>
  <c r="V1090" i="1"/>
  <c r="U1090" i="1"/>
  <c r="Z1090" i="1" s="1"/>
  <c r="W1089" i="1"/>
  <c r="V1089" i="1"/>
  <c r="U1089" i="1"/>
  <c r="W1088" i="1"/>
  <c r="V1088" i="1"/>
  <c r="U1088" i="1"/>
  <c r="W1087" i="1"/>
  <c r="V1087" i="1"/>
  <c r="U1087" i="1"/>
  <c r="W1086" i="1"/>
  <c r="V1086" i="1"/>
  <c r="U1086" i="1"/>
  <c r="W1085" i="1"/>
  <c r="V1085" i="1"/>
  <c r="U1085" i="1"/>
  <c r="W1084" i="1"/>
  <c r="V1084" i="1"/>
  <c r="U1084" i="1"/>
  <c r="W1083" i="1"/>
  <c r="V1083" i="1"/>
  <c r="U1083" i="1"/>
  <c r="W1082" i="1"/>
  <c r="V1082" i="1"/>
  <c r="X1082" i="1" s="1"/>
  <c r="U1082" i="1"/>
  <c r="W1081" i="1"/>
  <c r="V1081" i="1"/>
  <c r="X1081" i="1" s="1"/>
  <c r="U1081" i="1"/>
  <c r="W1080" i="1"/>
  <c r="V1080" i="1"/>
  <c r="U1080" i="1"/>
  <c r="Y1080" i="1" s="1"/>
  <c r="W1079" i="1"/>
  <c r="V1079" i="1"/>
  <c r="U1079" i="1"/>
  <c r="W1078" i="1"/>
  <c r="V1078" i="1"/>
  <c r="U1078" i="1"/>
  <c r="W1077" i="1"/>
  <c r="V1077" i="1"/>
  <c r="U1077" i="1"/>
  <c r="W1076" i="1"/>
  <c r="V1076" i="1"/>
  <c r="U1076" i="1"/>
  <c r="X1075" i="1"/>
  <c r="W1075" i="1"/>
  <c r="V1075" i="1"/>
  <c r="U1075" i="1"/>
  <c r="W1074" i="1"/>
  <c r="V1074" i="1"/>
  <c r="X1074" i="1" s="1"/>
  <c r="U1074" i="1"/>
  <c r="Z1074" i="1" s="1"/>
  <c r="W1073" i="1"/>
  <c r="V1073" i="1"/>
  <c r="U1073" i="1"/>
  <c r="W1072" i="1"/>
  <c r="V1072" i="1"/>
  <c r="U1072" i="1"/>
  <c r="W1071" i="1"/>
  <c r="V1071" i="1"/>
  <c r="U1071" i="1"/>
  <c r="W1070" i="1"/>
  <c r="V1070" i="1"/>
  <c r="U1070" i="1"/>
  <c r="W1069" i="1"/>
  <c r="V1069" i="1"/>
  <c r="U1069" i="1"/>
  <c r="W1068" i="1"/>
  <c r="V1068" i="1"/>
  <c r="U1068" i="1"/>
  <c r="W1067" i="1"/>
  <c r="V1067" i="1"/>
  <c r="X1067" i="1" s="1"/>
  <c r="U1067" i="1"/>
  <c r="W1066" i="1"/>
  <c r="V1066" i="1"/>
  <c r="U1066" i="1"/>
  <c r="Z1066" i="1" s="1"/>
  <c r="W1065" i="1"/>
  <c r="V1065" i="1"/>
  <c r="U1065" i="1"/>
  <c r="W1064" i="1"/>
  <c r="V1064" i="1"/>
  <c r="U1064" i="1"/>
  <c r="W1063" i="1"/>
  <c r="V1063" i="1"/>
  <c r="X1063" i="1" s="1"/>
  <c r="U1063" i="1"/>
  <c r="W1062" i="1"/>
  <c r="V1062" i="1"/>
  <c r="U1062" i="1"/>
  <c r="W1061" i="1"/>
  <c r="V1061" i="1"/>
  <c r="U1061" i="1"/>
  <c r="W1060" i="1"/>
  <c r="V1060" i="1"/>
  <c r="U1060" i="1"/>
  <c r="W1059" i="1"/>
  <c r="V1059" i="1"/>
  <c r="U1059" i="1"/>
  <c r="W1058" i="1"/>
  <c r="V1058" i="1"/>
  <c r="U1058" i="1"/>
  <c r="W1057" i="1"/>
  <c r="V1057" i="1"/>
  <c r="U1057" i="1"/>
  <c r="W1056" i="1"/>
  <c r="V1056" i="1"/>
  <c r="X1056" i="1" s="1"/>
  <c r="U1056" i="1"/>
  <c r="W1055" i="1"/>
  <c r="X1055" i="1" s="1"/>
  <c r="V1055" i="1"/>
  <c r="U1055" i="1"/>
  <c r="W1054" i="1"/>
  <c r="V1054" i="1"/>
  <c r="U1054" i="1"/>
  <c r="Z1053" i="1"/>
  <c r="W1053" i="1"/>
  <c r="X1053" i="1" s="1"/>
  <c r="V1053" i="1"/>
  <c r="U1053" i="1"/>
  <c r="Y1053" i="1" s="1"/>
  <c r="W1052" i="1"/>
  <c r="V1052" i="1"/>
  <c r="U1052" i="1"/>
  <c r="W1051" i="1"/>
  <c r="V1051" i="1"/>
  <c r="U1051" i="1"/>
  <c r="W1050" i="1"/>
  <c r="V1050" i="1"/>
  <c r="U1050" i="1"/>
  <c r="W1049" i="1"/>
  <c r="V1049" i="1"/>
  <c r="U1049" i="1"/>
  <c r="Z1049" i="1" s="1"/>
  <c r="W1048" i="1"/>
  <c r="V1048" i="1"/>
  <c r="U1048" i="1"/>
  <c r="W1047" i="1"/>
  <c r="V1047" i="1"/>
  <c r="U1047" i="1"/>
  <c r="Z1046" i="1"/>
  <c r="W1046" i="1"/>
  <c r="V1046" i="1"/>
  <c r="U1046" i="1"/>
  <c r="Y1046" i="1" s="1"/>
  <c r="W1045" i="1"/>
  <c r="V1045" i="1"/>
  <c r="U1045" i="1"/>
  <c r="W1044" i="1"/>
  <c r="V1044" i="1"/>
  <c r="U1044" i="1"/>
  <c r="W1043" i="1"/>
  <c r="V1043" i="1"/>
  <c r="U1043" i="1"/>
  <c r="W1042" i="1"/>
  <c r="V1042" i="1"/>
  <c r="U1042" i="1"/>
  <c r="W1041" i="1"/>
  <c r="V1041" i="1"/>
  <c r="X1041" i="1" s="1"/>
  <c r="U1041" i="1"/>
  <c r="W1040" i="1"/>
  <c r="V1040" i="1"/>
  <c r="U1040" i="1"/>
  <c r="W1039" i="1"/>
  <c r="V1039" i="1"/>
  <c r="U1039" i="1"/>
  <c r="W1038" i="1"/>
  <c r="V1038" i="1"/>
  <c r="X1038" i="1" s="1"/>
  <c r="U1038" i="1"/>
  <c r="W1037" i="1"/>
  <c r="V1037" i="1"/>
  <c r="U1037" i="1"/>
  <c r="W1036" i="1"/>
  <c r="V1036" i="1"/>
  <c r="U1036" i="1"/>
  <c r="W1035" i="1"/>
  <c r="V1035" i="1"/>
  <c r="X1035" i="1" s="1"/>
  <c r="U1035" i="1"/>
  <c r="W1034" i="1"/>
  <c r="V1034" i="1"/>
  <c r="X1034" i="1" s="1"/>
  <c r="U1034" i="1"/>
  <c r="Z1033" i="1"/>
  <c r="W1033" i="1"/>
  <c r="V1033" i="1"/>
  <c r="U1033" i="1"/>
  <c r="Y1033" i="1" s="1"/>
  <c r="W1032" i="1"/>
  <c r="V1032" i="1"/>
  <c r="X1032" i="1" s="1"/>
  <c r="U1032" i="1"/>
  <c r="W1031" i="1"/>
  <c r="V1031" i="1"/>
  <c r="X1031" i="1" s="1"/>
  <c r="U1031" i="1"/>
  <c r="W1030" i="1"/>
  <c r="V1030" i="1"/>
  <c r="U1030" i="1"/>
  <c r="W1029" i="1"/>
  <c r="V1029" i="1"/>
  <c r="U1029" i="1"/>
  <c r="W1028" i="1"/>
  <c r="V1028" i="1"/>
  <c r="U1028" i="1"/>
  <c r="Y1028" i="1" s="1"/>
  <c r="W1027" i="1"/>
  <c r="V1027" i="1"/>
  <c r="X1027" i="1" s="1"/>
  <c r="U1027" i="1"/>
  <c r="W1026" i="1"/>
  <c r="V1026" i="1"/>
  <c r="U1026" i="1"/>
  <c r="Y1026" i="1" s="1"/>
  <c r="W1025" i="1"/>
  <c r="V1025" i="1"/>
  <c r="U1025" i="1"/>
  <c r="W1024" i="1"/>
  <c r="V1024" i="1"/>
  <c r="U1024" i="1"/>
  <c r="W1023" i="1"/>
  <c r="V1023" i="1"/>
  <c r="U1023" i="1"/>
  <c r="Y1022" i="1"/>
  <c r="W1022" i="1"/>
  <c r="V1022" i="1"/>
  <c r="U1022" i="1"/>
  <c r="Z1022" i="1" s="1"/>
  <c r="W1021" i="1"/>
  <c r="V1021" i="1"/>
  <c r="U1021" i="1"/>
  <c r="Z1020" i="1"/>
  <c r="Y1020" i="1"/>
  <c r="W1020" i="1"/>
  <c r="V1020" i="1"/>
  <c r="U1020" i="1"/>
  <c r="W1019" i="1"/>
  <c r="V1019" i="1"/>
  <c r="U1019" i="1"/>
  <c r="W1018" i="1"/>
  <c r="V1018" i="1"/>
  <c r="U1018" i="1"/>
  <c r="W1017" i="1"/>
  <c r="V1017" i="1"/>
  <c r="U1017" i="1"/>
  <c r="W1016" i="1"/>
  <c r="V1016" i="1"/>
  <c r="U1016" i="1"/>
  <c r="Z1016" i="1" s="1"/>
  <c r="W1015" i="1"/>
  <c r="V1015" i="1"/>
  <c r="U1015" i="1"/>
  <c r="W1014" i="1"/>
  <c r="V1014" i="1"/>
  <c r="U1014" i="1"/>
  <c r="W1013" i="1"/>
  <c r="V1013" i="1"/>
  <c r="U1013" i="1"/>
  <c r="W1012" i="1"/>
  <c r="V1012" i="1"/>
  <c r="U1012" i="1"/>
  <c r="W1011" i="1"/>
  <c r="V1011" i="1"/>
  <c r="U1011" i="1"/>
  <c r="W1010" i="1"/>
  <c r="V1010" i="1"/>
  <c r="U1010" i="1"/>
  <c r="W1009" i="1"/>
  <c r="V1009" i="1"/>
  <c r="U1009" i="1"/>
  <c r="W1008" i="1"/>
  <c r="V1008" i="1"/>
  <c r="U1008" i="1"/>
  <c r="W1007" i="1"/>
  <c r="V1007" i="1"/>
  <c r="U1007" i="1"/>
  <c r="W1006" i="1"/>
  <c r="V1006" i="1"/>
  <c r="X1006" i="1" s="1"/>
  <c r="U1006" i="1"/>
  <c r="W1005" i="1"/>
  <c r="V1005" i="1"/>
  <c r="U1005" i="1"/>
  <c r="W1004" i="1"/>
  <c r="V1004" i="1"/>
  <c r="U1004" i="1"/>
  <c r="W1003" i="1"/>
  <c r="V1003" i="1"/>
  <c r="U1003" i="1"/>
  <c r="W1002" i="1"/>
  <c r="V1002" i="1"/>
  <c r="U1002" i="1"/>
  <c r="W1001" i="1"/>
  <c r="V1001" i="1"/>
  <c r="U1001" i="1"/>
  <c r="Z1000" i="1"/>
  <c r="Y1000" i="1"/>
  <c r="W1000" i="1"/>
  <c r="V1000" i="1"/>
  <c r="U1000" i="1"/>
  <c r="W999" i="1"/>
  <c r="V999" i="1"/>
  <c r="U999" i="1"/>
  <c r="W998" i="1"/>
  <c r="V998" i="1"/>
  <c r="U998" i="1"/>
  <c r="W997" i="1"/>
  <c r="V997" i="1"/>
  <c r="X997" i="1" s="1"/>
  <c r="U997" i="1"/>
  <c r="W996" i="1"/>
  <c r="V996" i="1"/>
  <c r="U996" i="1"/>
  <c r="Z996" i="1" s="1"/>
  <c r="W995" i="1"/>
  <c r="V995" i="1"/>
  <c r="U995" i="1"/>
  <c r="W994" i="1"/>
  <c r="V994" i="1"/>
  <c r="U994" i="1"/>
  <c r="Z994" i="1" s="1"/>
  <c r="W993" i="1"/>
  <c r="V993" i="1"/>
  <c r="U993" i="1"/>
  <c r="W992" i="1"/>
  <c r="V992" i="1"/>
  <c r="U992" i="1"/>
  <c r="W991" i="1"/>
  <c r="V991" i="1"/>
  <c r="X991" i="1" s="1"/>
  <c r="U991" i="1"/>
  <c r="W990" i="1"/>
  <c r="V990" i="1"/>
  <c r="U990" i="1"/>
  <c r="W989" i="1"/>
  <c r="V989" i="1"/>
  <c r="U989" i="1"/>
  <c r="Z988" i="1"/>
  <c r="W988" i="1"/>
  <c r="V988" i="1"/>
  <c r="X988" i="1" s="1"/>
  <c r="U988" i="1"/>
  <c r="Y988" i="1" s="1"/>
  <c r="W987" i="1"/>
  <c r="V987" i="1"/>
  <c r="X987" i="1" s="1"/>
  <c r="U987" i="1"/>
  <c r="W986" i="1"/>
  <c r="V986" i="1"/>
  <c r="U986" i="1"/>
  <c r="W985" i="1"/>
  <c r="V985" i="1"/>
  <c r="U985" i="1"/>
  <c r="W984" i="1"/>
  <c r="V984" i="1"/>
  <c r="U984" i="1"/>
  <c r="W983" i="1"/>
  <c r="V983" i="1"/>
  <c r="U983" i="1"/>
  <c r="W982" i="1"/>
  <c r="V982" i="1"/>
  <c r="U982" i="1"/>
  <c r="W981" i="1"/>
  <c r="V981" i="1"/>
  <c r="U981" i="1"/>
  <c r="W980" i="1"/>
  <c r="V980" i="1"/>
  <c r="U980" i="1"/>
  <c r="W979" i="1"/>
  <c r="V979" i="1"/>
  <c r="U979" i="1"/>
  <c r="Z978" i="1"/>
  <c r="W978" i="1"/>
  <c r="V978" i="1"/>
  <c r="U978" i="1"/>
  <c r="Y978" i="1" s="1"/>
  <c r="W977" i="1"/>
  <c r="V977" i="1"/>
  <c r="U977" i="1"/>
  <c r="Z977" i="1" s="1"/>
  <c r="W976" i="1"/>
  <c r="V976" i="1"/>
  <c r="U976" i="1"/>
  <c r="Y976" i="1" s="1"/>
  <c r="W975" i="1"/>
  <c r="V975" i="1"/>
  <c r="U975" i="1"/>
  <c r="Y974" i="1"/>
  <c r="W974" i="1"/>
  <c r="V974" i="1"/>
  <c r="U974" i="1"/>
  <c r="Z974" i="1" s="1"/>
  <c r="W973" i="1"/>
  <c r="V973" i="1"/>
  <c r="U973" i="1"/>
  <c r="W972" i="1"/>
  <c r="V972" i="1"/>
  <c r="U972" i="1"/>
  <c r="X971" i="1"/>
  <c r="W971" i="1"/>
  <c r="V971" i="1"/>
  <c r="U971" i="1"/>
  <c r="W970" i="1"/>
  <c r="V970" i="1"/>
  <c r="X970" i="1" s="1"/>
  <c r="U970" i="1"/>
  <c r="W969" i="1"/>
  <c r="V969" i="1"/>
  <c r="U969" i="1"/>
  <c r="W968" i="1"/>
  <c r="V968" i="1"/>
  <c r="U968" i="1"/>
  <c r="W967" i="1"/>
  <c r="V967" i="1"/>
  <c r="U967" i="1"/>
  <c r="W966" i="1"/>
  <c r="V966" i="1"/>
  <c r="U966" i="1"/>
  <c r="W965" i="1"/>
  <c r="V965" i="1"/>
  <c r="U965" i="1"/>
  <c r="Z964" i="1"/>
  <c r="W964" i="1"/>
  <c r="V964" i="1"/>
  <c r="U964" i="1"/>
  <c r="Y964" i="1" s="1"/>
  <c r="W963" i="1"/>
  <c r="V963" i="1"/>
  <c r="U963" i="1"/>
  <c r="Y963" i="1" s="1"/>
  <c r="W962" i="1"/>
  <c r="V962" i="1"/>
  <c r="U962" i="1"/>
  <c r="W961" i="1"/>
  <c r="V961" i="1"/>
  <c r="U961" i="1"/>
  <c r="Z961" i="1" s="1"/>
  <c r="W960" i="1"/>
  <c r="V960" i="1"/>
  <c r="U960" i="1"/>
  <c r="W959" i="1"/>
  <c r="V959" i="1"/>
  <c r="U959" i="1"/>
  <c r="W958" i="1"/>
  <c r="V958" i="1"/>
  <c r="U958" i="1"/>
  <c r="W957" i="1"/>
  <c r="V957" i="1"/>
  <c r="U957" i="1"/>
  <c r="W956" i="1"/>
  <c r="V956" i="1"/>
  <c r="X956" i="1" s="1"/>
  <c r="U956" i="1"/>
  <c r="W955" i="1"/>
  <c r="V955" i="1"/>
  <c r="X955" i="1" s="1"/>
  <c r="U955" i="1"/>
  <c r="W954" i="1"/>
  <c r="V954" i="1"/>
  <c r="U954" i="1"/>
  <c r="W953" i="1"/>
  <c r="V953" i="1"/>
  <c r="U953" i="1"/>
  <c r="W952" i="1"/>
  <c r="V952" i="1"/>
  <c r="U952" i="1"/>
  <c r="W951" i="1"/>
  <c r="V951" i="1"/>
  <c r="U951" i="1"/>
  <c r="Z951" i="1" s="1"/>
  <c r="W950" i="1"/>
  <c r="V950" i="1"/>
  <c r="U950" i="1"/>
  <c r="W949" i="1"/>
  <c r="V949" i="1"/>
  <c r="U949" i="1"/>
  <c r="W948" i="1"/>
  <c r="V948" i="1"/>
  <c r="U948" i="1"/>
  <c r="W947" i="1"/>
  <c r="V947" i="1"/>
  <c r="X947" i="1" s="1"/>
  <c r="U947" i="1"/>
  <c r="W946" i="1"/>
  <c r="V946" i="1"/>
  <c r="X946" i="1" s="1"/>
  <c r="U946" i="1"/>
  <c r="W945" i="1"/>
  <c r="V945" i="1"/>
  <c r="X945" i="1" s="1"/>
  <c r="U945" i="1"/>
  <c r="W944" i="1"/>
  <c r="V944" i="1"/>
  <c r="U944" i="1"/>
  <c r="Y944" i="1" s="1"/>
  <c r="W943" i="1"/>
  <c r="V943" i="1"/>
  <c r="U943" i="1"/>
  <c r="W942" i="1"/>
  <c r="V942" i="1"/>
  <c r="X942" i="1" s="1"/>
  <c r="U942" i="1"/>
  <c r="W941" i="1"/>
  <c r="V941" i="1"/>
  <c r="U941" i="1"/>
  <c r="W940" i="1"/>
  <c r="V940" i="1"/>
  <c r="U940" i="1"/>
  <c r="W939" i="1"/>
  <c r="V939" i="1"/>
  <c r="U939" i="1"/>
  <c r="W938" i="1"/>
  <c r="V938" i="1"/>
  <c r="U938" i="1"/>
  <c r="W937" i="1"/>
  <c r="V937" i="1"/>
  <c r="U937" i="1"/>
  <c r="W936" i="1"/>
  <c r="V936" i="1"/>
  <c r="U936" i="1"/>
  <c r="X935" i="1"/>
  <c r="W935" i="1"/>
  <c r="V935" i="1"/>
  <c r="U935" i="1"/>
  <c r="W934" i="1"/>
  <c r="V934" i="1"/>
  <c r="U934" i="1"/>
  <c r="W933" i="1"/>
  <c r="V933" i="1"/>
  <c r="U933" i="1"/>
  <c r="W932" i="1"/>
  <c r="V932" i="1"/>
  <c r="U932" i="1"/>
  <c r="W931" i="1"/>
  <c r="V931" i="1"/>
  <c r="X931" i="1" s="1"/>
  <c r="U931" i="1"/>
  <c r="W930" i="1"/>
  <c r="V930" i="1"/>
  <c r="U930" i="1"/>
  <c r="W929" i="1"/>
  <c r="V929" i="1"/>
  <c r="U929" i="1"/>
  <c r="W928" i="1"/>
  <c r="V928" i="1"/>
  <c r="X928" i="1" s="1"/>
  <c r="U928" i="1"/>
  <c r="W927" i="1"/>
  <c r="V927" i="1"/>
  <c r="U927" i="1"/>
  <c r="W926" i="1"/>
  <c r="V926" i="1"/>
  <c r="U926" i="1"/>
  <c r="W925" i="1"/>
  <c r="V925" i="1"/>
  <c r="U925" i="1"/>
  <c r="W924" i="1"/>
  <c r="V924" i="1"/>
  <c r="U924" i="1"/>
  <c r="W923" i="1"/>
  <c r="V923" i="1"/>
  <c r="X923" i="1" s="1"/>
  <c r="U923" i="1"/>
  <c r="Z923" i="1" s="1"/>
  <c r="W922" i="1"/>
  <c r="V922" i="1"/>
  <c r="U922" i="1"/>
  <c r="W921" i="1"/>
  <c r="V921" i="1"/>
  <c r="U921" i="1"/>
  <c r="W920" i="1"/>
  <c r="V920" i="1"/>
  <c r="U920" i="1"/>
  <c r="W919" i="1"/>
  <c r="V919" i="1"/>
  <c r="U919" i="1"/>
  <c r="W918" i="1"/>
  <c r="V918" i="1"/>
  <c r="U918" i="1"/>
  <c r="W917" i="1"/>
  <c r="V917" i="1"/>
  <c r="U917" i="1"/>
  <c r="W916" i="1"/>
  <c r="V916" i="1"/>
  <c r="U916" i="1"/>
  <c r="W915" i="1"/>
  <c r="V915" i="1"/>
  <c r="X915" i="1" s="1"/>
  <c r="U915" i="1"/>
  <c r="W914" i="1"/>
  <c r="X914" i="1" s="1"/>
  <c r="V914" i="1"/>
  <c r="U914" i="1"/>
  <c r="W913" i="1"/>
  <c r="V913" i="1"/>
  <c r="U913" i="1"/>
  <c r="W912" i="1"/>
  <c r="V912" i="1"/>
  <c r="U912" i="1"/>
  <c r="Y912" i="1" s="1"/>
  <c r="W911" i="1"/>
  <c r="V911" i="1"/>
  <c r="U911" i="1"/>
  <c r="W910" i="1"/>
  <c r="V910" i="1"/>
  <c r="X910" i="1" s="1"/>
  <c r="U910" i="1"/>
  <c r="W909" i="1"/>
  <c r="V909" i="1"/>
  <c r="U909" i="1"/>
  <c r="W908" i="1"/>
  <c r="V908" i="1"/>
  <c r="U908" i="1"/>
  <c r="W907" i="1"/>
  <c r="V907" i="1"/>
  <c r="X907" i="1" s="1"/>
  <c r="U907" i="1"/>
  <c r="W906" i="1"/>
  <c r="V906" i="1"/>
  <c r="U906" i="1"/>
  <c r="W905" i="1"/>
  <c r="V905" i="1"/>
  <c r="X905" i="1" s="1"/>
  <c r="U905" i="1"/>
  <c r="W904" i="1"/>
  <c r="V904" i="1"/>
  <c r="U904" i="1"/>
  <c r="W903" i="1"/>
  <c r="V903" i="1"/>
  <c r="U903" i="1"/>
  <c r="W902" i="1"/>
  <c r="V902" i="1"/>
  <c r="U902" i="1"/>
  <c r="W901" i="1"/>
  <c r="V901" i="1"/>
  <c r="U901" i="1"/>
  <c r="W900" i="1"/>
  <c r="V900" i="1"/>
  <c r="U900" i="1"/>
  <c r="Z899" i="1"/>
  <c r="W899" i="1"/>
  <c r="V899" i="1"/>
  <c r="U899" i="1"/>
  <c r="Y899" i="1" s="1"/>
  <c r="W898" i="1"/>
  <c r="V898" i="1"/>
  <c r="U898" i="1"/>
  <c r="Z898" i="1" s="1"/>
  <c r="W897" i="1"/>
  <c r="V897" i="1"/>
  <c r="U897" i="1"/>
  <c r="W896" i="1"/>
  <c r="V896" i="1"/>
  <c r="U896" i="1"/>
  <c r="W895" i="1"/>
  <c r="V895" i="1"/>
  <c r="U895" i="1"/>
  <c r="W894" i="1"/>
  <c r="V894" i="1"/>
  <c r="U894" i="1"/>
  <c r="W893" i="1"/>
  <c r="V893" i="1"/>
  <c r="U893" i="1"/>
  <c r="W892" i="1"/>
  <c r="V892" i="1"/>
  <c r="U892" i="1"/>
  <c r="W891" i="1"/>
  <c r="V891" i="1"/>
  <c r="U891" i="1"/>
  <c r="Z891" i="1" s="1"/>
  <c r="W890" i="1"/>
  <c r="V890" i="1"/>
  <c r="X890" i="1" s="1"/>
  <c r="U890" i="1"/>
  <c r="W889" i="1"/>
  <c r="V889" i="1"/>
  <c r="U889" i="1"/>
  <c r="W888" i="1"/>
  <c r="V888" i="1"/>
  <c r="U888" i="1"/>
  <c r="W887" i="1"/>
  <c r="V887" i="1"/>
  <c r="X887" i="1" s="1"/>
  <c r="U887" i="1"/>
  <c r="W886" i="1"/>
  <c r="V886" i="1"/>
  <c r="U886" i="1"/>
  <c r="W885" i="1"/>
  <c r="V885" i="1"/>
  <c r="X885" i="1" s="1"/>
  <c r="U885" i="1"/>
  <c r="W884" i="1"/>
  <c r="V884" i="1"/>
  <c r="U884" i="1"/>
  <c r="W883" i="1"/>
  <c r="V883" i="1"/>
  <c r="U883" i="1"/>
  <c r="W882" i="1"/>
  <c r="V882" i="1"/>
  <c r="X882" i="1" s="1"/>
  <c r="U882" i="1"/>
  <c r="Z882" i="1" s="1"/>
  <c r="W881" i="1"/>
  <c r="V881" i="1"/>
  <c r="X881" i="1" s="1"/>
  <c r="U881" i="1"/>
  <c r="W880" i="1"/>
  <c r="V880" i="1"/>
  <c r="U880" i="1"/>
  <c r="Y880" i="1" s="1"/>
  <c r="W879" i="1"/>
  <c r="V879" i="1"/>
  <c r="U879" i="1"/>
  <c r="W878" i="1"/>
  <c r="V878" i="1"/>
  <c r="X878" i="1" s="1"/>
  <c r="U878" i="1"/>
  <c r="W877" i="1"/>
  <c r="V877" i="1"/>
  <c r="U877" i="1"/>
  <c r="W876" i="1"/>
  <c r="V876" i="1"/>
  <c r="U876" i="1"/>
  <c r="W875" i="1"/>
  <c r="V875" i="1"/>
  <c r="U875" i="1"/>
  <c r="W874" i="1"/>
  <c r="V874" i="1"/>
  <c r="X874" i="1" s="1"/>
  <c r="U874" i="1"/>
  <c r="W873" i="1"/>
  <c r="V873" i="1"/>
  <c r="U873" i="1"/>
  <c r="W872" i="1"/>
  <c r="V872" i="1"/>
  <c r="U872" i="1"/>
  <c r="W871" i="1"/>
  <c r="V871" i="1"/>
  <c r="U871" i="1"/>
  <c r="Z870" i="1"/>
  <c r="Y870" i="1"/>
  <c r="W870" i="1"/>
  <c r="X870" i="1" s="1"/>
  <c r="V870" i="1"/>
  <c r="U870" i="1"/>
  <c r="W869" i="1"/>
  <c r="V869" i="1"/>
  <c r="U869" i="1"/>
  <c r="W868" i="1"/>
  <c r="V868" i="1"/>
  <c r="U868" i="1"/>
  <c r="W867" i="1"/>
  <c r="V867" i="1"/>
  <c r="X867" i="1" s="1"/>
  <c r="U867" i="1"/>
  <c r="W866" i="1"/>
  <c r="V866" i="1"/>
  <c r="U866" i="1"/>
  <c r="Z865" i="1"/>
  <c r="W865" i="1"/>
  <c r="V865" i="1"/>
  <c r="U865" i="1"/>
  <c r="Y865" i="1" s="1"/>
  <c r="W864" i="1"/>
  <c r="V864" i="1"/>
  <c r="U864" i="1"/>
  <c r="Y863" i="1"/>
  <c r="W863" i="1"/>
  <c r="X863" i="1" s="1"/>
  <c r="V863" i="1"/>
  <c r="U863" i="1"/>
  <c r="Z863" i="1" s="1"/>
  <c r="W862" i="1"/>
  <c r="V862" i="1"/>
  <c r="U862" i="1"/>
  <c r="Z861" i="1"/>
  <c r="W861" i="1"/>
  <c r="V861" i="1"/>
  <c r="U861" i="1"/>
  <c r="Y861" i="1" s="1"/>
  <c r="W860" i="1"/>
  <c r="V860" i="1"/>
  <c r="X860" i="1" s="1"/>
  <c r="U860" i="1"/>
  <c r="W859" i="1"/>
  <c r="V859" i="1"/>
  <c r="U859" i="1"/>
  <c r="W858" i="1"/>
  <c r="V858" i="1"/>
  <c r="U858" i="1"/>
  <c r="Z858" i="1" s="1"/>
  <c r="W857" i="1"/>
  <c r="V857" i="1"/>
  <c r="U857" i="1"/>
  <c r="W856" i="1"/>
  <c r="V856" i="1"/>
  <c r="U856" i="1"/>
  <c r="W855" i="1"/>
  <c r="V855" i="1"/>
  <c r="U855" i="1"/>
  <c r="W854" i="1"/>
  <c r="V854" i="1"/>
  <c r="X854" i="1" s="1"/>
  <c r="U854" i="1"/>
  <c r="Z853" i="1"/>
  <c r="W853" i="1"/>
  <c r="V853" i="1"/>
  <c r="U853" i="1"/>
  <c r="Y853" i="1" s="1"/>
  <c r="W852" i="1"/>
  <c r="V852" i="1"/>
  <c r="U852" i="1"/>
  <c r="Z852" i="1" s="1"/>
  <c r="W851" i="1"/>
  <c r="V851" i="1"/>
  <c r="U851" i="1"/>
  <c r="W850" i="1"/>
  <c r="V850" i="1"/>
  <c r="U850" i="1"/>
  <c r="W849" i="1"/>
  <c r="V849" i="1"/>
  <c r="X849" i="1" s="1"/>
  <c r="U849" i="1"/>
  <c r="W848" i="1"/>
  <c r="V848" i="1"/>
  <c r="X848" i="1" s="1"/>
  <c r="U848" i="1"/>
  <c r="W847" i="1"/>
  <c r="V847" i="1"/>
  <c r="U847" i="1"/>
  <c r="W846" i="1"/>
  <c r="V846" i="1"/>
  <c r="X846" i="1" s="1"/>
  <c r="U846" i="1"/>
  <c r="W845" i="1"/>
  <c r="X845" i="1" s="1"/>
  <c r="V845" i="1"/>
  <c r="U845" i="1"/>
  <c r="W844" i="1"/>
  <c r="V844" i="1"/>
  <c r="X844" i="1" s="1"/>
  <c r="U844" i="1"/>
  <c r="W843" i="1"/>
  <c r="V843" i="1"/>
  <c r="U843" i="1"/>
  <c r="W842" i="1"/>
  <c r="V842" i="1"/>
  <c r="U842" i="1"/>
  <c r="W841" i="1"/>
  <c r="V841" i="1"/>
  <c r="U841" i="1"/>
  <c r="W840" i="1"/>
  <c r="V840" i="1"/>
  <c r="U840" i="1"/>
  <c r="W839" i="1"/>
  <c r="V839" i="1"/>
  <c r="U839" i="1"/>
  <c r="W838" i="1"/>
  <c r="V838" i="1"/>
  <c r="X838" i="1" s="1"/>
  <c r="U838" i="1"/>
  <c r="Y838" i="1" s="1"/>
  <c r="W837" i="1"/>
  <c r="V837" i="1"/>
  <c r="U837" i="1"/>
  <c r="W836" i="1"/>
  <c r="V836" i="1"/>
  <c r="X836" i="1" s="1"/>
  <c r="U836" i="1"/>
  <c r="W835" i="1"/>
  <c r="V835" i="1"/>
  <c r="U835" i="1"/>
  <c r="W834" i="1"/>
  <c r="V834" i="1"/>
  <c r="U834" i="1"/>
  <c r="Y834" i="1" s="1"/>
  <c r="W833" i="1"/>
  <c r="V833" i="1"/>
  <c r="U833" i="1"/>
  <c r="W832" i="1"/>
  <c r="V832" i="1"/>
  <c r="U832" i="1"/>
  <c r="W831" i="1"/>
  <c r="V831" i="1"/>
  <c r="U831" i="1"/>
  <c r="W830" i="1"/>
  <c r="V830" i="1"/>
  <c r="U830" i="1"/>
  <c r="W829" i="1"/>
  <c r="X829" i="1" s="1"/>
  <c r="V829" i="1"/>
  <c r="U829" i="1"/>
  <c r="W828" i="1"/>
  <c r="V828" i="1"/>
  <c r="U828" i="1"/>
  <c r="W827" i="1"/>
  <c r="V827" i="1"/>
  <c r="U827" i="1"/>
  <c r="W826" i="1"/>
  <c r="V826" i="1"/>
  <c r="U826" i="1"/>
  <c r="W825" i="1"/>
  <c r="V825" i="1"/>
  <c r="U825" i="1"/>
  <c r="W824" i="1"/>
  <c r="V824" i="1"/>
  <c r="U824" i="1"/>
  <c r="W823" i="1"/>
  <c r="V823" i="1"/>
  <c r="U823" i="1"/>
  <c r="W822" i="1"/>
  <c r="V822" i="1"/>
  <c r="U822" i="1"/>
  <c r="W821" i="1"/>
  <c r="V821" i="1"/>
  <c r="U821" i="1"/>
  <c r="W820" i="1"/>
  <c r="V820" i="1"/>
  <c r="U820" i="1"/>
  <c r="W819" i="1"/>
  <c r="V819" i="1"/>
  <c r="U819" i="1"/>
  <c r="W818" i="1"/>
  <c r="V818" i="1"/>
  <c r="U818" i="1"/>
  <c r="W817" i="1"/>
  <c r="V817" i="1"/>
  <c r="U817" i="1"/>
  <c r="W816" i="1"/>
  <c r="V816" i="1"/>
  <c r="U816" i="1"/>
  <c r="Z816" i="1" s="1"/>
  <c r="W815" i="1"/>
  <c r="V815" i="1"/>
  <c r="U815" i="1"/>
  <c r="W814" i="1"/>
  <c r="V814" i="1"/>
  <c r="U814" i="1"/>
  <c r="Z814" i="1" s="1"/>
  <c r="W813" i="1"/>
  <c r="V813" i="1"/>
  <c r="U813" i="1"/>
  <c r="W812" i="1"/>
  <c r="V812" i="1"/>
  <c r="U812" i="1"/>
  <c r="W811" i="1"/>
  <c r="V811" i="1"/>
  <c r="X811" i="1" s="1"/>
  <c r="U811" i="1"/>
  <c r="W810" i="1"/>
  <c r="V810" i="1"/>
  <c r="X810" i="1" s="1"/>
  <c r="U810" i="1"/>
  <c r="Z809" i="1"/>
  <c r="Y809" i="1"/>
  <c r="W809" i="1"/>
  <c r="V809" i="1"/>
  <c r="U809" i="1"/>
  <c r="W808" i="1"/>
  <c r="V808" i="1"/>
  <c r="U808" i="1"/>
  <c r="W807" i="1"/>
  <c r="V807" i="1"/>
  <c r="U807" i="1"/>
  <c r="W806" i="1"/>
  <c r="V806" i="1"/>
  <c r="U806" i="1"/>
  <c r="W805" i="1"/>
  <c r="V805" i="1"/>
  <c r="U805" i="1"/>
  <c r="W804" i="1"/>
  <c r="V804" i="1"/>
  <c r="U804" i="1"/>
  <c r="W803" i="1"/>
  <c r="V803" i="1"/>
  <c r="U803" i="1"/>
  <c r="W802" i="1"/>
  <c r="V802" i="1"/>
  <c r="X802" i="1" s="1"/>
  <c r="U802" i="1"/>
  <c r="Z801" i="1"/>
  <c r="W801" i="1"/>
  <c r="V801" i="1"/>
  <c r="U801" i="1"/>
  <c r="Y801" i="1" s="1"/>
  <c r="W800" i="1"/>
  <c r="V800" i="1"/>
  <c r="U800" i="1"/>
  <c r="W799" i="1"/>
  <c r="V799" i="1"/>
  <c r="U799" i="1"/>
  <c r="W798" i="1"/>
  <c r="V798" i="1"/>
  <c r="U798" i="1"/>
  <c r="W797" i="1"/>
  <c r="V797" i="1"/>
  <c r="U797" i="1"/>
  <c r="W796" i="1"/>
  <c r="V796" i="1"/>
  <c r="X796" i="1" s="1"/>
  <c r="U796" i="1"/>
  <c r="W795" i="1"/>
  <c r="V795" i="1"/>
  <c r="U795" i="1"/>
  <c r="W794" i="1"/>
  <c r="V794" i="1"/>
  <c r="U794" i="1"/>
  <c r="W793" i="1"/>
  <c r="V793" i="1"/>
  <c r="U793" i="1"/>
  <c r="W792" i="1"/>
  <c r="V792" i="1"/>
  <c r="U792" i="1"/>
  <c r="W791" i="1"/>
  <c r="V791" i="1"/>
  <c r="U791" i="1"/>
  <c r="W790" i="1"/>
  <c r="V790" i="1"/>
  <c r="U790" i="1"/>
  <c r="W789" i="1"/>
  <c r="V789" i="1"/>
  <c r="X789" i="1" s="1"/>
  <c r="U789" i="1"/>
  <c r="W788" i="1"/>
  <c r="V788" i="1"/>
  <c r="U788" i="1"/>
  <c r="W787" i="1"/>
  <c r="V787" i="1"/>
  <c r="U787" i="1"/>
  <c r="W786" i="1"/>
  <c r="V786" i="1"/>
  <c r="X786" i="1" s="1"/>
  <c r="U786" i="1"/>
  <c r="Z786" i="1" s="1"/>
  <c r="Z785" i="1"/>
  <c r="W785" i="1"/>
  <c r="V785" i="1"/>
  <c r="U785" i="1"/>
  <c r="Y785" i="1" s="1"/>
  <c r="W784" i="1"/>
  <c r="V784" i="1"/>
  <c r="X784" i="1" s="1"/>
  <c r="U784" i="1"/>
  <c r="W783" i="1"/>
  <c r="V783" i="1"/>
  <c r="U783" i="1"/>
  <c r="W782" i="1"/>
  <c r="V782" i="1"/>
  <c r="X782" i="1" s="1"/>
  <c r="U782" i="1"/>
  <c r="Y781" i="1"/>
  <c r="W781" i="1"/>
  <c r="V781" i="1"/>
  <c r="U781" i="1"/>
  <c r="Z781" i="1" s="1"/>
  <c r="W780" i="1"/>
  <c r="V780" i="1"/>
  <c r="U780" i="1"/>
  <c r="W779" i="1"/>
  <c r="V779" i="1"/>
  <c r="U779" i="1"/>
  <c r="W778" i="1"/>
  <c r="V778" i="1"/>
  <c r="U778" i="1"/>
  <c r="W777" i="1"/>
  <c r="V777" i="1"/>
  <c r="U777" i="1"/>
  <c r="Y777" i="1" s="1"/>
  <c r="W776" i="1"/>
  <c r="V776" i="1"/>
  <c r="U776" i="1"/>
  <c r="W775" i="1"/>
  <c r="V775" i="1"/>
  <c r="U775" i="1"/>
  <c r="W774" i="1"/>
  <c r="V774" i="1"/>
  <c r="X774" i="1" s="1"/>
  <c r="U774" i="1"/>
  <c r="W773" i="1"/>
  <c r="V773" i="1"/>
  <c r="U773" i="1"/>
  <c r="W772" i="1"/>
  <c r="V772" i="1"/>
  <c r="U772" i="1"/>
  <c r="W771" i="1"/>
  <c r="V771" i="1"/>
  <c r="X771" i="1" s="1"/>
  <c r="U771" i="1"/>
  <c r="W770" i="1"/>
  <c r="V770" i="1"/>
  <c r="U770" i="1"/>
  <c r="W769" i="1"/>
  <c r="V769" i="1"/>
  <c r="U769" i="1"/>
  <c r="W768" i="1"/>
  <c r="V768" i="1"/>
  <c r="U768" i="1"/>
  <c r="W767" i="1"/>
  <c r="V767" i="1"/>
  <c r="U767" i="1"/>
  <c r="W766" i="1"/>
  <c r="V766" i="1"/>
  <c r="X766" i="1" s="1"/>
  <c r="U766" i="1"/>
  <c r="W765" i="1"/>
  <c r="V765" i="1"/>
  <c r="U765" i="1"/>
  <c r="W764" i="1"/>
  <c r="V764" i="1"/>
  <c r="U764" i="1"/>
  <c r="W763" i="1"/>
  <c r="V763" i="1"/>
  <c r="U763" i="1"/>
  <c r="W762" i="1"/>
  <c r="V762" i="1"/>
  <c r="U762" i="1"/>
  <c r="W761" i="1"/>
  <c r="V761" i="1"/>
  <c r="U761" i="1"/>
  <c r="W760" i="1"/>
  <c r="V760" i="1"/>
  <c r="X760" i="1" s="1"/>
  <c r="U760" i="1"/>
  <c r="W759" i="1"/>
  <c r="V759" i="1"/>
  <c r="U759" i="1"/>
  <c r="W758" i="1"/>
  <c r="V758" i="1"/>
  <c r="X758" i="1" s="1"/>
  <c r="U758" i="1"/>
  <c r="Z757" i="1"/>
  <c r="Y757" i="1"/>
  <c r="W757" i="1"/>
  <c r="V757" i="1"/>
  <c r="U757" i="1"/>
  <c r="W756" i="1"/>
  <c r="V756" i="1"/>
  <c r="U756" i="1"/>
  <c r="W755" i="1"/>
  <c r="V755" i="1"/>
  <c r="U755" i="1"/>
  <c r="W754" i="1"/>
  <c r="V754" i="1"/>
  <c r="U754" i="1"/>
  <c r="W753" i="1"/>
  <c r="V753" i="1"/>
  <c r="X753" i="1" s="1"/>
  <c r="U753" i="1"/>
  <c r="Y753" i="1" s="1"/>
  <c r="W752" i="1"/>
  <c r="V752" i="1"/>
  <c r="U752" i="1"/>
  <c r="W751" i="1"/>
  <c r="V751" i="1"/>
  <c r="X751" i="1" s="1"/>
  <c r="U751" i="1"/>
  <c r="W750" i="1"/>
  <c r="V750" i="1"/>
  <c r="U750" i="1"/>
  <c r="W749" i="1"/>
  <c r="V749" i="1"/>
  <c r="U749" i="1"/>
  <c r="W748" i="1"/>
  <c r="V748" i="1"/>
  <c r="U748" i="1"/>
  <c r="Y748" i="1" s="1"/>
  <c r="W747" i="1"/>
  <c r="V747" i="1"/>
  <c r="U747" i="1"/>
  <c r="W746" i="1"/>
  <c r="V746" i="1"/>
  <c r="X746" i="1" s="1"/>
  <c r="U746" i="1"/>
  <c r="Y746" i="1" s="1"/>
  <c r="W745" i="1"/>
  <c r="V745" i="1"/>
  <c r="U745" i="1"/>
  <c r="W744" i="1"/>
  <c r="V744" i="1"/>
  <c r="U744" i="1"/>
  <c r="W743" i="1"/>
  <c r="V743" i="1"/>
  <c r="X743" i="1" s="1"/>
  <c r="U743" i="1"/>
  <c r="W742" i="1"/>
  <c r="V742" i="1"/>
  <c r="U742" i="1"/>
  <c r="Z742" i="1" s="1"/>
  <c r="W741" i="1"/>
  <c r="V741" i="1"/>
  <c r="U741" i="1"/>
  <c r="Z740" i="1"/>
  <c r="W740" i="1"/>
  <c r="V740" i="1"/>
  <c r="U740" i="1"/>
  <c r="Y740" i="1" s="1"/>
  <c r="W739" i="1"/>
  <c r="V739" i="1"/>
  <c r="X739" i="1" s="1"/>
  <c r="U739" i="1"/>
  <c r="W738" i="1"/>
  <c r="V738" i="1"/>
  <c r="U738" i="1"/>
  <c r="W737" i="1"/>
  <c r="V737" i="1"/>
  <c r="U737" i="1"/>
  <c r="W736" i="1"/>
  <c r="V736" i="1"/>
  <c r="U736" i="1"/>
  <c r="Z736" i="1" s="1"/>
  <c r="W735" i="1"/>
  <c r="V735" i="1"/>
  <c r="U735" i="1"/>
  <c r="W734" i="1"/>
  <c r="V734" i="1"/>
  <c r="X734" i="1" s="1"/>
  <c r="U734" i="1"/>
  <c r="Z734" i="1" s="1"/>
  <c r="W733" i="1"/>
  <c r="V733" i="1"/>
  <c r="U733" i="1"/>
  <c r="W732" i="1"/>
  <c r="V732" i="1"/>
  <c r="U732" i="1"/>
  <c r="W731" i="1"/>
  <c r="V731" i="1"/>
  <c r="U731" i="1"/>
  <c r="W730" i="1"/>
  <c r="V730" i="1"/>
  <c r="U730" i="1"/>
  <c r="Z730" i="1" s="1"/>
  <c r="W729" i="1"/>
  <c r="V729" i="1"/>
  <c r="X729" i="1" s="1"/>
  <c r="U729" i="1"/>
  <c r="W728" i="1"/>
  <c r="V728" i="1"/>
  <c r="U728" i="1"/>
  <c r="W727" i="1"/>
  <c r="V727" i="1"/>
  <c r="X727" i="1" s="1"/>
  <c r="U727" i="1"/>
  <c r="W726" i="1"/>
  <c r="V726" i="1"/>
  <c r="U726" i="1"/>
  <c r="W725" i="1"/>
  <c r="V725" i="1"/>
  <c r="U725" i="1"/>
  <c r="Z725" i="1" s="1"/>
  <c r="W724" i="1"/>
  <c r="V724" i="1"/>
  <c r="X724" i="1" s="1"/>
  <c r="U724" i="1"/>
  <c r="W723" i="1"/>
  <c r="V723" i="1"/>
  <c r="U723" i="1"/>
  <c r="W722" i="1"/>
  <c r="V722" i="1"/>
  <c r="X722" i="1" s="1"/>
  <c r="U722" i="1"/>
  <c r="Z721" i="1"/>
  <c r="Y721" i="1"/>
  <c r="W721" i="1"/>
  <c r="V721" i="1"/>
  <c r="X721" i="1" s="1"/>
  <c r="U721" i="1"/>
  <c r="W720" i="1"/>
  <c r="V720" i="1"/>
  <c r="U720" i="1"/>
  <c r="W719" i="1"/>
  <c r="V719" i="1"/>
  <c r="U719" i="1"/>
  <c r="W718" i="1"/>
  <c r="V718" i="1"/>
  <c r="U718" i="1"/>
  <c r="W717" i="1"/>
  <c r="V717" i="1"/>
  <c r="U717" i="1"/>
  <c r="Z717" i="1" s="1"/>
  <c r="W716" i="1"/>
  <c r="V716" i="1"/>
  <c r="U716" i="1"/>
  <c r="W715" i="1"/>
  <c r="V715" i="1"/>
  <c r="U715" i="1"/>
  <c r="W714" i="1"/>
  <c r="V714" i="1"/>
  <c r="X714" i="1" s="1"/>
  <c r="U714" i="1"/>
  <c r="W713" i="1"/>
  <c r="V713" i="1"/>
  <c r="X713" i="1" s="1"/>
  <c r="U713" i="1"/>
  <c r="W712" i="1"/>
  <c r="V712" i="1"/>
  <c r="X712" i="1" s="1"/>
  <c r="U712" i="1"/>
  <c r="W711" i="1"/>
  <c r="V711" i="1"/>
  <c r="U711" i="1"/>
  <c r="W710" i="1"/>
  <c r="V710" i="1"/>
  <c r="U710" i="1"/>
  <c r="Z710" i="1" s="1"/>
  <c r="W709" i="1"/>
  <c r="V709" i="1"/>
  <c r="U709" i="1"/>
  <c r="Y709" i="1" s="1"/>
  <c r="W708" i="1"/>
  <c r="V708" i="1"/>
  <c r="U708" i="1"/>
  <c r="Y708" i="1" s="1"/>
  <c r="W707" i="1"/>
  <c r="V707" i="1"/>
  <c r="U707" i="1"/>
  <c r="W706" i="1"/>
  <c r="V706" i="1"/>
  <c r="X706" i="1" s="1"/>
  <c r="U706" i="1"/>
  <c r="W705" i="1"/>
  <c r="V705" i="1"/>
  <c r="U705" i="1"/>
  <c r="W704" i="1"/>
  <c r="V704" i="1"/>
  <c r="X704" i="1" s="1"/>
  <c r="U704" i="1"/>
  <c r="Y704" i="1" s="1"/>
  <c r="W703" i="1"/>
  <c r="V703" i="1"/>
  <c r="X703" i="1" s="1"/>
  <c r="U703" i="1"/>
  <c r="W702" i="1"/>
  <c r="V702" i="1"/>
  <c r="X702" i="1" s="1"/>
  <c r="U702" i="1"/>
  <c r="W701" i="1"/>
  <c r="V701" i="1"/>
  <c r="U701" i="1"/>
  <c r="Z700" i="1"/>
  <c r="W700" i="1"/>
  <c r="V700" i="1"/>
  <c r="U700" i="1"/>
  <c r="Y700" i="1" s="1"/>
  <c r="W699" i="1"/>
  <c r="V699" i="1"/>
  <c r="U699" i="1"/>
  <c r="W698" i="1"/>
  <c r="V698" i="1"/>
  <c r="U698" i="1"/>
  <c r="W697" i="1"/>
  <c r="V697" i="1"/>
  <c r="U697" i="1"/>
  <c r="W696" i="1"/>
  <c r="V696" i="1"/>
  <c r="U696" i="1"/>
  <c r="W695" i="1"/>
  <c r="V695" i="1"/>
  <c r="U695" i="1"/>
  <c r="W694" i="1"/>
  <c r="V694" i="1"/>
  <c r="X694" i="1" s="1"/>
  <c r="U694" i="1"/>
  <c r="Z693" i="1"/>
  <c r="Y693" i="1"/>
  <c r="W693" i="1"/>
  <c r="V693" i="1"/>
  <c r="X693" i="1" s="1"/>
  <c r="U693" i="1"/>
  <c r="W692" i="1"/>
  <c r="V692" i="1"/>
  <c r="U692" i="1"/>
  <c r="W691" i="1"/>
  <c r="V691" i="1"/>
  <c r="U691" i="1"/>
  <c r="W690" i="1"/>
  <c r="V690" i="1"/>
  <c r="U690" i="1"/>
  <c r="Z689" i="1"/>
  <c r="Y689" i="1"/>
  <c r="W689" i="1"/>
  <c r="X689" i="1" s="1"/>
  <c r="V689" i="1"/>
  <c r="U689" i="1"/>
  <c r="W688" i="1"/>
  <c r="V688" i="1"/>
  <c r="U688" i="1"/>
  <c r="Z687" i="1"/>
  <c r="W687" i="1"/>
  <c r="V687" i="1"/>
  <c r="U687" i="1"/>
  <c r="Y687" i="1" s="1"/>
  <c r="W686" i="1"/>
  <c r="V686" i="1"/>
  <c r="U686" i="1"/>
  <c r="W685" i="1"/>
  <c r="V685" i="1"/>
  <c r="U685" i="1"/>
  <c r="W684" i="1"/>
  <c r="V684" i="1"/>
  <c r="U684" i="1"/>
  <c r="X683" i="1"/>
  <c r="W683" i="1"/>
  <c r="V683" i="1"/>
  <c r="U683" i="1"/>
  <c r="W682" i="1"/>
  <c r="V682" i="1"/>
  <c r="U682" i="1"/>
  <c r="Z681" i="1"/>
  <c r="W681" i="1"/>
  <c r="V681" i="1"/>
  <c r="U681" i="1"/>
  <c r="Y681" i="1" s="1"/>
  <c r="W680" i="1"/>
  <c r="V680" i="1"/>
  <c r="U680" i="1"/>
  <c r="Z679" i="1"/>
  <c r="W679" i="1"/>
  <c r="X679" i="1" s="1"/>
  <c r="V679" i="1"/>
  <c r="U679" i="1"/>
  <c r="Y679" i="1" s="1"/>
  <c r="W678" i="1"/>
  <c r="V678" i="1"/>
  <c r="X678" i="1" s="1"/>
  <c r="U678" i="1"/>
  <c r="Y677" i="1"/>
  <c r="X677" i="1"/>
  <c r="W677" i="1"/>
  <c r="V677" i="1"/>
  <c r="U677" i="1"/>
  <c r="Z677" i="1" s="1"/>
  <c r="W676" i="1"/>
  <c r="V676" i="1"/>
  <c r="U676" i="1"/>
  <c r="W675" i="1"/>
  <c r="V675" i="1"/>
  <c r="X675" i="1" s="1"/>
  <c r="U675" i="1"/>
  <c r="W674" i="1"/>
  <c r="V674" i="1"/>
  <c r="X674" i="1" s="1"/>
  <c r="U674" i="1"/>
  <c r="W673" i="1"/>
  <c r="V673" i="1"/>
  <c r="U673" i="1"/>
  <c r="Z672" i="1"/>
  <c r="W672" i="1"/>
  <c r="V672" i="1"/>
  <c r="U672" i="1"/>
  <c r="Y672" i="1" s="1"/>
  <c r="W671" i="1"/>
  <c r="V671" i="1"/>
  <c r="U671" i="1"/>
  <c r="W670" i="1"/>
  <c r="V670" i="1"/>
  <c r="U670" i="1"/>
  <c r="W669" i="1"/>
  <c r="V669" i="1"/>
  <c r="X669" i="1" s="1"/>
  <c r="U669" i="1"/>
  <c r="W668" i="1"/>
  <c r="V668" i="1"/>
  <c r="X668" i="1" s="1"/>
  <c r="U668" i="1"/>
  <c r="W667" i="1"/>
  <c r="V667" i="1"/>
  <c r="U667" i="1"/>
  <c r="W666" i="1"/>
  <c r="V666" i="1"/>
  <c r="U666" i="1"/>
  <c r="W665" i="1"/>
  <c r="V665" i="1"/>
  <c r="U665" i="1"/>
  <c r="W664" i="1"/>
  <c r="V664" i="1"/>
  <c r="U664" i="1"/>
  <c r="W663" i="1"/>
  <c r="V663" i="1"/>
  <c r="U663" i="1"/>
  <c r="W662" i="1"/>
  <c r="V662" i="1"/>
  <c r="U662" i="1"/>
  <c r="W661" i="1"/>
  <c r="V661" i="1"/>
  <c r="U661" i="1"/>
  <c r="Y661" i="1" s="1"/>
  <c r="Y660" i="1"/>
  <c r="W660" i="1"/>
  <c r="V660" i="1"/>
  <c r="X660" i="1" s="1"/>
  <c r="U660" i="1"/>
  <c r="Z660" i="1" s="1"/>
  <c r="W659" i="1"/>
  <c r="V659" i="1"/>
  <c r="X659" i="1" s="1"/>
  <c r="U659" i="1"/>
  <c r="W658" i="1"/>
  <c r="V658" i="1"/>
  <c r="U658" i="1"/>
  <c r="W657" i="1"/>
  <c r="V657" i="1"/>
  <c r="U657" i="1"/>
  <c r="W656" i="1"/>
  <c r="X656" i="1" s="1"/>
  <c r="V656" i="1"/>
  <c r="U656" i="1"/>
  <c r="Z656" i="1" s="1"/>
  <c r="W655" i="1"/>
  <c r="V655" i="1"/>
  <c r="U655" i="1"/>
  <c r="W654" i="1"/>
  <c r="V654" i="1"/>
  <c r="X654" i="1" s="1"/>
  <c r="U654" i="1"/>
  <c r="W653" i="1"/>
  <c r="V653" i="1"/>
  <c r="U653" i="1"/>
  <c r="W652" i="1"/>
  <c r="V652" i="1"/>
  <c r="U652" i="1"/>
  <c r="W651" i="1"/>
  <c r="V651" i="1"/>
  <c r="X651" i="1" s="1"/>
  <c r="U651" i="1"/>
  <c r="W650" i="1"/>
  <c r="V650" i="1"/>
  <c r="X650" i="1" s="1"/>
  <c r="U650" i="1"/>
  <c r="W649" i="1"/>
  <c r="V649" i="1"/>
  <c r="U649" i="1"/>
  <c r="W648" i="1"/>
  <c r="V648" i="1"/>
  <c r="X648" i="1" s="1"/>
  <c r="U648" i="1"/>
  <c r="W647" i="1"/>
  <c r="V647" i="1"/>
  <c r="U647" i="1"/>
  <c r="W646" i="1"/>
  <c r="V646" i="1"/>
  <c r="U646" i="1"/>
  <c r="Z645" i="1"/>
  <c r="W645" i="1"/>
  <c r="V645" i="1"/>
  <c r="U645" i="1"/>
  <c r="Y645" i="1" s="1"/>
  <c r="W644" i="1"/>
  <c r="V644" i="1"/>
  <c r="U644" i="1"/>
  <c r="W643" i="1"/>
  <c r="V643" i="1"/>
  <c r="X643" i="1" s="1"/>
  <c r="U643" i="1"/>
  <c r="W642" i="1"/>
  <c r="V642" i="1"/>
  <c r="U642" i="1"/>
  <c r="W641" i="1"/>
  <c r="V641" i="1"/>
  <c r="U641" i="1"/>
  <c r="W640" i="1"/>
  <c r="V640" i="1"/>
  <c r="U640" i="1"/>
  <c r="Y640" i="1" s="1"/>
  <c r="W639" i="1"/>
  <c r="V639" i="1"/>
  <c r="U639" i="1"/>
  <c r="W638" i="1"/>
  <c r="V638" i="1"/>
  <c r="X638" i="1" s="1"/>
  <c r="U638" i="1"/>
  <c r="W637" i="1"/>
  <c r="V637" i="1"/>
  <c r="U637" i="1"/>
  <c r="W636" i="1"/>
  <c r="V636" i="1"/>
  <c r="X636" i="1" s="1"/>
  <c r="U636" i="1"/>
  <c r="W635" i="1"/>
  <c r="V635" i="1"/>
  <c r="X635" i="1" s="1"/>
  <c r="U635" i="1"/>
  <c r="W634" i="1"/>
  <c r="V634" i="1"/>
  <c r="X634" i="1" s="1"/>
  <c r="U634" i="1"/>
  <c r="W633" i="1"/>
  <c r="V633" i="1"/>
  <c r="U633" i="1"/>
  <c r="W632" i="1"/>
  <c r="V632" i="1"/>
  <c r="U632" i="1"/>
  <c r="W631" i="1"/>
  <c r="V631" i="1"/>
  <c r="U631" i="1"/>
  <c r="W630" i="1"/>
  <c r="V630" i="1"/>
  <c r="X630" i="1" s="1"/>
  <c r="U630" i="1"/>
  <c r="W629" i="1"/>
  <c r="V629" i="1"/>
  <c r="U629" i="1"/>
  <c r="W628" i="1"/>
  <c r="V628" i="1"/>
  <c r="U628" i="1"/>
  <c r="Z628" i="1" s="1"/>
  <c r="W627" i="1"/>
  <c r="V627" i="1"/>
  <c r="U627" i="1"/>
  <c r="W626" i="1"/>
  <c r="V626" i="1"/>
  <c r="U626" i="1"/>
  <c r="W625" i="1"/>
  <c r="V625" i="1"/>
  <c r="U625" i="1"/>
  <c r="W624" i="1"/>
  <c r="V624" i="1"/>
  <c r="U624" i="1"/>
  <c r="Y624" i="1" s="1"/>
  <c r="W623" i="1"/>
  <c r="V623" i="1"/>
  <c r="U623" i="1"/>
  <c r="W622" i="1"/>
  <c r="X622" i="1" s="1"/>
  <c r="V622" i="1"/>
  <c r="U622" i="1"/>
  <c r="W621" i="1"/>
  <c r="V621" i="1"/>
  <c r="U621" i="1"/>
  <c r="W620" i="1"/>
  <c r="V620" i="1"/>
  <c r="U620" i="1"/>
  <c r="W619" i="1"/>
  <c r="V619" i="1"/>
  <c r="U619" i="1"/>
  <c r="W618" i="1"/>
  <c r="V618" i="1"/>
  <c r="U618" i="1"/>
  <c r="W617" i="1"/>
  <c r="V617" i="1"/>
  <c r="U617" i="1"/>
  <c r="Y616" i="1"/>
  <c r="W616" i="1"/>
  <c r="V616" i="1"/>
  <c r="U616" i="1"/>
  <c r="Z616" i="1" s="1"/>
  <c r="W615" i="1"/>
  <c r="V615" i="1"/>
  <c r="U615" i="1"/>
  <c r="W614" i="1"/>
  <c r="V614" i="1"/>
  <c r="X614" i="1" s="1"/>
  <c r="U614" i="1"/>
  <c r="W613" i="1"/>
  <c r="V613" i="1"/>
  <c r="U613" i="1"/>
  <c r="W612" i="1"/>
  <c r="V612" i="1"/>
  <c r="U612" i="1"/>
  <c r="Y612" i="1" s="1"/>
  <c r="W611" i="1"/>
  <c r="V611" i="1"/>
  <c r="U611" i="1"/>
  <c r="W610" i="1"/>
  <c r="V610" i="1"/>
  <c r="U610" i="1"/>
  <c r="W609" i="1"/>
  <c r="V609" i="1"/>
  <c r="U609" i="1"/>
  <c r="W608" i="1"/>
  <c r="V608" i="1"/>
  <c r="U608" i="1"/>
  <c r="W607" i="1"/>
  <c r="V607" i="1"/>
  <c r="U607" i="1"/>
  <c r="W606" i="1"/>
  <c r="V606" i="1"/>
  <c r="X606" i="1" s="1"/>
  <c r="U606" i="1"/>
  <c r="W605" i="1"/>
  <c r="V605" i="1"/>
  <c r="U605" i="1"/>
  <c r="Z605" i="1" s="1"/>
  <c r="W604" i="1"/>
  <c r="V604" i="1"/>
  <c r="U604" i="1"/>
  <c r="W603" i="1"/>
  <c r="X603" i="1" s="1"/>
  <c r="V603" i="1"/>
  <c r="U603" i="1"/>
  <c r="W602" i="1"/>
  <c r="V602" i="1"/>
  <c r="U602" i="1"/>
  <c r="W601" i="1"/>
  <c r="V601" i="1"/>
  <c r="U601" i="1"/>
  <c r="W600" i="1"/>
  <c r="V600" i="1"/>
  <c r="U600" i="1"/>
  <c r="W599" i="1"/>
  <c r="V599" i="1"/>
  <c r="U599" i="1"/>
  <c r="W598" i="1"/>
  <c r="V598" i="1"/>
  <c r="U598" i="1"/>
  <c r="W597" i="1"/>
  <c r="V597" i="1"/>
  <c r="X597" i="1" s="1"/>
  <c r="U597" i="1"/>
  <c r="Z596" i="1"/>
  <c r="W596" i="1"/>
  <c r="V596" i="1"/>
  <c r="U596" i="1"/>
  <c r="Y596" i="1" s="1"/>
  <c r="W595" i="1"/>
  <c r="V595" i="1"/>
  <c r="X595" i="1" s="1"/>
  <c r="U595" i="1"/>
  <c r="W594" i="1"/>
  <c r="V594" i="1"/>
  <c r="X594" i="1" s="1"/>
  <c r="U594" i="1"/>
  <c r="W593" i="1"/>
  <c r="V593" i="1"/>
  <c r="X593" i="1" s="1"/>
  <c r="U593" i="1"/>
  <c r="Y593" i="1" s="1"/>
  <c r="W592" i="1"/>
  <c r="V592" i="1"/>
  <c r="U592" i="1"/>
  <c r="W591" i="1"/>
  <c r="V591" i="1"/>
  <c r="U591" i="1"/>
  <c r="W590" i="1"/>
  <c r="V590" i="1"/>
  <c r="U590" i="1"/>
  <c r="Y589" i="1"/>
  <c r="W589" i="1"/>
  <c r="V589" i="1"/>
  <c r="U589" i="1"/>
  <c r="Z589" i="1" s="1"/>
  <c r="W588" i="1"/>
  <c r="V588" i="1"/>
  <c r="X588" i="1" s="1"/>
  <c r="U588" i="1"/>
  <c r="W587" i="1"/>
  <c r="V587" i="1"/>
  <c r="U587" i="1"/>
  <c r="W586" i="1"/>
  <c r="V586" i="1"/>
  <c r="U586" i="1"/>
  <c r="W585" i="1"/>
  <c r="V585" i="1"/>
  <c r="X585" i="1" s="1"/>
  <c r="U585" i="1"/>
  <c r="Z584" i="1"/>
  <c r="Y584" i="1"/>
  <c r="W584" i="1"/>
  <c r="V584" i="1"/>
  <c r="X584" i="1" s="1"/>
  <c r="U584" i="1"/>
  <c r="W583" i="1"/>
  <c r="V583" i="1"/>
  <c r="U583" i="1"/>
  <c r="W582" i="1"/>
  <c r="V582" i="1"/>
  <c r="U582" i="1"/>
  <c r="W581" i="1"/>
  <c r="V581" i="1"/>
  <c r="X581" i="1" s="1"/>
  <c r="U581" i="1"/>
  <c r="Z580" i="1"/>
  <c r="W580" i="1"/>
  <c r="V580" i="1"/>
  <c r="U580" i="1"/>
  <c r="Y580" i="1" s="1"/>
  <c r="W579" i="1"/>
  <c r="V579" i="1"/>
  <c r="U579" i="1"/>
  <c r="W578" i="1"/>
  <c r="V578" i="1"/>
  <c r="U578" i="1"/>
  <c r="W577" i="1"/>
  <c r="V577" i="1"/>
  <c r="U577" i="1"/>
  <c r="W576" i="1"/>
  <c r="V576" i="1"/>
  <c r="U576" i="1"/>
  <c r="Z576" i="1" s="1"/>
  <c r="W575" i="1"/>
  <c r="V575" i="1"/>
  <c r="U575" i="1"/>
  <c r="Y575" i="1" s="1"/>
  <c r="W574" i="1"/>
  <c r="V574" i="1"/>
  <c r="U574" i="1"/>
  <c r="Z573" i="1"/>
  <c r="Y573" i="1"/>
  <c r="W573" i="1"/>
  <c r="V573" i="1"/>
  <c r="U573" i="1"/>
  <c r="W572" i="1"/>
  <c r="V572" i="1"/>
  <c r="X572" i="1" s="1"/>
  <c r="U572" i="1"/>
  <c r="Z572" i="1" s="1"/>
  <c r="W571" i="1"/>
  <c r="V571" i="1"/>
  <c r="U571" i="1"/>
  <c r="W570" i="1"/>
  <c r="V570" i="1"/>
  <c r="U570" i="1"/>
  <c r="W569" i="1"/>
  <c r="V569" i="1"/>
  <c r="U569" i="1"/>
  <c r="W568" i="1"/>
  <c r="V568" i="1"/>
  <c r="U568" i="1"/>
  <c r="W567" i="1"/>
  <c r="V567" i="1"/>
  <c r="U567" i="1"/>
  <c r="W566" i="1"/>
  <c r="V566" i="1"/>
  <c r="U566" i="1"/>
  <c r="W565" i="1"/>
  <c r="V565" i="1"/>
  <c r="U565" i="1"/>
  <c r="W564" i="1"/>
  <c r="V564" i="1"/>
  <c r="U564" i="1"/>
  <c r="W563" i="1"/>
  <c r="V563" i="1"/>
  <c r="X563" i="1" s="1"/>
  <c r="U563" i="1"/>
  <c r="Y563" i="1" s="1"/>
  <c r="W562" i="1"/>
  <c r="V562" i="1"/>
  <c r="U562" i="1"/>
  <c r="W561" i="1"/>
  <c r="V561" i="1"/>
  <c r="X561" i="1" s="1"/>
  <c r="U561" i="1"/>
  <c r="W560" i="1"/>
  <c r="X560" i="1" s="1"/>
  <c r="V560" i="1"/>
  <c r="U560" i="1"/>
  <c r="W559" i="1"/>
  <c r="V559" i="1"/>
  <c r="X559" i="1" s="1"/>
  <c r="U559" i="1"/>
  <c r="Y559" i="1" s="1"/>
  <c r="W558" i="1"/>
  <c r="V558" i="1"/>
  <c r="X558" i="1" s="1"/>
  <c r="U558" i="1"/>
  <c r="W557" i="1"/>
  <c r="V557" i="1"/>
  <c r="U557" i="1"/>
  <c r="Y557" i="1" s="1"/>
  <c r="W556" i="1"/>
  <c r="V556" i="1"/>
  <c r="U556" i="1"/>
  <c r="W555" i="1"/>
  <c r="V555" i="1"/>
  <c r="U555" i="1"/>
  <c r="Y555" i="1" s="1"/>
  <c r="W554" i="1"/>
  <c r="V554" i="1"/>
  <c r="U554" i="1"/>
  <c r="W553" i="1"/>
  <c r="V553" i="1"/>
  <c r="X553" i="1" s="1"/>
  <c r="U553" i="1"/>
  <c r="W552" i="1"/>
  <c r="V552" i="1"/>
  <c r="U552" i="1"/>
  <c r="W551" i="1"/>
  <c r="V551" i="1"/>
  <c r="X551" i="1" s="1"/>
  <c r="U551" i="1"/>
  <c r="W550" i="1"/>
  <c r="V550" i="1"/>
  <c r="U550" i="1"/>
  <c r="Y550" i="1" s="1"/>
  <c r="Z549" i="1"/>
  <c r="W549" i="1"/>
  <c r="V549" i="1"/>
  <c r="U549" i="1"/>
  <c r="Y549" i="1" s="1"/>
  <c r="W548" i="1"/>
  <c r="V548" i="1"/>
  <c r="U548" i="1"/>
  <c r="W547" i="1"/>
  <c r="V547" i="1"/>
  <c r="U547" i="1"/>
  <c r="Y547" i="1" s="1"/>
  <c r="W546" i="1"/>
  <c r="V546" i="1"/>
  <c r="U546" i="1"/>
  <c r="Y546" i="1" s="1"/>
  <c r="Z545" i="1"/>
  <c r="Y545" i="1"/>
  <c r="W545" i="1"/>
  <c r="V545" i="1"/>
  <c r="U545" i="1"/>
  <c r="W544" i="1"/>
  <c r="V544" i="1"/>
  <c r="U544" i="1"/>
  <c r="Z543" i="1"/>
  <c r="W543" i="1"/>
  <c r="V543" i="1"/>
  <c r="X543" i="1" s="1"/>
  <c r="U543" i="1"/>
  <c r="Y543" i="1" s="1"/>
  <c r="W542" i="1"/>
  <c r="V542" i="1"/>
  <c r="U542" i="1"/>
  <c r="W541" i="1"/>
  <c r="V541" i="1"/>
  <c r="X541" i="1" s="1"/>
  <c r="U541" i="1"/>
  <c r="W540" i="1"/>
  <c r="V540" i="1"/>
  <c r="U540" i="1"/>
  <c r="W539" i="1"/>
  <c r="V539" i="1"/>
  <c r="U539" i="1"/>
  <c r="W538" i="1"/>
  <c r="V538" i="1"/>
  <c r="X538" i="1" s="1"/>
  <c r="U538" i="1"/>
  <c r="W537" i="1"/>
  <c r="V537" i="1"/>
  <c r="U537" i="1"/>
  <c r="Z537" i="1" s="1"/>
  <c r="W536" i="1"/>
  <c r="V536" i="1"/>
  <c r="U536" i="1"/>
  <c r="W535" i="1"/>
  <c r="V535" i="1"/>
  <c r="U535" i="1"/>
  <c r="W534" i="1"/>
  <c r="V534" i="1"/>
  <c r="U534" i="1"/>
  <c r="Y534" i="1" s="1"/>
  <c r="Z533" i="1"/>
  <c r="Y533" i="1"/>
  <c r="X533" i="1"/>
  <c r="W533" i="1"/>
  <c r="V533" i="1"/>
  <c r="U533" i="1"/>
  <c r="W532" i="1"/>
  <c r="V532" i="1"/>
  <c r="U532" i="1"/>
  <c r="W531" i="1"/>
  <c r="X531" i="1" s="1"/>
  <c r="V531" i="1"/>
  <c r="U531" i="1"/>
  <c r="Y531" i="1" s="1"/>
  <c r="W530" i="1"/>
  <c r="V530" i="1"/>
  <c r="U530" i="1"/>
  <c r="Y530" i="1" s="1"/>
  <c r="W529" i="1"/>
  <c r="V529" i="1"/>
  <c r="U529" i="1"/>
  <c r="Y529" i="1" s="1"/>
  <c r="W528" i="1"/>
  <c r="V528" i="1"/>
  <c r="U528" i="1"/>
  <c r="W527" i="1"/>
  <c r="V527" i="1"/>
  <c r="X527" i="1" s="1"/>
  <c r="U527" i="1"/>
  <c r="Z526" i="1"/>
  <c r="W526" i="1"/>
  <c r="V526" i="1"/>
  <c r="U526" i="1"/>
  <c r="Y526" i="1" s="1"/>
  <c r="W525" i="1"/>
  <c r="V525" i="1"/>
  <c r="U525" i="1"/>
  <c r="Z524" i="1"/>
  <c r="Y524" i="1"/>
  <c r="W524" i="1"/>
  <c r="V524" i="1"/>
  <c r="U524" i="1"/>
  <c r="W523" i="1"/>
  <c r="V523" i="1"/>
  <c r="U523" i="1"/>
  <c r="W522" i="1"/>
  <c r="V522" i="1"/>
  <c r="X522" i="1" s="1"/>
  <c r="U522" i="1"/>
  <c r="Y522" i="1" s="1"/>
  <c r="W521" i="1"/>
  <c r="V521" i="1"/>
  <c r="U521" i="1"/>
  <c r="W520" i="1"/>
  <c r="V520" i="1"/>
  <c r="U520" i="1"/>
  <c r="Z520" i="1" s="1"/>
  <c r="W519" i="1"/>
  <c r="V519" i="1"/>
  <c r="U519" i="1"/>
  <c r="Z519" i="1" s="1"/>
  <c r="W518" i="1"/>
  <c r="V518" i="1"/>
  <c r="X518" i="1" s="1"/>
  <c r="U518" i="1"/>
  <c r="Y518" i="1" s="1"/>
  <c r="W517" i="1"/>
  <c r="V517" i="1"/>
  <c r="X517" i="1" s="1"/>
  <c r="U517" i="1"/>
  <c r="Z517" i="1" s="1"/>
  <c r="W516" i="1"/>
  <c r="V516" i="1"/>
  <c r="U516" i="1"/>
  <c r="W515" i="1"/>
  <c r="V515" i="1"/>
  <c r="U515" i="1"/>
  <c r="Y515" i="1" s="1"/>
  <c r="W514" i="1"/>
  <c r="V514" i="1"/>
  <c r="X514" i="1" s="1"/>
  <c r="U514" i="1"/>
  <c r="Y514" i="1" s="1"/>
  <c r="W513" i="1"/>
  <c r="V513" i="1"/>
  <c r="X513" i="1" s="1"/>
  <c r="U513" i="1"/>
  <c r="Z513" i="1" s="1"/>
  <c r="W512" i="1"/>
  <c r="V512" i="1"/>
  <c r="U512" i="1"/>
  <c r="Y512" i="1" s="1"/>
  <c r="W511" i="1"/>
  <c r="V511" i="1"/>
  <c r="U511" i="1"/>
  <c r="Z511" i="1" s="1"/>
  <c r="W510" i="1"/>
  <c r="V510" i="1"/>
  <c r="X510" i="1" s="1"/>
  <c r="U510" i="1"/>
  <c r="W509" i="1"/>
  <c r="V509" i="1"/>
  <c r="X509" i="1" s="1"/>
  <c r="U509" i="1"/>
  <c r="Z509" i="1" s="1"/>
  <c r="W508" i="1"/>
  <c r="V508" i="1"/>
  <c r="X508" i="1" s="1"/>
  <c r="U508" i="1"/>
  <c r="W507" i="1"/>
  <c r="V507" i="1"/>
  <c r="X507" i="1" s="1"/>
  <c r="U507" i="1"/>
  <c r="Z507" i="1" s="1"/>
  <c r="W506" i="1"/>
  <c r="V506" i="1"/>
  <c r="U506" i="1"/>
  <c r="Y506" i="1" s="1"/>
  <c r="W505" i="1"/>
  <c r="V505" i="1"/>
  <c r="U505" i="1"/>
  <c r="W504" i="1"/>
  <c r="V504" i="1"/>
  <c r="X504" i="1" s="1"/>
  <c r="U504" i="1"/>
  <c r="Z504" i="1" s="1"/>
  <c r="W503" i="1"/>
  <c r="V503" i="1"/>
  <c r="U503" i="1"/>
  <c r="W502" i="1"/>
  <c r="V502" i="1"/>
  <c r="U502" i="1"/>
  <c r="Y502" i="1" s="1"/>
  <c r="W501" i="1"/>
  <c r="V501" i="1"/>
  <c r="X501" i="1" s="1"/>
  <c r="U501" i="1"/>
  <c r="W500" i="1"/>
  <c r="V500" i="1"/>
  <c r="U500" i="1"/>
  <c r="Z500" i="1" s="1"/>
  <c r="W499" i="1"/>
  <c r="V499" i="1"/>
  <c r="X499" i="1" s="1"/>
  <c r="U499" i="1"/>
  <c r="W498" i="1"/>
  <c r="V498" i="1"/>
  <c r="U498" i="1"/>
  <c r="W497" i="1"/>
  <c r="V497" i="1"/>
  <c r="U497" i="1"/>
  <c r="Z497" i="1" s="1"/>
  <c r="W496" i="1"/>
  <c r="V496" i="1"/>
  <c r="U496" i="1"/>
  <c r="W495" i="1"/>
  <c r="V495" i="1"/>
  <c r="U495" i="1"/>
  <c r="W494" i="1"/>
  <c r="V494" i="1"/>
  <c r="U494" i="1"/>
  <c r="W493" i="1"/>
  <c r="V493" i="1"/>
  <c r="U493" i="1"/>
  <c r="Z493" i="1" s="1"/>
  <c r="W492" i="1"/>
  <c r="V492" i="1"/>
  <c r="X492" i="1" s="1"/>
  <c r="U492" i="1"/>
  <c r="Z492" i="1" s="1"/>
  <c r="W491" i="1"/>
  <c r="V491" i="1"/>
  <c r="U491" i="1"/>
  <c r="W490" i="1"/>
  <c r="V490" i="1"/>
  <c r="U490" i="1"/>
  <c r="Y490" i="1" s="1"/>
  <c r="W489" i="1"/>
  <c r="V489" i="1"/>
  <c r="U489" i="1"/>
  <c r="Z489" i="1" s="1"/>
  <c r="W488" i="1"/>
  <c r="V488" i="1"/>
  <c r="U488" i="1"/>
  <c r="Y488" i="1" s="1"/>
  <c r="W487" i="1"/>
  <c r="V487" i="1"/>
  <c r="U487" i="1"/>
  <c r="Z487" i="1" s="1"/>
  <c r="W486" i="1"/>
  <c r="V486" i="1"/>
  <c r="X486" i="1" s="1"/>
  <c r="U486" i="1"/>
  <c r="W485" i="1"/>
  <c r="V485" i="1"/>
  <c r="U485" i="1"/>
  <c r="Z485" i="1" s="1"/>
  <c r="W484" i="1"/>
  <c r="V484" i="1"/>
  <c r="X484" i="1" s="1"/>
  <c r="U484" i="1"/>
  <c r="W483" i="1"/>
  <c r="V483" i="1"/>
  <c r="U483" i="1"/>
  <c r="Y483" i="1" s="1"/>
  <c r="W482" i="1"/>
  <c r="V482" i="1"/>
  <c r="U482" i="1"/>
  <c r="Y482" i="1" s="1"/>
  <c r="W481" i="1"/>
  <c r="V481" i="1"/>
  <c r="U481" i="1"/>
  <c r="Z481" i="1" s="1"/>
  <c r="W480" i="1"/>
  <c r="V480" i="1"/>
  <c r="U480" i="1"/>
  <c r="Z480" i="1" s="1"/>
  <c r="W479" i="1"/>
  <c r="V479" i="1"/>
  <c r="U479" i="1"/>
  <c r="W478" i="1"/>
  <c r="V478" i="1"/>
  <c r="X478" i="1" s="1"/>
  <c r="U478" i="1"/>
  <c r="Y478" i="1" s="1"/>
  <c r="W477" i="1"/>
  <c r="V477" i="1"/>
  <c r="U477" i="1"/>
  <c r="Z477" i="1" s="1"/>
  <c r="W476" i="1"/>
  <c r="V476" i="1"/>
  <c r="X476" i="1" s="1"/>
  <c r="U476" i="1"/>
  <c r="Z476" i="1" s="1"/>
  <c r="W475" i="1"/>
  <c r="V475" i="1"/>
  <c r="U475" i="1"/>
  <c r="W474" i="1"/>
  <c r="V474" i="1"/>
  <c r="U474" i="1"/>
  <c r="Y474" i="1" s="1"/>
  <c r="W473" i="1"/>
  <c r="V473" i="1"/>
  <c r="U473" i="1"/>
  <c r="Z473" i="1" s="1"/>
  <c r="W472" i="1"/>
  <c r="V472" i="1"/>
  <c r="U472" i="1"/>
  <c r="Z472" i="1" s="1"/>
  <c r="W471" i="1"/>
  <c r="V471" i="1"/>
  <c r="U471" i="1"/>
  <c r="W470" i="1"/>
  <c r="V470" i="1"/>
  <c r="U470" i="1"/>
  <c r="Y470" i="1" s="1"/>
  <c r="W469" i="1"/>
  <c r="V469" i="1"/>
  <c r="U469" i="1"/>
  <c r="Z469" i="1" s="1"/>
  <c r="W468" i="1"/>
  <c r="V468" i="1"/>
  <c r="X468" i="1" s="1"/>
  <c r="U468" i="1"/>
  <c r="Z467" i="1"/>
  <c r="X467" i="1"/>
  <c r="W467" i="1"/>
  <c r="V467" i="1"/>
  <c r="U467" i="1"/>
  <c r="Y467" i="1" s="1"/>
  <c r="W466" i="1"/>
  <c r="V466" i="1"/>
  <c r="X466" i="1" s="1"/>
  <c r="U466" i="1"/>
  <c r="Y466" i="1" s="1"/>
  <c r="W465" i="1"/>
  <c r="X465" i="1" s="1"/>
  <c r="V465" i="1"/>
  <c r="U465" i="1"/>
  <c r="Z465" i="1" s="1"/>
  <c r="W464" i="1"/>
  <c r="V464" i="1"/>
  <c r="X464" i="1" s="1"/>
  <c r="U464" i="1"/>
  <c r="Z464" i="1" s="1"/>
  <c r="W463" i="1"/>
  <c r="V463" i="1"/>
  <c r="U463" i="1"/>
  <c r="W462" i="1"/>
  <c r="V462" i="1"/>
  <c r="U462" i="1"/>
  <c r="W461" i="1"/>
  <c r="V461" i="1"/>
  <c r="X461" i="1" s="1"/>
  <c r="U461" i="1"/>
  <c r="Z461" i="1" s="1"/>
  <c r="W460" i="1"/>
  <c r="V460" i="1"/>
  <c r="U460" i="1"/>
  <c r="Y460" i="1" s="1"/>
  <c r="W459" i="1"/>
  <c r="V459" i="1"/>
  <c r="U459" i="1"/>
  <c r="W458" i="1"/>
  <c r="V458" i="1"/>
  <c r="U458" i="1"/>
  <c r="Y458" i="1" s="1"/>
  <c r="W457" i="1"/>
  <c r="V457" i="1"/>
  <c r="U457" i="1"/>
  <c r="Z457" i="1" s="1"/>
  <c r="W456" i="1"/>
  <c r="V456" i="1"/>
  <c r="X456" i="1" s="1"/>
  <c r="U456" i="1"/>
  <c r="Z456" i="1" s="1"/>
  <c r="W455" i="1"/>
  <c r="V455" i="1"/>
  <c r="U455" i="1"/>
  <c r="Y455" i="1" s="1"/>
  <c r="W454" i="1"/>
  <c r="V454" i="1"/>
  <c r="U454" i="1"/>
  <c r="W453" i="1"/>
  <c r="V453" i="1"/>
  <c r="U453" i="1"/>
  <c r="Z453" i="1" s="1"/>
  <c r="W452" i="1"/>
  <c r="V452" i="1"/>
  <c r="U452" i="1"/>
  <c r="W451" i="1"/>
  <c r="V451" i="1"/>
  <c r="U451" i="1"/>
  <c r="W450" i="1"/>
  <c r="V450" i="1"/>
  <c r="U450" i="1"/>
  <c r="Y450" i="1" s="1"/>
  <c r="W449" i="1"/>
  <c r="V449" i="1"/>
  <c r="X449" i="1" s="1"/>
  <c r="U449" i="1"/>
  <c r="Z449" i="1" s="1"/>
  <c r="W448" i="1"/>
  <c r="V448" i="1"/>
  <c r="X448" i="1" s="1"/>
  <c r="U448" i="1"/>
  <c r="W447" i="1"/>
  <c r="V447" i="1"/>
  <c r="U447" i="1"/>
  <c r="W446" i="1"/>
  <c r="V446" i="1"/>
  <c r="U446" i="1"/>
  <c r="Y446" i="1" s="1"/>
  <c r="W445" i="1"/>
  <c r="V445" i="1"/>
  <c r="X445" i="1" s="1"/>
  <c r="U445" i="1"/>
  <c r="Z445" i="1" s="1"/>
  <c r="W444" i="1"/>
  <c r="V444" i="1"/>
  <c r="X444" i="1" s="1"/>
  <c r="U444" i="1"/>
  <c r="Z444" i="1" s="1"/>
  <c r="W443" i="1"/>
  <c r="V443" i="1"/>
  <c r="U443" i="1"/>
  <c r="W442" i="1"/>
  <c r="V442" i="1"/>
  <c r="U442" i="1"/>
  <c r="W441" i="1"/>
  <c r="V441" i="1"/>
  <c r="X441" i="1" s="1"/>
  <c r="U441" i="1"/>
  <c r="Z441" i="1" s="1"/>
  <c r="W440" i="1"/>
  <c r="V440" i="1"/>
  <c r="U440" i="1"/>
  <c r="W439" i="1"/>
  <c r="V439" i="1"/>
  <c r="X439" i="1" s="1"/>
  <c r="U439" i="1"/>
  <c r="Z439" i="1" s="1"/>
  <c r="W438" i="1"/>
  <c r="V438" i="1"/>
  <c r="U438" i="1"/>
  <c r="Y438" i="1" s="1"/>
  <c r="W437" i="1"/>
  <c r="V437" i="1"/>
  <c r="U437" i="1"/>
  <c r="Z437" i="1" s="1"/>
  <c r="W436" i="1"/>
  <c r="V436" i="1"/>
  <c r="U436" i="1"/>
  <c r="Y436" i="1" s="1"/>
  <c r="W435" i="1"/>
  <c r="V435" i="1"/>
  <c r="U435" i="1"/>
  <c r="W434" i="1"/>
  <c r="V434" i="1"/>
  <c r="U434" i="1"/>
  <c r="W433" i="1"/>
  <c r="V433" i="1"/>
  <c r="U433" i="1"/>
  <c r="Z433" i="1" s="1"/>
  <c r="W432" i="1"/>
  <c r="V432" i="1"/>
  <c r="U432" i="1"/>
  <c r="Z432" i="1" s="1"/>
  <c r="W431" i="1"/>
  <c r="V431" i="1"/>
  <c r="U431" i="1"/>
  <c r="W430" i="1"/>
  <c r="V430" i="1"/>
  <c r="U430" i="1"/>
  <c r="Y430" i="1" s="1"/>
  <c r="W429" i="1"/>
  <c r="V429" i="1"/>
  <c r="U429" i="1"/>
  <c r="Z429" i="1" s="1"/>
  <c r="Y428" i="1"/>
  <c r="W428" i="1"/>
  <c r="V428" i="1"/>
  <c r="U428" i="1"/>
  <c r="Z428" i="1" s="1"/>
  <c r="W427" i="1"/>
  <c r="V427" i="1"/>
  <c r="U427" i="1"/>
  <c r="W426" i="1"/>
  <c r="V426" i="1"/>
  <c r="X426" i="1" s="1"/>
  <c r="U426" i="1"/>
  <c r="Y426" i="1" s="1"/>
  <c r="W425" i="1"/>
  <c r="V425" i="1"/>
  <c r="U425" i="1"/>
  <c r="Z425" i="1" s="1"/>
  <c r="W424" i="1"/>
  <c r="V424" i="1"/>
  <c r="U424" i="1"/>
  <c r="W423" i="1"/>
  <c r="V423" i="1"/>
  <c r="U423" i="1"/>
  <c r="Z423" i="1" s="1"/>
  <c r="W422" i="1"/>
  <c r="V422" i="1"/>
  <c r="X422" i="1" s="1"/>
  <c r="U422" i="1"/>
  <c r="W421" i="1"/>
  <c r="V421" i="1"/>
  <c r="U421" i="1"/>
  <c r="Z421" i="1" s="1"/>
  <c r="W420" i="1"/>
  <c r="V420" i="1"/>
  <c r="U420" i="1"/>
  <c r="Y420" i="1" s="1"/>
  <c r="W419" i="1"/>
  <c r="V419" i="1"/>
  <c r="U419" i="1"/>
  <c r="Z419" i="1" s="1"/>
  <c r="W418" i="1"/>
  <c r="V418" i="1"/>
  <c r="U418" i="1"/>
  <c r="Y418" i="1" s="1"/>
  <c r="W417" i="1"/>
  <c r="V417" i="1"/>
  <c r="X417" i="1" s="1"/>
  <c r="U417" i="1"/>
  <c r="Z417" i="1" s="1"/>
  <c r="W416" i="1"/>
  <c r="V416" i="1"/>
  <c r="U416" i="1"/>
  <c r="W415" i="1"/>
  <c r="X415" i="1" s="1"/>
  <c r="V415" i="1"/>
  <c r="U415" i="1"/>
  <c r="W414" i="1"/>
  <c r="V414" i="1"/>
  <c r="U414" i="1"/>
  <c r="W413" i="1"/>
  <c r="V413" i="1"/>
  <c r="U413" i="1"/>
  <c r="Z413" i="1" s="1"/>
  <c r="W412" i="1"/>
  <c r="V412" i="1"/>
  <c r="U412" i="1"/>
  <c r="Z412" i="1" s="1"/>
  <c r="W411" i="1"/>
  <c r="V411" i="1"/>
  <c r="U411" i="1"/>
  <c r="Y411" i="1" s="1"/>
  <c r="Z410" i="1"/>
  <c r="W410" i="1"/>
  <c r="V410" i="1"/>
  <c r="U410" i="1"/>
  <c r="Y410" i="1" s="1"/>
  <c r="W409" i="1"/>
  <c r="V409" i="1"/>
  <c r="U409" i="1"/>
  <c r="Z409" i="1" s="1"/>
  <c r="Y408" i="1"/>
  <c r="W408" i="1"/>
  <c r="V408" i="1"/>
  <c r="U408" i="1"/>
  <c r="Z408" i="1" s="1"/>
  <c r="W407" i="1"/>
  <c r="V407" i="1"/>
  <c r="U407" i="1"/>
  <c r="W406" i="1"/>
  <c r="V406" i="1"/>
  <c r="U406" i="1"/>
  <c r="Y406" i="1" s="1"/>
  <c r="W405" i="1"/>
  <c r="V405" i="1"/>
  <c r="U405" i="1"/>
  <c r="Z405" i="1" s="1"/>
  <c r="W404" i="1"/>
  <c r="V404" i="1"/>
  <c r="U404" i="1"/>
  <c r="Z403" i="1"/>
  <c r="Y403" i="1"/>
  <c r="W403" i="1"/>
  <c r="V403" i="1"/>
  <c r="U403" i="1"/>
  <c r="W402" i="1"/>
  <c r="V402" i="1"/>
  <c r="U402" i="1"/>
  <c r="W401" i="1"/>
  <c r="V401" i="1"/>
  <c r="U401" i="1"/>
  <c r="Z401" i="1" s="1"/>
  <c r="W400" i="1"/>
  <c r="V400" i="1"/>
  <c r="U400" i="1"/>
  <c r="W399" i="1"/>
  <c r="V399" i="1"/>
  <c r="U399" i="1"/>
  <c r="Z399" i="1" s="1"/>
  <c r="W398" i="1"/>
  <c r="V398" i="1"/>
  <c r="U398" i="1"/>
  <c r="Y398" i="1" s="1"/>
  <c r="W397" i="1"/>
  <c r="V397" i="1"/>
  <c r="U397" i="1"/>
  <c r="Z397" i="1" s="1"/>
  <c r="Y396" i="1"/>
  <c r="W396" i="1"/>
  <c r="V396" i="1"/>
  <c r="U396" i="1"/>
  <c r="Z396" i="1" s="1"/>
  <c r="W395" i="1"/>
  <c r="V395" i="1"/>
  <c r="U395" i="1"/>
  <c r="Y395" i="1" s="1"/>
  <c r="W394" i="1"/>
  <c r="V394" i="1"/>
  <c r="U394" i="1"/>
  <c r="Y394" i="1" s="1"/>
  <c r="W393" i="1"/>
  <c r="V393" i="1"/>
  <c r="U393" i="1"/>
  <c r="Z393" i="1" s="1"/>
  <c r="W392" i="1"/>
  <c r="V392" i="1"/>
  <c r="U392" i="1"/>
  <c r="Z392" i="1" s="1"/>
  <c r="W391" i="1"/>
  <c r="V391" i="1"/>
  <c r="U391" i="1"/>
  <c r="W390" i="1"/>
  <c r="V390" i="1"/>
  <c r="U390" i="1"/>
  <c r="Y390" i="1" s="1"/>
  <c r="W389" i="1"/>
  <c r="V389" i="1"/>
  <c r="U389" i="1"/>
  <c r="Z389" i="1" s="1"/>
  <c r="Z388" i="1"/>
  <c r="W388" i="1"/>
  <c r="V388" i="1"/>
  <c r="U388" i="1"/>
  <c r="Y388" i="1" s="1"/>
  <c r="W387" i="1"/>
  <c r="V387" i="1"/>
  <c r="U387" i="1"/>
  <c r="Z387" i="1" s="1"/>
  <c r="W386" i="1"/>
  <c r="V386" i="1"/>
  <c r="U386" i="1"/>
  <c r="Y386" i="1" s="1"/>
  <c r="W385" i="1"/>
  <c r="V385" i="1"/>
  <c r="U385" i="1"/>
  <c r="Z385" i="1" s="1"/>
  <c r="W384" i="1"/>
  <c r="V384" i="1"/>
  <c r="U384" i="1"/>
  <c r="Z384" i="1" s="1"/>
  <c r="W383" i="1"/>
  <c r="V383" i="1"/>
  <c r="U383" i="1"/>
  <c r="Y383" i="1" s="1"/>
  <c r="W382" i="1"/>
  <c r="V382" i="1"/>
  <c r="U382" i="1"/>
  <c r="W381" i="1"/>
  <c r="X381" i="1" s="1"/>
  <c r="V381" i="1"/>
  <c r="U381" i="1"/>
  <c r="Z381" i="1" s="1"/>
  <c r="W380" i="1"/>
  <c r="V380" i="1"/>
  <c r="X380" i="1" s="1"/>
  <c r="U380" i="1"/>
  <c r="W379" i="1"/>
  <c r="V379" i="1"/>
  <c r="U379" i="1"/>
  <c r="W378" i="1"/>
  <c r="V378" i="1"/>
  <c r="U378" i="1"/>
  <c r="W377" i="1"/>
  <c r="V377" i="1"/>
  <c r="U377" i="1"/>
  <c r="Z377" i="1" s="1"/>
  <c r="W376" i="1"/>
  <c r="V376" i="1"/>
  <c r="X376" i="1" s="1"/>
  <c r="U376" i="1"/>
  <c r="Z376" i="1" s="1"/>
  <c r="W375" i="1"/>
  <c r="V375" i="1"/>
  <c r="U375" i="1"/>
  <c r="Y375" i="1" s="1"/>
  <c r="W374" i="1"/>
  <c r="V374" i="1"/>
  <c r="U374" i="1"/>
  <c r="Y374" i="1" s="1"/>
  <c r="W373" i="1"/>
  <c r="V373" i="1"/>
  <c r="U373" i="1"/>
  <c r="Z373" i="1" s="1"/>
  <c r="W372" i="1"/>
  <c r="V372" i="1"/>
  <c r="U372" i="1"/>
  <c r="Y372" i="1" s="1"/>
  <c r="W371" i="1"/>
  <c r="V371" i="1"/>
  <c r="X371" i="1" s="1"/>
  <c r="U371" i="1"/>
  <c r="W370" i="1"/>
  <c r="V370" i="1"/>
  <c r="U370" i="1"/>
  <c r="Y370" i="1" s="1"/>
  <c r="W369" i="1"/>
  <c r="V369" i="1"/>
  <c r="X369" i="1" s="1"/>
  <c r="U369" i="1"/>
  <c r="Z369" i="1" s="1"/>
  <c r="W368" i="1"/>
  <c r="V368" i="1"/>
  <c r="U368" i="1"/>
  <c r="Y368" i="1" s="1"/>
  <c r="W367" i="1"/>
  <c r="V367" i="1"/>
  <c r="U367" i="1"/>
  <c r="W366" i="1"/>
  <c r="V366" i="1"/>
  <c r="U366" i="1"/>
  <c r="Y366" i="1" s="1"/>
  <c r="W365" i="1"/>
  <c r="V365" i="1"/>
  <c r="U365" i="1"/>
  <c r="Z365" i="1" s="1"/>
  <c r="W364" i="1"/>
  <c r="V364" i="1"/>
  <c r="X364" i="1" s="1"/>
  <c r="U364" i="1"/>
  <c r="Z363" i="1"/>
  <c r="W363" i="1"/>
  <c r="X363" i="1" s="1"/>
  <c r="V363" i="1"/>
  <c r="U363" i="1"/>
  <c r="Y363" i="1" s="1"/>
  <c r="W362" i="1"/>
  <c r="V362" i="1"/>
  <c r="X362" i="1" s="1"/>
  <c r="U362" i="1"/>
  <c r="Y362" i="1" s="1"/>
  <c r="W361" i="1"/>
  <c r="V361" i="1"/>
  <c r="U361" i="1"/>
  <c r="Z361" i="1" s="1"/>
  <c r="W360" i="1"/>
  <c r="V360" i="1"/>
  <c r="X360" i="1" s="1"/>
  <c r="U360" i="1"/>
  <c r="W359" i="1"/>
  <c r="V359" i="1"/>
  <c r="U359" i="1"/>
  <c r="Z359" i="1" s="1"/>
  <c r="W358" i="1"/>
  <c r="V358" i="1"/>
  <c r="U358" i="1"/>
  <c r="Y358" i="1" s="1"/>
  <c r="W357" i="1"/>
  <c r="V357" i="1"/>
  <c r="X357" i="1" s="1"/>
  <c r="U357" i="1"/>
  <c r="Z357" i="1" s="1"/>
  <c r="W356" i="1"/>
  <c r="V356" i="1"/>
  <c r="U356" i="1"/>
  <c r="Z356" i="1" s="1"/>
  <c r="W355" i="1"/>
  <c r="V355" i="1"/>
  <c r="U355" i="1"/>
  <c r="W354" i="1"/>
  <c r="V354" i="1"/>
  <c r="X354" i="1" s="1"/>
  <c r="U354" i="1"/>
  <c r="Y354" i="1" s="1"/>
  <c r="W353" i="1"/>
  <c r="V353" i="1"/>
  <c r="U353" i="1"/>
  <c r="Z353" i="1" s="1"/>
  <c r="W352" i="1"/>
  <c r="V352" i="1"/>
  <c r="X352" i="1" s="1"/>
  <c r="U352" i="1"/>
  <c r="Z352" i="1" s="1"/>
  <c r="W351" i="1"/>
  <c r="V351" i="1"/>
  <c r="U351" i="1"/>
  <c r="W350" i="1"/>
  <c r="V350" i="1"/>
  <c r="U350" i="1"/>
  <c r="Y350" i="1" s="1"/>
  <c r="W349" i="1"/>
  <c r="V349" i="1"/>
  <c r="U349" i="1"/>
  <c r="Z349" i="1" s="1"/>
  <c r="W348" i="1"/>
  <c r="V348" i="1"/>
  <c r="X348" i="1" s="1"/>
  <c r="U348" i="1"/>
  <c r="Z348" i="1" s="1"/>
  <c r="W347" i="1"/>
  <c r="V347" i="1"/>
  <c r="U347" i="1"/>
  <c r="Z347" i="1" s="1"/>
  <c r="W346" i="1"/>
  <c r="V346" i="1"/>
  <c r="U346" i="1"/>
  <c r="W345" i="1"/>
  <c r="V345" i="1"/>
  <c r="U345" i="1"/>
  <c r="Z345" i="1" s="1"/>
  <c r="W344" i="1"/>
  <c r="V344" i="1"/>
  <c r="X344" i="1" s="1"/>
  <c r="U344" i="1"/>
  <c r="Z343" i="1"/>
  <c r="Y343" i="1"/>
  <c r="W343" i="1"/>
  <c r="V343" i="1"/>
  <c r="U343" i="1"/>
  <c r="W342" i="1"/>
  <c r="V342" i="1"/>
  <c r="U342" i="1"/>
  <c r="Y342" i="1" s="1"/>
  <c r="W341" i="1"/>
  <c r="V341" i="1"/>
  <c r="U341" i="1"/>
  <c r="Z341" i="1" s="1"/>
  <c r="W340" i="1"/>
  <c r="V340" i="1"/>
  <c r="U340" i="1"/>
  <c r="Z340" i="1" s="1"/>
  <c r="W339" i="1"/>
  <c r="V339" i="1"/>
  <c r="U339" i="1"/>
  <c r="Y339" i="1" s="1"/>
  <c r="Z338" i="1"/>
  <c r="W338" i="1"/>
  <c r="V338" i="1"/>
  <c r="U338" i="1"/>
  <c r="Y338" i="1" s="1"/>
  <c r="W337" i="1"/>
  <c r="V337" i="1"/>
  <c r="X337" i="1" s="1"/>
  <c r="U337" i="1"/>
  <c r="Z337" i="1" s="1"/>
  <c r="Z336" i="1"/>
  <c r="Y336" i="1"/>
  <c r="W336" i="1"/>
  <c r="V336" i="1"/>
  <c r="U336" i="1"/>
  <c r="W335" i="1"/>
  <c r="V335" i="1"/>
  <c r="U335" i="1"/>
  <c r="Z335" i="1" s="1"/>
  <c r="W334" i="1"/>
  <c r="V334" i="1"/>
  <c r="U334" i="1"/>
  <c r="Y334" i="1" s="1"/>
  <c r="W333" i="1"/>
  <c r="V333" i="1"/>
  <c r="U333" i="1"/>
  <c r="Z333" i="1" s="1"/>
  <c r="W332" i="1"/>
  <c r="V332" i="1"/>
  <c r="X332" i="1" s="1"/>
  <c r="U332" i="1"/>
  <c r="Z332" i="1" s="1"/>
  <c r="W331" i="1"/>
  <c r="V331" i="1"/>
  <c r="U331" i="1"/>
  <c r="Z331" i="1" s="1"/>
  <c r="W330" i="1"/>
  <c r="V330" i="1"/>
  <c r="U330" i="1"/>
  <c r="Y330" i="1" s="1"/>
  <c r="W329" i="1"/>
  <c r="V329" i="1"/>
  <c r="X329" i="1" s="1"/>
  <c r="U329" i="1"/>
  <c r="Z329" i="1" s="1"/>
  <c r="W328" i="1"/>
  <c r="V328" i="1"/>
  <c r="U328" i="1"/>
  <c r="W327" i="1"/>
  <c r="V327" i="1"/>
  <c r="U327" i="1"/>
  <c r="Z327" i="1" s="1"/>
  <c r="W326" i="1"/>
  <c r="V326" i="1"/>
  <c r="U326" i="1"/>
  <c r="W325" i="1"/>
  <c r="V325" i="1"/>
  <c r="X325" i="1" s="1"/>
  <c r="U325" i="1"/>
  <c r="Z325" i="1" s="1"/>
  <c r="W324" i="1"/>
  <c r="V324" i="1"/>
  <c r="U324" i="1"/>
  <c r="W323" i="1"/>
  <c r="V323" i="1"/>
  <c r="U323" i="1"/>
  <c r="W322" i="1"/>
  <c r="V322" i="1"/>
  <c r="U322" i="1"/>
  <c r="Y322" i="1" s="1"/>
  <c r="W321" i="1"/>
  <c r="X321" i="1" s="1"/>
  <c r="V321" i="1"/>
  <c r="U321" i="1"/>
  <c r="Z321" i="1" s="1"/>
  <c r="W320" i="1"/>
  <c r="V320" i="1"/>
  <c r="U320" i="1"/>
  <c r="W319" i="1"/>
  <c r="V319" i="1"/>
  <c r="U319" i="1"/>
  <c r="Y319" i="1" s="1"/>
  <c r="W318" i="1"/>
  <c r="V318" i="1"/>
  <c r="U318" i="1"/>
  <c r="W317" i="1"/>
  <c r="V317" i="1"/>
  <c r="U317" i="1"/>
  <c r="Z317" i="1" s="1"/>
  <c r="W316" i="1"/>
  <c r="V316" i="1"/>
  <c r="X316" i="1" s="1"/>
  <c r="U316" i="1"/>
  <c r="W315" i="1"/>
  <c r="V315" i="1"/>
  <c r="U315" i="1"/>
  <c r="Y315" i="1" s="1"/>
  <c r="W314" i="1"/>
  <c r="V314" i="1"/>
  <c r="U314" i="1"/>
  <c r="Y314" i="1" s="1"/>
  <c r="W313" i="1"/>
  <c r="V313" i="1"/>
  <c r="U313" i="1"/>
  <c r="Z313" i="1" s="1"/>
  <c r="W312" i="1"/>
  <c r="V312" i="1"/>
  <c r="U312" i="1"/>
  <c r="Z312" i="1" s="1"/>
  <c r="W311" i="1"/>
  <c r="V311" i="1"/>
  <c r="U311" i="1"/>
  <c r="W310" i="1"/>
  <c r="V310" i="1"/>
  <c r="X310" i="1" s="1"/>
  <c r="U310" i="1"/>
  <c r="Y310" i="1" s="1"/>
  <c r="W309" i="1"/>
  <c r="V309" i="1"/>
  <c r="U309" i="1"/>
  <c r="Z309" i="1" s="1"/>
  <c r="W308" i="1"/>
  <c r="V308" i="1"/>
  <c r="U308" i="1"/>
  <c r="W307" i="1"/>
  <c r="V307" i="1"/>
  <c r="U307" i="1"/>
  <c r="Y307" i="1" s="1"/>
  <c r="W306" i="1"/>
  <c r="V306" i="1"/>
  <c r="U306" i="1"/>
  <c r="Y306" i="1" s="1"/>
  <c r="W305" i="1"/>
  <c r="X305" i="1" s="1"/>
  <c r="V305" i="1"/>
  <c r="U305" i="1"/>
  <c r="Z305" i="1" s="1"/>
  <c r="W304" i="1"/>
  <c r="V304" i="1"/>
  <c r="X304" i="1" s="1"/>
  <c r="U304" i="1"/>
  <c r="Z304" i="1" s="1"/>
  <c r="Z303" i="1"/>
  <c r="W303" i="1"/>
  <c r="V303" i="1"/>
  <c r="U303" i="1"/>
  <c r="Y303" i="1" s="1"/>
  <c r="W302" i="1"/>
  <c r="V302" i="1"/>
  <c r="X302" i="1" s="1"/>
  <c r="U302" i="1"/>
  <c r="Y302" i="1" s="1"/>
  <c r="W301" i="1"/>
  <c r="V301" i="1"/>
  <c r="U301" i="1"/>
  <c r="Z301" i="1" s="1"/>
  <c r="W300" i="1"/>
  <c r="V300" i="1"/>
  <c r="U300" i="1"/>
  <c r="W299" i="1"/>
  <c r="V299" i="1"/>
  <c r="U299" i="1"/>
  <c r="Z299" i="1" s="1"/>
  <c r="W298" i="1"/>
  <c r="V298" i="1"/>
  <c r="U298" i="1"/>
  <c r="Y298" i="1" s="1"/>
  <c r="W297" i="1"/>
  <c r="V297" i="1"/>
  <c r="U297" i="1"/>
  <c r="Z297" i="1" s="1"/>
  <c r="Z296" i="1"/>
  <c r="Y296" i="1"/>
  <c r="W296" i="1"/>
  <c r="V296" i="1"/>
  <c r="U296" i="1"/>
  <c r="W295" i="1"/>
  <c r="V295" i="1"/>
  <c r="U295" i="1"/>
  <c r="Z295" i="1" s="1"/>
  <c r="W294" i="1"/>
  <c r="V294" i="1"/>
  <c r="U294" i="1"/>
  <c r="Y294" i="1" s="1"/>
  <c r="W293" i="1"/>
  <c r="V293" i="1"/>
  <c r="U293" i="1"/>
  <c r="Z293" i="1" s="1"/>
  <c r="W292" i="1"/>
  <c r="V292" i="1"/>
  <c r="X292" i="1" s="1"/>
  <c r="U292" i="1"/>
  <c r="Z292" i="1" s="1"/>
  <c r="W291" i="1"/>
  <c r="V291" i="1"/>
  <c r="U291" i="1"/>
  <c r="W290" i="1"/>
  <c r="V290" i="1"/>
  <c r="U290" i="1"/>
  <c r="Y290" i="1" s="1"/>
  <c r="W289" i="1"/>
  <c r="V289" i="1"/>
  <c r="X289" i="1" s="1"/>
  <c r="U289" i="1"/>
  <c r="Z289" i="1" s="1"/>
  <c r="W288" i="1"/>
  <c r="V288" i="1"/>
  <c r="U288" i="1"/>
  <c r="W287" i="1"/>
  <c r="V287" i="1"/>
  <c r="U287" i="1"/>
  <c r="W286" i="1"/>
  <c r="V286" i="1"/>
  <c r="X286" i="1" s="1"/>
  <c r="U286" i="1"/>
  <c r="Y286" i="1" s="1"/>
  <c r="W285" i="1"/>
  <c r="V285" i="1"/>
  <c r="U285" i="1"/>
  <c r="Z285" i="1" s="1"/>
  <c r="W284" i="1"/>
  <c r="V284" i="1"/>
  <c r="U284" i="1"/>
  <c r="Z284" i="1" s="1"/>
  <c r="W283" i="1"/>
  <c r="V283" i="1"/>
  <c r="U283" i="1"/>
  <c r="Z283" i="1" s="1"/>
  <c r="W282" i="1"/>
  <c r="V282" i="1"/>
  <c r="U282" i="1"/>
  <c r="Y282" i="1" s="1"/>
  <c r="W281" i="1"/>
  <c r="V281" i="1"/>
  <c r="X281" i="1" s="1"/>
  <c r="U281" i="1"/>
  <c r="W280" i="1"/>
  <c r="V280" i="1"/>
  <c r="U280" i="1"/>
  <c r="W279" i="1"/>
  <c r="V279" i="1"/>
  <c r="U279" i="1"/>
  <c r="Z279" i="1" s="1"/>
  <c r="W278" i="1"/>
  <c r="V278" i="1"/>
  <c r="U278" i="1"/>
  <c r="Y278" i="1" s="1"/>
  <c r="W277" i="1"/>
  <c r="V277" i="1"/>
  <c r="X277" i="1" s="1"/>
  <c r="U277" i="1"/>
  <c r="Y277" i="1" s="1"/>
  <c r="W276" i="1"/>
  <c r="V276" i="1"/>
  <c r="U276" i="1"/>
  <c r="Z276" i="1" s="1"/>
  <c r="W275" i="1"/>
  <c r="V275" i="1"/>
  <c r="U275" i="1"/>
  <c r="Z275" i="1" s="1"/>
  <c r="W274" i="1"/>
  <c r="V274" i="1"/>
  <c r="U274" i="1"/>
  <c r="Y274" i="1" s="1"/>
  <c r="W273" i="1"/>
  <c r="V273" i="1"/>
  <c r="U273" i="1"/>
  <c r="W272" i="1"/>
  <c r="V272" i="1"/>
  <c r="U272" i="1"/>
  <c r="Z272" i="1" s="1"/>
  <c r="Z271" i="1"/>
  <c r="Y271" i="1"/>
  <c r="W271" i="1"/>
  <c r="V271" i="1"/>
  <c r="U271" i="1"/>
  <c r="W270" i="1"/>
  <c r="V270" i="1"/>
  <c r="U270" i="1"/>
  <c r="Y270" i="1" s="1"/>
  <c r="W269" i="1"/>
  <c r="V269" i="1"/>
  <c r="U269" i="1"/>
  <c r="Y269" i="1" s="1"/>
  <c r="W268" i="1"/>
  <c r="V268" i="1"/>
  <c r="U268" i="1"/>
  <c r="Z268" i="1" s="1"/>
  <c r="W267" i="1"/>
  <c r="V267" i="1"/>
  <c r="U267" i="1"/>
  <c r="Y267" i="1" s="1"/>
  <c r="W266" i="1"/>
  <c r="V266" i="1"/>
  <c r="X266" i="1" s="1"/>
  <c r="U266" i="1"/>
  <c r="W265" i="1"/>
  <c r="V265" i="1"/>
  <c r="U265" i="1"/>
  <c r="Y265" i="1" s="1"/>
  <c r="Z264" i="1"/>
  <c r="Y264" i="1"/>
  <c r="W264" i="1"/>
  <c r="V264" i="1"/>
  <c r="U264" i="1"/>
  <c r="W263" i="1"/>
  <c r="V263" i="1"/>
  <c r="U263" i="1"/>
  <c r="Z263" i="1" s="1"/>
  <c r="W262" i="1"/>
  <c r="V262" i="1"/>
  <c r="U262" i="1"/>
  <c r="Y262" i="1" s="1"/>
  <c r="W261" i="1"/>
  <c r="V261" i="1"/>
  <c r="U261" i="1"/>
  <c r="Y261" i="1" s="1"/>
  <c r="W260" i="1"/>
  <c r="V260" i="1"/>
  <c r="U260" i="1"/>
  <c r="Y260" i="1" s="1"/>
  <c r="W259" i="1"/>
  <c r="V259" i="1"/>
  <c r="U259" i="1"/>
  <c r="W258" i="1"/>
  <c r="V258" i="1"/>
  <c r="U258" i="1"/>
  <c r="Y258" i="1" s="1"/>
  <c r="W257" i="1"/>
  <c r="V257" i="1"/>
  <c r="U257" i="1"/>
  <c r="W256" i="1"/>
  <c r="V256" i="1"/>
  <c r="X256" i="1" s="1"/>
  <c r="U256" i="1"/>
  <c r="Z256" i="1" s="1"/>
  <c r="W255" i="1"/>
  <c r="V255" i="1"/>
  <c r="U255" i="1"/>
  <c r="W254" i="1"/>
  <c r="V254" i="1"/>
  <c r="X254" i="1" s="1"/>
  <c r="U254" i="1"/>
  <c r="Y254" i="1" s="1"/>
  <c r="Z253" i="1"/>
  <c r="W253" i="1"/>
  <c r="V253" i="1"/>
  <c r="U253" i="1"/>
  <c r="Y253" i="1" s="1"/>
  <c r="W252" i="1"/>
  <c r="V252" i="1"/>
  <c r="X252" i="1" s="1"/>
  <c r="U252" i="1"/>
  <c r="Z252" i="1" s="1"/>
  <c r="W251" i="1"/>
  <c r="V251" i="1"/>
  <c r="U251" i="1"/>
  <c r="Z251" i="1" s="1"/>
  <c r="W250" i="1"/>
  <c r="V250" i="1"/>
  <c r="U250" i="1"/>
  <c r="W249" i="1"/>
  <c r="V249" i="1"/>
  <c r="X249" i="1" s="1"/>
  <c r="U249" i="1"/>
  <c r="Y249" i="1" s="1"/>
  <c r="W248" i="1"/>
  <c r="V248" i="1"/>
  <c r="U248" i="1"/>
  <c r="W247" i="1"/>
  <c r="V247" i="1"/>
  <c r="U247" i="1"/>
  <c r="Z247" i="1" s="1"/>
  <c r="W246" i="1"/>
  <c r="V246" i="1"/>
  <c r="U246" i="1"/>
  <c r="Y246" i="1" s="1"/>
  <c r="W245" i="1"/>
  <c r="V245" i="1"/>
  <c r="U245" i="1"/>
  <c r="Y245" i="1" s="1"/>
  <c r="W244" i="1"/>
  <c r="V244" i="1"/>
  <c r="X244" i="1" s="1"/>
  <c r="U244" i="1"/>
  <c r="Z244" i="1" s="1"/>
  <c r="W243" i="1"/>
  <c r="V243" i="1"/>
  <c r="U243" i="1"/>
  <c r="Y243" i="1" s="1"/>
  <c r="W242" i="1"/>
  <c r="V242" i="1"/>
  <c r="X242" i="1" s="1"/>
  <c r="U242" i="1"/>
  <c r="Y242" i="1" s="1"/>
  <c r="W241" i="1"/>
  <c r="V241" i="1"/>
  <c r="U241" i="1"/>
  <c r="Y241" i="1" s="1"/>
  <c r="W240" i="1"/>
  <c r="V240" i="1"/>
  <c r="X240" i="1" s="1"/>
  <c r="U240" i="1"/>
  <c r="Y240" i="1" s="1"/>
  <c r="W239" i="1"/>
  <c r="V239" i="1"/>
  <c r="X239" i="1" s="1"/>
  <c r="U239" i="1"/>
  <c r="Z239" i="1" s="1"/>
  <c r="W238" i="1"/>
  <c r="V238" i="1"/>
  <c r="U238" i="1"/>
  <c r="W237" i="1"/>
  <c r="V237" i="1"/>
  <c r="U237" i="1"/>
  <c r="Y237" i="1" s="1"/>
  <c r="W236" i="1"/>
  <c r="V236" i="1"/>
  <c r="U236" i="1"/>
  <c r="W235" i="1"/>
  <c r="V235" i="1"/>
  <c r="U235" i="1"/>
  <c r="Z235" i="1" s="1"/>
  <c r="W234" i="1"/>
  <c r="V234" i="1"/>
  <c r="U234" i="1"/>
  <c r="Y234" i="1" s="1"/>
  <c r="W233" i="1"/>
  <c r="V233" i="1"/>
  <c r="U233" i="1"/>
  <c r="W232" i="1"/>
  <c r="V232" i="1"/>
  <c r="X232" i="1" s="1"/>
  <c r="U232" i="1"/>
  <c r="Z232" i="1" s="1"/>
  <c r="W231" i="1"/>
  <c r="V231" i="1"/>
  <c r="U231" i="1"/>
  <c r="W230" i="1"/>
  <c r="V230" i="1"/>
  <c r="U230" i="1"/>
  <c r="Y230" i="1" s="1"/>
  <c r="W229" i="1"/>
  <c r="V229" i="1"/>
  <c r="X229" i="1" s="1"/>
  <c r="U229" i="1"/>
  <c r="Y228" i="1"/>
  <c r="W228" i="1"/>
  <c r="V228" i="1"/>
  <c r="U228" i="1"/>
  <c r="Z228" i="1" s="1"/>
  <c r="W227" i="1"/>
  <c r="V227" i="1"/>
  <c r="X227" i="1" s="1"/>
  <c r="U227" i="1"/>
  <c r="Z227" i="1" s="1"/>
  <c r="W226" i="1"/>
  <c r="V226" i="1"/>
  <c r="U226" i="1"/>
  <c r="W225" i="1"/>
  <c r="V225" i="1"/>
  <c r="U225" i="1"/>
  <c r="Y225" i="1" s="1"/>
  <c r="W224" i="1"/>
  <c r="V224" i="1"/>
  <c r="X224" i="1" s="1"/>
  <c r="U224" i="1"/>
  <c r="W223" i="1"/>
  <c r="V223" i="1"/>
  <c r="U223" i="1"/>
  <c r="Y223" i="1" s="1"/>
  <c r="W222" i="1"/>
  <c r="V222" i="1"/>
  <c r="U222" i="1"/>
  <c r="Y222" i="1" s="1"/>
  <c r="W221" i="1"/>
  <c r="V221" i="1"/>
  <c r="X221" i="1" s="1"/>
  <c r="U221" i="1"/>
  <c r="Z220" i="1"/>
  <c r="Y220" i="1"/>
  <c r="W220" i="1"/>
  <c r="V220" i="1"/>
  <c r="U220" i="1"/>
  <c r="W219" i="1"/>
  <c r="V219" i="1"/>
  <c r="X219" i="1" s="1"/>
  <c r="U219" i="1"/>
  <c r="Z219" i="1" s="1"/>
  <c r="W218" i="1"/>
  <c r="V218" i="1"/>
  <c r="U218" i="1"/>
  <c r="Y218" i="1" s="1"/>
  <c r="W217" i="1"/>
  <c r="V217" i="1"/>
  <c r="X217" i="1" s="1"/>
  <c r="U217" i="1"/>
  <c r="Y217" i="1" s="1"/>
  <c r="W216" i="1"/>
  <c r="V216" i="1"/>
  <c r="U216" i="1"/>
  <c r="Y216" i="1" s="1"/>
  <c r="W215" i="1"/>
  <c r="V215" i="1"/>
  <c r="U215" i="1"/>
  <c r="W214" i="1"/>
  <c r="V214" i="1"/>
  <c r="U214" i="1"/>
  <c r="Y214" i="1" s="1"/>
  <c r="W213" i="1"/>
  <c r="V213" i="1"/>
  <c r="U213" i="1"/>
  <c r="W212" i="1"/>
  <c r="V212" i="1"/>
  <c r="U212" i="1"/>
  <c r="Z212" i="1" s="1"/>
  <c r="Z211" i="1"/>
  <c r="W211" i="1"/>
  <c r="V211" i="1"/>
  <c r="U211" i="1"/>
  <c r="Y211" i="1" s="1"/>
  <c r="W210" i="1"/>
  <c r="V210" i="1"/>
  <c r="X210" i="1" s="1"/>
  <c r="U210" i="1"/>
  <c r="Y210" i="1" s="1"/>
  <c r="Z209" i="1"/>
  <c r="W209" i="1"/>
  <c r="V209" i="1"/>
  <c r="U209" i="1"/>
  <c r="Y209" i="1" s="1"/>
  <c r="Y208" i="1"/>
  <c r="W208" i="1"/>
  <c r="V208" i="1"/>
  <c r="X208" i="1" s="1"/>
  <c r="U208" i="1"/>
  <c r="Z208" i="1" s="1"/>
  <c r="W207" i="1"/>
  <c r="V207" i="1"/>
  <c r="U207" i="1"/>
  <c r="Z207" i="1" s="1"/>
  <c r="W206" i="1"/>
  <c r="V206" i="1"/>
  <c r="U206" i="1"/>
  <c r="W205" i="1"/>
  <c r="V205" i="1"/>
  <c r="U205" i="1"/>
  <c r="Y205" i="1" s="1"/>
  <c r="W204" i="1"/>
  <c r="V204" i="1"/>
  <c r="X204" i="1" s="1"/>
  <c r="U204" i="1"/>
  <c r="W203" i="1"/>
  <c r="V203" i="1"/>
  <c r="U203" i="1"/>
  <c r="Z203" i="1" s="1"/>
  <c r="W202" i="1"/>
  <c r="V202" i="1"/>
  <c r="X202" i="1" s="1"/>
  <c r="U202" i="1"/>
  <c r="Y202" i="1" s="1"/>
  <c r="Z201" i="1"/>
  <c r="W201" i="1"/>
  <c r="V201" i="1"/>
  <c r="X201" i="1" s="1"/>
  <c r="U201" i="1"/>
  <c r="Y201" i="1" s="1"/>
  <c r="W200" i="1"/>
  <c r="V200" i="1"/>
  <c r="X200" i="1" s="1"/>
  <c r="U200" i="1"/>
  <c r="Z200" i="1" s="1"/>
  <c r="W199" i="1"/>
  <c r="V199" i="1"/>
  <c r="U199" i="1"/>
  <c r="Y199" i="1" s="1"/>
  <c r="W198" i="1"/>
  <c r="V198" i="1"/>
  <c r="X198" i="1" s="1"/>
  <c r="U198" i="1"/>
  <c r="Y198" i="1" s="1"/>
  <c r="W197" i="1"/>
  <c r="V197" i="1"/>
  <c r="X197" i="1" s="1"/>
  <c r="U197" i="1"/>
  <c r="Y197" i="1" s="1"/>
  <c r="W196" i="1"/>
  <c r="V196" i="1"/>
  <c r="X196" i="1" s="1"/>
  <c r="U196" i="1"/>
  <c r="Y196" i="1" s="1"/>
  <c r="W195" i="1"/>
  <c r="V195" i="1"/>
  <c r="X195" i="1" s="1"/>
  <c r="U195" i="1"/>
  <c r="Z195" i="1" s="1"/>
  <c r="W194" i="1"/>
  <c r="V194" i="1"/>
  <c r="U194" i="1"/>
  <c r="Y194" i="1" s="1"/>
  <c r="W193" i="1"/>
  <c r="V193" i="1"/>
  <c r="X193" i="1" s="1"/>
  <c r="U193" i="1"/>
  <c r="Y193" i="1" s="1"/>
  <c r="Z192" i="1"/>
  <c r="W192" i="1"/>
  <c r="V192" i="1"/>
  <c r="U192" i="1"/>
  <c r="Y192" i="1" s="1"/>
  <c r="W191" i="1"/>
  <c r="V191" i="1"/>
  <c r="X191" i="1" s="1"/>
  <c r="U191" i="1"/>
  <c r="Z191" i="1" s="1"/>
  <c r="W190" i="1"/>
  <c r="V190" i="1"/>
  <c r="X190" i="1" s="1"/>
  <c r="U190" i="1"/>
  <c r="Y190" i="1" s="1"/>
  <c r="W189" i="1"/>
  <c r="V189" i="1"/>
  <c r="U189" i="1"/>
  <c r="Y189" i="1" s="1"/>
  <c r="W188" i="1"/>
  <c r="V188" i="1"/>
  <c r="X188" i="1" s="1"/>
  <c r="U188" i="1"/>
  <c r="W187" i="1"/>
  <c r="V187" i="1"/>
  <c r="U187" i="1"/>
  <c r="Z187" i="1" s="1"/>
  <c r="W186" i="1"/>
  <c r="V186" i="1"/>
  <c r="U186" i="1"/>
  <c r="W185" i="1"/>
  <c r="V185" i="1"/>
  <c r="U185" i="1"/>
  <c r="Y185" i="1" s="1"/>
  <c r="W184" i="1"/>
  <c r="V184" i="1"/>
  <c r="U184" i="1"/>
  <c r="Y184" i="1" s="1"/>
  <c r="Z183" i="1"/>
  <c r="Y183" i="1"/>
  <c r="W183" i="1"/>
  <c r="V183" i="1"/>
  <c r="U183" i="1"/>
  <c r="W182" i="1"/>
  <c r="V182" i="1"/>
  <c r="U182" i="1"/>
  <c r="Y182" i="1" s="1"/>
  <c r="W181" i="1"/>
  <c r="V181" i="1"/>
  <c r="X181" i="1" s="1"/>
  <c r="U181" i="1"/>
  <c r="Y181" i="1" s="1"/>
  <c r="W180" i="1"/>
  <c r="V180" i="1"/>
  <c r="U180" i="1"/>
  <c r="Z180" i="1" s="1"/>
  <c r="W179" i="1"/>
  <c r="V179" i="1"/>
  <c r="U179" i="1"/>
  <c r="W178" i="1"/>
  <c r="V178" i="1"/>
  <c r="U178" i="1"/>
  <c r="Y178" i="1" s="1"/>
  <c r="W177" i="1"/>
  <c r="V177" i="1"/>
  <c r="U177" i="1"/>
  <c r="W176" i="1"/>
  <c r="V176" i="1"/>
  <c r="X176" i="1" s="1"/>
  <c r="U176" i="1"/>
  <c r="W175" i="1"/>
  <c r="V175" i="1"/>
  <c r="X175" i="1" s="1"/>
  <c r="U175" i="1"/>
  <c r="Z175" i="1" s="1"/>
  <c r="W174" i="1"/>
  <c r="V174" i="1"/>
  <c r="U174" i="1"/>
  <c r="Y174" i="1" s="1"/>
  <c r="W173" i="1"/>
  <c r="V173" i="1"/>
  <c r="X173" i="1" s="1"/>
  <c r="U173" i="1"/>
  <c r="Y173" i="1" s="1"/>
  <c r="W172" i="1"/>
  <c r="V172" i="1"/>
  <c r="U172" i="1"/>
  <c r="Z172" i="1" s="1"/>
  <c r="W171" i="1"/>
  <c r="V171" i="1"/>
  <c r="U171" i="1"/>
  <c r="Z171" i="1" s="1"/>
  <c r="W170" i="1"/>
  <c r="V170" i="1"/>
  <c r="U170" i="1"/>
  <c r="Y170" i="1" s="1"/>
  <c r="W169" i="1"/>
  <c r="V169" i="1"/>
  <c r="U169" i="1"/>
  <c r="Y169" i="1" s="1"/>
  <c r="W168" i="1"/>
  <c r="V168" i="1"/>
  <c r="X168" i="1" s="1"/>
  <c r="U168" i="1"/>
  <c r="Z168" i="1" s="1"/>
  <c r="Z167" i="1"/>
  <c r="W167" i="1"/>
  <c r="V167" i="1"/>
  <c r="U167" i="1"/>
  <c r="Y167" i="1" s="1"/>
  <c r="W166" i="1"/>
  <c r="V166" i="1"/>
  <c r="X166" i="1" s="1"/>
  <c r="U166" i="1"/>
  <c r="Y166" i="1" s="1"/>
  <c r="W165" i="1"/>
  <c r="V165" i="1"/>
  <c r="U165" i="1"/>
  <c r="Y165" i="1" s="1"/>
  <c r="W164" i="1"/>
  <c r="V164" i="1"/>
  <c r="U164" i="1"/>
  <c r="Z164" i="1" s="1"/>
  <c r="W163" i="1"/>
  <c r="V163" i="1"/>
  <c r="X163" i="1" s="1"/>
  <c r="U163" i="1"/>
  <c r="Y163" i="1" s="1"/>
  <c r="W162" i="1"/>
  <c r="V162" i="1"/>
  <c r="U162" i="1"/>
  <c r="Y162" i="1" s="1"/>
  <c r="W161" i="1"/>
  <c r="V161" i="1"/>
  <c r="X161" i="1" s="1"/>
  <c r="U161" i="1"/>
  <c r="Y161" i="1" s="1"/>
  <c r="W160" i="1"/>
  <c r="V160" i="1"/>
  <c r="X160" i="1" s="1"/>
  <c r="U160" i="1"/>
  <c r="W159" i="1"/>
  <c r="V159" i="1"/>
  <c r="U159" i="1"/>
  <c r="Z159" i="1" s="1"/>
  <c r="W158" i="1"/>
  <c r="V158" i="1"/>
  <c r="U158" i="1"/>
  <c r="W157" i="1"/>
  <c r="V157" i="1"/>
  <c r="X157" i="1" s="1"/>
  <c r="U157" i="1"/>
  <c r="Y157" i="1" s="1"/>
  <c r="W156" i="1"/>
  <c r="V156" i="1"/>
  <c r="U156" i="1"/>
  <c r="Y156" i="1" s="1"/>
  <c r="W155" i="1"/>
  <c r="V155" i="1"/>
  <c r="U155" i="1"/>
  <c r="W154" i="1"/>
  <c r="V154" i="1"/>
  <c r="U154" i="1"/>
  <c r="Y154" i="1" s="1"/>
  <c r="W153" i="1"/>
  <c r="V153" i="1"/>
  <c r="X153" i="1" s="1"/>
  <c r="U153" i="1"/>
  <c r="Y153" i="1" s="1"/>
  <c r="Z152" i="1"/>
  <c r="W152" i="1"/>
  <c r="V152" i="1"/>
  <c r="U152" i="1"/>
  <c r="Y152" i="1" s="1"/>
  <c r="W151" i="1"/>
  <c r="V151" i="1"/>
  <c r="U151" i="1"/>
  <c r="W150" i="1"/>
  <c r="V150" i="1"/>
  <c r="U150" i="1"/>
  <c r="Y150" i="1" s="1"/>
  <c r="W149" i="1"/>
  <c r="V149" i="1"/>
  <c r="U149" i="1"/>
  <c r="Y149" i="1" s="1"/>
  <c r="W148" i="1"/>
  <c r="V148" i="1"/>
  <c r="X148" i="1" s="1"/>
  <c r="U148" i="1"/>
  <c r="W147" i="1"/>
  <c r="V147" i="1"/>
  <c r="X147" i="1" s="1"/>
  <c r="U147" i="1"/>
  <c r="Z147" i="1" s="1"/>
  <c r="W146" i="1"/>
  <c r="V146" i="1"/>
  <c r="U146" i="1"/>
  <c r="Y146" i="1" s="1"/>
  <c r="W145" i="1"/>
  <c r="V145" i="1"/>
  <c r="X145" i="1" s="1"/>
  <c r="U145" i="1"/>
  <c r="Y145" i="1" s="1"/>
  <c r="W144" i="1"/>
  <c r="V144" i="1"/>
  <c r="U144" i="1"/>
  <c r="W143" i="1"/>
  <c r="V143" i="1"/>
  <c r="U143" i="1"/>
  <c r="Y143" i="1" s="1"/>
  <c r="W142" i="1"/>
  <c r="V142" i="1"/>
  <c r="X142" i="1" s="1"/>
  <c r="U142" i="1"/>
  <c r="W141" i="1"/>
  <c r="V141" i="1"/>
  <c r="U141" i="1"/>
  <c r="Y141" i="1" s="1"/>
  <c r="W140" i="1"/>
  <c r="V140" i="1"/>
  <c r="X140" i="1" s="1"/>
  <c r="U140" i="1"/>
  <c r="Z139" i="1"/>
  <c r="Y139" i="1"/>
  <c r="W139" i="1"/>
  <c r="V139" i="1"/>
  <c r="U139" i="1"/>
  <c r="W138" i="1"/>
  <c r="V138" i="1"/>
  <c r="U138" i="1"/>
  <c r="Y138" i="1" s="1"/>
  <c r="W137" i="1"/>
  <c r="V137" i="1"/>
  <c r="U137" i="1"/>
  <c r="Y137" i="1" s="1"/>
  <c r="W136" i="1"/>
  <c r="V136" i="1"/>
  <c r="U136" i="1"/>
  <c r="Z136" i="1" s="1"/>
  <c r="W135" i="1"/>
  <c r="V135" i="1"/>
  <c r="X135" i="1" s="1"/>
  <c r="U135" i="1"/>
  <c r="W134" i="1"/>
  <c r="V134" i="1"/>
  <c r="U134" i="1"/>
  <c r="Y134" i="1" s="1"/>
  <c r="W133" i="1"/>
  <c r="V133" i="1"/>
  <c r="X133" i="1" s="1"/>
  <c r="U133" i="1"/>
  <c r="Y133" i="1" s="1"/>
  <c r="Z132" i="1"/>
  <c r="Y132" i="1"/>
  <c r="W132" i="1"/>
  <c r="V132" i="1"/>
  <c r="U132" i="1"/>
  <c r="W131" i="1"/>
  <c r="V131" i="1"/>
  <c r="X131" i="1" s="1"/>
  <c r="U131" i="1"/>
  <c r="Y131" i="1" s="1"/>
  <c r="W130" i="1"/>
  <c r="V130" i="1"/>
  <c r="U130" i="1"/>
  <c r="Y130" i="1" s="1"/>
  <c r="W129" i="1"/>
  <c r="V129" i="1"/>
  <c r="U129" i="1"/>
  <c r="Y129" i="1" s="1"/>
  <c r="W128" i="1"/>
  <c r="V128" i="1"/>
  <c r="X128" i="1" s="1"/>
  <c r="U128" i="1"/>
  <c r="Z127" i="1"/>
  <c r="Y127" i="1"/>
  <c r="W127" i="1"/>
  <c r="V127" i="1"/>
  <c r="U127" i="1"/>
  <c r="W126" i="1"/>
  <c r="V126" i="1"/>
  <c r="X126" i="1" s="1"/>
  <c r="U126" i="1"/>
  <c r="Y126" i="1" s="1"/>
  <c r="Z125" i="1"/>
  <c r="W125" i="1"/>
  <c r="V125" i="1"/>
  <c r="U125" i="1"/>
  <c r="Y125" i="1" s="1"/>
  <c r="W124" i="1"/>
  <c r="V124" i="1"/>
  <c r="X124" i="1" s="1"/>
  <c r="U124" i="1"/>
  <c r="Z124" i="1" s="1"/>
  <c r="Z123" i="1"/>
  <c r="Y123" i="1"/>
  <c r="W123" i="1"/>
  <c r="V123" i="1"/>
  <c r="U123" i="1"/>
  <c r="W122" i="1"/>
  <c r="V122" i="1"/>
  <c r="U122" i="1"/>
  <c r="W121" i="1"/>
  <c r="V121" i="1"/>
  <c r="X121" i="1" s="1"/>
  <c r="U121" i="1"/>
  <c r="Y121" i="1" s="1"/>
  <c r="W120" i="1"/>
  <c r="V120" i="1"/>
  <c r="U120" i="1"/>
  <c r="W119" i="1"/>
  <c r="V119" i="1"/>
  <c r="X119" i="1" s="1"/>
  <c r="U119" i="1"/>
  <c r="Z119" i="1" s="1"/>
  <c r="W118" i="1"/>
  <c r="V118" i="1"/>
  <c r="U118" i="1"/>
  <c r="Y118" i="1" s="1"/>
  <c r="W117" i="1"/>
  <c r="V117" i="1"/>
  <c r="U117" i="1"/>
  <c r="Y117" i="1" s="1"/>
  <c r="W116" i="1"/>
  <c r="V116" i="1"/>
  <c r="X116" i="1" s="1"/>
  <c r="U116" i="1"/>
  <c r="Z116" i="1" s="1"/>
  <c r="W115" i="1"/>
  <c r="V115" i="1"/>
  <c r="U115" i="1"/>
  <c r="Z115" i="1" s="1"/>
  <c r="W114" i="1"/>
  <c r="V114" i="1"/>
  <c r="X114" i="1" s="1"/>
  <c r="U114" i="1"/>
  <c r="Y114" i="1" s="1"/>
  <c r="W113" i="1"/>
  <c r="V113" i="1"/>
  <c r="X113" i="1" s="1"/>
  <c r="U113" i="1"/>
  <c r="Y113" i="1" s="1"/>
  <c r="W112" i="1"/>
  <c r="V112" i="1"/>
  <c r="U112" i="1"/>
  <c r="Z112" i="1" s="1"/>
  <c r="W111" i="1"/>
  <c r="V111" i="1"/>
  <c r="X111" i="1" s="1"/>
  <c r="U111" i="1"/>
  <c r="Z111" i="1" s="1"/>
  <c r="W110" i="1"/>
  <c r="V110" i="1"/>
  <c r="U110" i="1"/>
  <c r="Y110" i="1" s="1"/>
  <c r="W109" i="1"/>
  <c r="V109" i="1"/>
  <c r="U109" i="1"/>
  <c r="W108" i="1"/>
  <c r="V108" i="1"/>
  <c r="X108" i="1" s="1"/>
  <c r="U108" i="1"/>
  <c r="W107" i="1"/>
  <c r="V107" i="1"/>
  <c r="U107" i="1"/>
  <c r="Z107" i="1" s="1"/>
  <c r="W106" i="1"/>
  <c r="V106" i="1"/>
  <c r="U106" i="1"/>
  <c r="Y106" i="1" s="1"/>
  <c r="W105" i="1"/>
  <c r="V105" i="1"/>
  <c r="X105" i="1" s="1"/>
  <c r="U105" i="1"/>
  <c r="Y105" i="1" s="1"/>
  <c r="W104" i="1"/>
  <c r="V104" i="1"/>
  <c r="X104" i="1" s="1"/>
  <c r="U104" i="1"/>
  <c r="Z104" i="1" s="1"/>
  <c r="W103" i="1"/>
  <c r="V103" i="1"/>
  <c r="X103" i="1" s="1"/>
  <c r="U103" i="1"/>
  <c r="W102" i="1"/>
  <c r="V102" i="1"/>
  <c r="U102" i="1"/>
  <c r="Y102" i="1" s="1"/>
  <c r="W101" i="1"/>
  <c r="V101" i="1"/>
  <c r="X101" i="1" s="1"/>
  <c r="U101" i="1"/>
  <c r="Y101" i="1" s="1"/>
  <c r="W100" i="1"/>
  <c r="V100" i="1"/>
  <c r="U100" i="1"/>
  <c r="Z100" i="1" s="1"/>
  <c r="W99" i="1"/>
  <c r="V99" i="1"/>
  <c r="X99" i="1" s="1"/>
  <c r="U99" i="1"/>
  <c r="Y99" i="1" s="1"/>
  <c r="W98" i="1"/>
  <c r="V98" i="1"/>
  <c r="X98" i="1" s="1"/>
  <c r="U98" i="1"/>
  <c r="Y98" i="1" s="1"/>
  <c r="W97" i="1"/>
  <c r="V97" i="1"/>
  <c r="X97" i="1" s="1"/>
  <c r="U97" i="1"/>
  <c r="Y97" i="1" s="1"/>
  <c r="Z96" i="1"/>
  <c r="Y96" i="1"/>
  <c r="W96" i="1"/>
  <c r="V96" i="1"/>
  <c r="U96" i="1"/>
  <c r="W95" i="1"/>
  <c r="V95" i="1"/>
  <c r="X95" i="1" s="1"/>
  <c r="U95" i="1"/>
  <c r="Z95" i="1" s="1"/>
  <c r="W94" i="1"/>
  <c r="V94" i="1"/>
  <c r="U94" i="1"/>
  <c r="Y94" i="1" s="1"/>
  <c r="W93" i="1"/>
  <c r="V93" i="1"/>
  <c r="U93" i="1"/>
  <c r="Y93" i="1" s="1"/>
  <c r="W92" i="1"/>
  <c r="V92" i="1"/>
  <c r="X92" i="1" s="1"/>
  <c r="U92" i="1"/>
  <c r="Z92" i="1" s="1"/>
  <c r="W91" i="1"/>
  <c r="V91" i="1"/>
  <c r="U91" i="1"/>
  <c r="Y91" i="1" s="1"/>
  <c r="W90" i="1"/>
  <c r="V90" i="1"/>
  <c r="U90" i="1"/>
  <c r="Y90" i="1" s="1"/>
  <c r="W89" i="1"/>
  <c r="V89" i="1"/>
  <c r="U89" i="1"/>
  <c r="Y89" i="1" s="1"/>
  <c r="W88" i="1"/>
  <c r="V88" i="1"/>
  <c r="U88" i="1"/>
  <c r="Z88" i="1" s="1"/>
  <c r="W87" i="1"/>
  <c r="V87" i="1"/>
  <c r="U87" i="1"/>
  <c r="Y87" i="1" s="1"/>
  <c r="W86" i="1"/>
  <c r="V86" i="1"/>
  <c r="U86" i="1"/>
  <c r="Y86" i="1" s="1"/>
  <c r="W85" i="1"/>
  <c r="V85" i="1"/>
  <c r="X85" i="1" s="1"/>
  <c r="U85" i="1"/>
  <c r="Y85" i="1" s="1"/>
  <c r="W84" i="1"/>
  <c r="V84" i="1"/>
  <c r="X84" i="1" s="1"/>
  <c r="U84" i="1"/>
  <c r="W83" i="1"/>
  <c r="V83" i="1"/>
  <c r="U83" i="1"/>
  <c r="Z83" i="1" s="1"/>
  <c r="W82" i="1"/>
  <c r="V82" i="1"/>
  <c r="X82" i="1" s="1"/>
  <c r="U82" i="1"/>
  <c r="Y82" i="1" s="1"/>
  <c r="W81" i="1"/>
  <c r="V81" i="1"/>
  <c r="X81" i="1" s="1"/>
  <c r="U81" i="1"/>
  <c r="W80" i="1"/>
  <c r="V80" i="1"/>
  <c r="X80" i="1" s="1"/>
  <c r="U80" i="1"/>
  <c r="Z79" i="1"/>
  <c r="Y79" i="1"/>
  <c r="W79" i="1"/>
  <c r="V79" i="1"/>
  <c r="X79" i="1" s="1"/>
  <c r="U79" i="1"/>
  <c r="W78" i="1"/>
  <c r="V78" i="1"/>
  <c r="X78" i="1" s="1"/>
  <c r="U78" i="1"/>
  <c r="Y78" i="1" s="1"/>
  <c r="W77" i="1"/>
  <c r="V77" i="1"/>
  <c r="X77" i="1" s="1"/>
  <c r="U77" i="1"/>
  <c r="Y77" i="1" s="1"/>
  <c r="W76" i="1"/>
  <c r="V76" i="1"/>
  <c r="U76" i="1"/>
  <c r="Z76" i="1" s="1"/>
  <c r="W75" i="1"/>
  <c r="V75" i="1"/>
  <c r="X75" i="1" s="1"/>
  <c r="U75" i="1"/>
  <c r="Y75" i="1" s="1"/>
  <c r="W74" i="1"/>
  <c r="V74" i="1"/>
  <c r="U74" i="1"/>
  <c r="W73" i="1"/>
  <c r="V73" i="1"/>
  <c r="U73" i="1"/>
  <c r="Y73" i="1" s="1"/>
  <c r="Z72" i="1"/>
  <c r="Y72" i="1"/>
  <c r="W72" i="1"/>
  <c r="V72" i="1"/>
  <c r="U72" i="1"/>
  <c r="W71" i="1"/>
  <c r="V71" i="1"/>
  <c r="U71" i="1"/>
  <c r="W70" i="1"/>
  <c r="V70" i="1"/>
  <c r="U70" i="1"/>
  <c r="Y70" i="1" s="1"/>
  <c r="W69" i="1"/>
  <c r="V69" i="1"/>
  <c r="U69" i="1"/>
  <c r="Y69" i="1" s="1"/>
  <c r="W68" i="1"/>
  <c r="V68" i="1"/>
  <c r="X68" i="1" s="1"/>
  <c r="U68" i="1"/>
  <c r="Z68" i="1" s="1"/>
  <c r="W67" i="1"/>
  <c r="V67" i="1"/>
  <c r="U67" i="1"/>
  <c r="W66" i="1"/>
  <c r="V66" i="1"/>
  <c r="U66" i="1"/>
  <c r="Y66" i="1" s="1"/>
  <c r="W65" i="1"/>
  <c r="V65" i="1"/>
  <c r="U65" i="1"/>
  <c r="W64" i="1"/>
  <c r="V64" i="1"/>
  <c r="U64" i="1"/>
  <c r="W63" i="1"/>
  <c r="V63" i="1"/>
  <c r="X63" i="1" s="1"/>
  <c r="U63" i="1"/>
  <c r="W62" i="1"/>
  <c r="V62" i="1"/>
  <c r="X62" i="1" s="1"/>
  <c r="U62" i="1"/>
  <c r="W61" i="1"/>
  <c r="V61" i="1"/>
  <c r="U61" i="1"/>
  <c r="Y61" i="1" s="1"/>
  <c r="W60" i="1"/>
  <c r="V60" i="1"/>
  <c r="X60" i="1" s="1"/>
  <c r="U60" i="1"/>
  <c r="Z60" i="1" s="1"/>
  <c r="Z59" i="1"/>
  <c r="W59" i="1"/>
  <c r="V59" i="1"/>
  <c r="U59" i="1"/>
  <c r="Y59" i="1" s="1"/>
  <c r="W58" i="1"/>
  <c r="V58" i="1"/>
  <c r="X58" i="1" s="1"/>
  <c r="U58" i="1"/>
  <c r="W57" i="1"/>
  <c r="V57" i="1"/>
  <c r="U57" i="1"/>
  <c r="Y57" i="1" s="1"/>
  <c r="W56" i="1"/>
  <c r="V56" i="1"/>
  <c r="U56" i="1"/>
  <c r="Z56" i="1" s="1"/>
  <c r="W55" i="1"/>
  <c r="V55" i="1"/>
  <c r="X55" i="1" s="1"/>
  <c r="U55" i="1"/>
  <c r="W54" i="1"/>
  <c r="V54" i="1"/>
  <c r="U54" i="1"/>
  <c r="W53" i="1"/>
  <c r="V53" i="1"/>
  <c r="X53" i="1" s="1"/>
  <c r="U53" i="1"/>
  <c r="Y53" i="1" s="1"/>
  <c r="W52" i="1"/>
  <c r="V52" i="1"/>
  <c r="X52" i="1" s="1"/>
  <c r="U52" i="1"/>
  <c r="Y52" i="1" s="1"/>
  <c r="W51" i="1"/>
  <c r="V51" i="1"/>
  <c r="U51" i="1"/>
  <c r="Z51" i="1" s="1"/>
  <c r="W50" i="1"/>
  <c r="V50" i="1"/>
  <c r="X50" i="1" s="1"/>
  <c r="U50" i="1"/>
  <c r="Z50" i="1" s="1"/>
  <c r="W49" i="1"/>
  <c r="X49" i="1" s="1"/>
  <c r="V49" i="1"/>
  <c r="U49" i="1"/>
  <c r="Y49" i="1" s="1"/>
  <c r="W48" i="1"/>
  <c r="V48" i="1"/>
  <c r="U48" i="1"/>
  <c r="W47" i="1"/>
  <c r="V47" i="1"/>
  <c r="U47" i="1"/>
  <c r="W46" i="1"/>
  <c r="V46" i="1"/>
  <c r="X46" i="1" s="1"/>
  <c r="U46" i="1"/>
  <c r="Z46" i="1" s="1"/>
  <c r="W45" i="1"/>
  <c r="V45" i="1"/>
  <c r="X45" i="1" s="1"/>
  <c r="U45" i="1"/>
  <c r="Y45" i="1" s="1"/>
  <c r="Z44" i="1"/>
  <c r="W44" i="1"/>
  <c r="V44" i="1"/>
  <c r="U44" i="1"/>
  <c r="Y44" i="1" s="1"/>
  <c r="W43" i="1"/>
  <c r="V43" i="1"/>
  <c r="X43" i="1" s="1"/>
  <c r="U43" i="1"/>
  <c r="Z43" i="1" s="1"/>
  <c r="W42" i="1"/>
  <c r="V42" i="1"/>
  <c r="U42" i="1"/>
  <c r="Z42" i="1" s="1"/>
  <c r="W41" i="1"/>
  <c r="V41" i="1"/>
  <c r="X41" i="1" s="1"/>
  <c r="U41" i="1"/>
  <c r="Y41" i="1" s="1"/>
  <c r="W40" i="1"/>
  <c r="V40" i="1"/>
  <c r="X40" i="1" s="1"/>
  <c r="U40" i="1"/>
  <c r="Y40" i="1" s="1"/>
  <c r="W39" i="1"/>
  <c r="V39" i="1"/>
  <c r="U39" i="1"/>
  <c r="Z39" i="1" s="1"/>
  <c r="W38" i="1"/>
  <c r="V38" i="1"/>
  <c r="X38" i="1" s="1"/>
  <c r="U38" i="1"/>
  <c r="W37" i="1"/>
  <c r="V37" i="1"/>
  <c r="X37" i="1" s="1"/>
  <c r="U37" i="1"/>
  <c r="W36" i="1"/>
  <c r="V36" i="1"/>
  <c r="X36" i="1" s="1"/>
  <c r="U36" i="1"/>
  <c r="Z36" i="1" s="1"/>
  <c r="Z35" i="1"/>
  <c r="Y35" i="1"/>
  <c r="W35" i="1"/>
  <c r="V35" i="1"/>
  <c r="U35" i="1"/>
  <c r="W34" i="1"/>
  <c r="V34" i="1"/>
  <c r="X34" i="1" s="1"/>
  <c r="U34" i="1"/>
  <c r="W33" i="1"/>
  <c r="V33" i="1"/>
  <c r="U33" i="1"/>
  <c r="Y33" i="1" s="1"/>
  <c r="W32" i="1"/>
  <c r="V32" i="1"/>
  <c r="U32" i="1"/>
  <c r="Z32" i="1" s="1"/>
  <c r="W31" i="1"/>
  <c r="V31" i="1"/>
  <c r="X31" i="1" s="1"/>
  <c r="U31" i="1"/>
  <c r="Z31" i="1" s="1"/>
  <c r="W30" i="1"/>
  <c r="V30" i="1"/>
  <c r="X30" i="1" s="1"/>
  <c r="U30" i="1"/>
  <c r="W29" i="1"/>
  <c r="V29" i="1"/>
  <c r="U29" i="1"/>
  <c r="Y29" i="1" s="1"/>
  <c r="W28" i="1"/>
  <c r="V28" i="1"/>
  <c r="X28" i="1" s="1"/>
  <c r="U28" i="1"/>
  <c r="Z28" i="1" s="1"/>
  <c r="W27" i="1"/>
  <c r="V27" i="1"/>
  <c r="X27" i="1" s="1"/>
  <c r="U27" i="1"/>
  <c r="W26" i="1"/>
  <c r="V26" i="1"/>
  <c r="X26" i="1" s="1"/>
  <c r="U26" i="1"/>
  <c r="Z26" i="1" s="1"/>
  <c r="W25" i="1"/>
  <c r="V25" i="1"/>
  <c r="U25" i="1"/>
  <c r="Y25" i="1" s="1"/>
  <c r="W24" i="1"/>
  <c r="V24" i="1"/>
  <c r="X24" i="1" s="1"/>
  <c r="U24" i="1"/>
  <c r="Z24" i="1" s="1"/>
  <c r="W23" i="1"/>
  <c r="V23" i="1"/>
  <c r="U23" i="1"/>
  <c r="W22" i="1"/>
  <c r="V22" i="1"/>
  <c r="U22" i="1"/>
  <c r="Y22" i="1" s="1"/>
  <c r="W21" i="1"/>
  <c r="V21" i="1"/>
  <c r="X21" i="1" s="1"/>
  <c r="U21" i="1"/>
  <c r="Y21" i="1" s="1"/>
  <c r="W20" i="1"/>
  <c r="V20" i="1"/>
  <c r="X20" i="1" s="1"/>
  <c r="U20" i="1"/>
  <c r="Y20" i="1" s="1"/>
  <c r="W19" i="1"/>
  <c r="V19" i="1"/>
  <c r="U19" i="1"/>
  <c r="W18" i="1"/>
  <c r="V18" i="1"/>
  <c r="U18" i="1"/>
  <c r="Z18" i="1" s="1"/>
  <c r="W17" i="1"/>
  <c r="V17" i="1"/>
  <c r="X17" i="1" s="1"/>
  <c r="U17" i="1"/>
  <c r="W16" i="1"/>
  <c r="V16" i="1"/>
  <c r="U16" i="1"/>
  <c r="W15" i="1"/>
  <c r="V15" i="1"/>
  <c r="U15" i="1"/>
  <c r="Z15" i="1" s="1"/>
  <c r="W14" i="1"/>
  <c r="V14" i="1"/>
  <c r="X14" i="1" s="1"/>
  <c r="U14" i="1"/>
  <c r="Z14" i="1" s="1"/>
  <c r="W13" i="1"/>
  <c r="V13" i="1"/>
  <c r="U13" i="1"/>
  <c r="Y13" i="1" s="1"/>
  <c r="W12" i="1"/>
  <c r="V12" i="1"/>
  <c r="X12" i="1" s="1"/>
  <c r="U12" i="1"/>
  <c r="W11" i="1"/>
  <c r="V11" i="1"/>
  <c r="U11" i="1"/>
  <c r="Z11" i="1" s="1"/>
  <c r="W10" i="1"/>
  <c r="V10" i="1"/>
  <c r="U10" i="1"/>
  <c r="Z10" i="1" s="1"/>
  <c r="W9" i="1"/>
  <c r="V9" i="1"/>
  <c r="X9" i="1" s="1"/>
  <c r="U9" i="1"/>
  <c r="Y9" i="1" s="1"/>
  <c r="W8" i="1"/>
  <c r="V8" i="1"/>
  <c r="U8" i="1"/>
  <c r="Z8" i="1" s="1"/>
  <c r="W7" i="1"/>
  <c r="V7" i="1"/>
  <c r="U7" i="1"/>
  <c r="Z7" i="1" s="1"/>
  <c r="W6" i="1"/>
  <c r="V6" i="1"/>
  <c r="X6" i="1" s="1"/>
  <c r="U6" i="1"/>
  <c r="Z5" i="1"/>
  <c r="W5" i="1"/>
  <c r="V5" i="1"/>
  <c r="U5" i="1"/>
  <c r="Y5" i="1" s="1"/>
  <c r="W4" i="1"/>
  <c r="V4" i="1"/>
  <c r="U4" i="1"/>
  <c r="Z4" i="1" s="1"/>
  <c r="W3" i="1"/>
  <c r="V3" i="1"/>
  <c r="U3" i="1"/>
  <c r="Z3" i="1" s="1"/>
  <c r="W2" i="1"/>
  <c r="V2" i="1"/>
  <c r="U2" i="1"/>
  <c r="X781" i="1" l="1"/>
  <c r="Z982" i="1"/>
  <c r="Y982" i="1"/>
  <c r="X1020" i="1"/>
  <c r="Z287" i="1"/>
  <c r="Y287" i="1"/>
  <c r="Y367" i="1"/>
  <c r="Z367" i="1"/>
  <c r="Z94" i="1"/>
  <c r="Y116" i="1"/>
  <c r="Z420" i="1"/>
  <c r="Z459" i="1"/>
  <c r="Y459" i="1"/>
  <c r="Z1150" i="1"/>
  <c r="Y1150" i="1"/>
  <c r="Y908" i="1"/>
  <c r="Z908" i="1"/>
  <c r="Y1231" i="1"/>
  <c r="Z379" i="1"/>
  <c r="Y379" i="1"/>
  <c r="X271" i="1"/>
  <c r="X1130" i="1"/>
  <c r="Y595" i="1"/>
  <c r="Z595" i="1"/>
  <c r="X951" i="1"/>
  <c r="Z1113" i="1"/>
  <c r="Y1113" i="1"/>
  <c r="Z1131" i="1"/>
  <c r="Y1131" i="1"/>
  <c r="Z269" i="1"/>
  <c r="Y327" i="1"/>
  <c r="Y456" i="1"/>
  <c r="Y651" i="1"/>
  <c r="Z651" i="1"/>
  <c r="Z748" i="1"/>
  <c r="X817" i="1"/>
  <c r="Y68" i="1"/>
  <c r="Y247" i="1"/>
  <c r="Y312" i="1"/>
  <c r="Z323" i="1"/>
  <c r="Y323" i="1"/>
  <c r="Y447" i="1"/>
  <c r="Z447" i="1"/>
  <c r="Z746" i="1"/>
  <c r="Y24" i="1"/>
  <c r="Y26" i="1"/>
  <c r="Z75" i="1"/>
  <c r="Z87" i="1"/>
  <c r="X102" i="1"/>
  <c r="Y104" i="1"/>
  <c r="X143" i="1"/>
  <c r="X151" i="1"/>
  <c r="X174" i="1"/>
  <c r="X182" i="1"/>
  <c r="X184" i="1"/>
  <c r="X189" i="1"/>
  <c r="Y203" i="1"/>
  <c r="X225" i="1"/>
  <c r="Z240" i="1"/>
  <c r="Z245" i="1"/>
  <c r="Y318" i="1"/>
  <c r="Z318" i="1"/>
  <c r="Z372" i="1"/>
  <c r="X375" i="1"/>
  <c r="X416" i="1"/>
  <c r="X421" i="1"/>
  <c r="X477" i="1"/>
  <c r="Y487" i="1"/>
  <c r="X495" i="1"/>
  <c r="Y498" i="1"/>
  <c r="Z498" i="1"/>
  <c r="X576" i="1"/>
  <c r="Y605" i="1"/>
  <c r="Z649" i="1"/>
  <c r="Y649" i="1"/>
  <c r="Y656" i="1"/>
  <c r="Z704" i="1"/>
  <c r="Z709" i="1"/>
  <c r="Y940" i="1"/>
  <c r="Z940" i="1"/>
  <c r="X983" i="1"/>
  <c r="X996" i="1"/>
  <c r="Y1006" i="1"/>
  <c r="Z1006" i="1"/>
  <c r="Z1070" i="1"/>
  <c r="Y1070" i="1"/>
  <c r="X1098" i="1"/>
  <c r="Y1148" i="1"/>
  <c r="Z1148" i="1"/>
  <c r="Y1166" i="1"/>
  <c r="Z1166" i="1"/>
  <c r="X1171" i="1"/>
  <c r="X1176" i="1"/>
  <c r="Z1179" i="1"/>
  <c r="Y1179" i="1"/>
  <c r="Z1227" i="1"/>
  <c r="Y1227" i="1"/>
  <c r="Z886" i="1"/>
  <c r="Y886" i="1"/>
  <c r="Z894" i="1"/>
  <c r="Y894" i="1"/>
  <c r="Z1102" i="1"/>
  <c r="Y1102" i="1"/>
  <c r="Z1133" i="1"/>
  <c r="Y1133" i="1"/>
  <c r="Z931" i="1"/>
  <c r="Y931" i="1"/>
  <c r="Y471" i="1"/>
  <c r="Z471" i="1"/>
  <c r="Y1087" i="1"/>
  <c r="Z1087" i="1"/>
  <c r="Z1186" i="1"/>
  <c r="Y1186" i="1"/>
  <c r="Z1194" i="1"/>
  <c r="Y1194" i="1"/>
  <c r="X520" i="1"/>
  <c r="Y736" i="1"/>
  <c r="Z753" i="1"/>
  <c r="Z929" i="1"/>
  <c r="Y929" i="1"/>
  <c r="Z942" i="1"/>
  <c r="Y942" i="1"/>
  <c r="Z975" i="1"/>
  <c r="Y975" i="1"/>
  <c r="Y1008" i="1"/>
  <c r="Z1008" i="1"/>
  <c r="Y1072" i="1"/>
  <c r="Z1072" i="1"/>
  <c r="Z307" i="1"/>
  <c r="Z612" i="1"/>
  <c r="Y734" i="1"/>
  <c r="Y737" i="1"/>
  <c r="Z737" i="1"/>
  <c r="Y955" i="1"/>
  <c r="Z955" i="1"/>
  <c r="Y1074" i="1"/>
  <c r="Z1106" i="1"/>
  <c r="Y1106" i="1"/>
  <c r="X2" i="1"/>
  <c r="X29" i="1"/>
  <c r="Y51" i="1"/>
  <c r="X59" i="1"/>
  <c r="X64" i="1"/>
  <c r="X83" i="1"/>
  <c r="X107" i="1"/>
  <c r="X115" i="1"/>
  <c r="X117" i="1"/>
  <c r="X146" i="1"/>
  <c r="X164" i="1"/>
  <c r="X177" i="1"/>
  <c r="Z196" i="1"/>
  <c r="X199" i="1"/>
  <c r="Y236" i="1"/>
  <c r="Z236" i="1"/>
  <c r="X296" i="1"/>
  <c r="X298" i="1"/>
  <c r="Z370" i="1"/>
  <c r="X378" i="1"/>
  <c r="Y392" i="1"/>
  <c r="X397" i="1"/>
  <c r="Y399" i="1"/>
  <c r="Y439" i="1"/>
  <c r="X472" i="1"/>
  <c r="X480" i="1"/>
  <c r="X490" i="1"/>
  <c r="Y500" i="1"/>
  <c r="X521" i="1"/>
  <c r="X528" i="1"/>
  <c r="Y537" i="1"/>
  <c r="X557" i="1"/>
  <c r="Z560" i="1"/>
  <c r="Y560" i="1"/>
  <c r="Y576" i="1"/>
  <c r="Z593" i="1"/>
  <c r="X596" i="1"/>
  <c r="X601" i="1"/>
  <c r="X608" i="1"/>
  <c r="X613" i="1"/>
  <c r="X667" i="1"/>
  <c r="Z686" i="1"/>
  <c r="Y686" i="1"/>
  <c r="X690" i="1"/>
  <c r="Y882" i="1"/>
  <c r="Y906" i="1"/>
  <c r="Z906" i="1"/>
  <c r="Y1001" i="1"/>
  <c r="Z1001" i="1"/>
  <c r="Z1028" i="1"/>
  <c r="Y1104" i="1"/>
  <c r="Z1104" i="1"/>
  <c r="Y1222" i="1"/>
  <c r="Z1222" i="1"/>
  <c r="Y491" i="1"/>
  <c r="Z491" i="1"/>
  <c r="Y1037" i="1"/>
  <c r="Z1037" i="1"/>
  <c r="Z1159" i="1"/>
  <c r="Y1159" i="1"/>
  <c r="X132" i="1"/>
  <c r="Y224" i="1"/>
  <c r="Z224" i="1"/>
  <c r="Z653" i="1"/>
  <c r="Y653" i="1"/>
  <c r="X379" i="1"/>
  <c r="Y556" i="1"/>
  <c r="Z556" i="1"/>
  <c r="Y510" i="1"/>
  <c r="Z510" i="1"/>
  <c r="Z163" i="1"/>
  <c r="Y238" i="1"/>
  <c r="Z238" i="1"/>
  <c r="Y255" i="1"/>
  <c r="Z255" i="1"/>
  <c r="Y520" i="1"/>
  <c r="X5" i="1"/>
  <c r="X10" i="1"/>
  <c r="X18" i="1"/>
  <c r="Z20" i="1"/>
  <c r="X23" i="1"/>
  <c r="X25" i="1"/>
  <c r="X67" i="1"/>
  <c r="X69" i="1"/>
  <c r="X76" i="1"/>
  <c r="X86" i="1"/>
  <c r="X88" i="1"/>
  <c r="Z97" i="1"/>
  <c r="X120" i="1"/>
  <c r="X127" i="1"/>
  <c r="X141" i="1"/>
  <c r="X162" i="1"/>
  <c r="Z184" i="1"/>
  <c r="Z194" i="1"/>
  <c r="X216" i="1"/>
  <c r="Z218" i="1"/>
  <c r="X223" i="1"/>
  <c r="Y226" i="1"/>
  <c r="Z226" i="1"/>
  <c r="X261" i="1"/>
  <c r="X278" i="1"/>
  <c r="X301" i="1"/>
  <c r="X306" i="1"/>
  <c r="X311" i="1"/>
  <c r="X313" i="1"/>
  <c r="Z316" i="1"/>
  <c r="Y316" i="1"/>
  <c r="Y340" i="1"/>
  <c r="X343" i="1"/>
  <c r="X345" i="1"/>
  <c r="X353" i="1"/>
  <c r="X361" i="1"/>
  <c r="X373" i="1"/>
  <c r="Z383" i="1"/>
  <c r="Z390" i="1"/>
  <c r="X402" i="1"/>
  <c r="X404" i="1"/>
  <c r="Z435" i="1"/>
  <c r="Y435" i="1"/>
  <c r="Z455" i="1"/>
  <c r="Z496" i="1"/>
  <c r="Y496" i="1"/>
  <c r="X519" i="1"/>
  <c r="X552" i="1"/>
  <c r="Z568" i="1"/>
  <c r="Y568" i="1"/>
  <c r="Y572" i="1"/>
  <c r="X611" i="1"/>
  <c r="Y629" i="1"/>
  <c r="Z629" i="1"/>
  <c r="X652" i="1"/>
  <c r="X662" i="1"/>
  <c r="X686" i="1"/>
  <c r="Y742" i="1"/>
  <c r="X824" i="1"/>
  <c r="Z834" i="1"/>
  <c r="X853" i="1"/>
  <c r="Y898" i="1"/>
  <c r="Z938" i="1"/>
  <c r="Y938" i="1"/>
  <c r="X976" i="1"/>
  <c r="X981" i="1"/>
  <c r="X994" i="1"/>
  <c r="Y996" i="1"/>
  <c r="Z1026" i="1"/>
  <c r="X1052" i="1"/>
  <c r="X1127" i="1"/>
  <c r="Z1146" i="1"/>
  <c r="Y1146" i="1"/>
  <c r="X1190" i="1"/>
  <c r="X879" i="1"/>
  <c r="X903" i="1"/>
  <c r="X975" i="1"/>
  <c r="X1001" i="1"/>
  <c r="X1037" i="1"/>
  <c r="X1065" i="1"/>
  <c r="X1106" i="1"/>
  <c r="X1135" i="1"/>
  <c r="X1191" i="1"/>
  <c r="X231" i="1"/>
  <c r="X270" i="1"/>
  <c r="X272" i="1"/>
  <c r="X285" i="1"/>
  <c r="X297" i="1"/>
  <c r="X370" i="1"/>
  <c r="X384" i="1"/>
  <c r="X393" i="1"/>
  <c r="X398" i="1"/>
  <c r="X400" i="1"/>
  <c r="X568" i="1"/>
  <c r="X600" i="1"/>
  <c r="X619" i="1"/>
  <c r="X637" i="1"/>
  <c r="X671" i="1"/>
  <c r="X684" i="1"/>
  <c r="X730" i="1"/>
  <c r="X744" i="1"/>
  <c r="X761" i="1"/>
  <c r="X919" i="1"/>
  <c r="X934" i="1"/>
  <c r="X958" i="1"/>
  <c r="X1085" i="1"/>
  <c r="X1090" i="1"/>
  <c r="X1095" i="1"/>
  <c r="X1111" i="1"/>
  <c r="X1133" i="1"/>
  <c r="X1237" i="1"/>
  <c r="X222" i="1"/>
  <c r="X241" i="1"/>
  <c r="X246" i="1"/>
  <c r="X268" i="1"/>
  <c r="X290" i="1"/>
  <c r="X389" i="1"/>
  <c r="X396" i="1"/>
  <c r="X428" i="1"/>
  <c r="X438" i="1"/>
  <c r="X453" i="1"/>
  <c r="X457" i="1"/>
  <c r="X462" i="1"/>
  <c r="X482" i="1"/>
  <c r="X489" i="1"/>
  <c r="X542" i="1"/>
  <c r="X549" i="1"/>
  <c r="X645" i="1"/>
  <c r="X666" i="1"/>
  <c r="X676" i="1"/>
  <c r="X682" i="1"/>
  <c r="X698" i="1"/>
  <c r="X705" i="1"/>
  <c r="X710" i="1"/>
  <c r="X752" i="1"/>
  <c r="X775" i="1"/>
  <c r="X803" i="1"/>
  <c r="X821" i="1"/>
  <c r="X941" i="1"/>
  <c r="X943" i="1"/>
  <c r="X1058" i="1"/>
  <c r="X1073" i="1"/>
  <c r="X1109" i="1"/>
  <c r="X1119" i="1"/>
  <c r="X1136" i="1"/>
  <c r="X1162" i="1"/>
  <c r="X1167" i="1"/>
  <c r="X1175" i="1"/>
  <c r="X1192" i="1"/>
  <c r="X1199" i="1"/>
  <c r="X1051" i="1"/>
  <c r="X1061" i="1"/>
  <c r="X1083" i="1"/>
  <c r="Y1090" i="1"/>
  <c r="Z1095" i="1"/>
  <c r="X1139" i="1"/>
  <c r="X1165" i="1"/>
  <c r="Y1177" i="1"/>
  <c r="X1185" i="1"/>
  <c r="X1187" i="1"/>
  <c r="X1216" i="1"/>
  <c r="X1223" i="1"/>
  <c r="Y17" i="1"/>
  <c r="Z17" i="1"/>
  <c r="Z160" i="1"/>
  <c r="Y160" i="1"/>
  <c r="Y794" i="1"/>
  <c r="Z794" i="1"/>
  <c r="Y128" i="1"/>
  <c r="Z128" i="1"/>
  <c r="Z179" i="1"/>
  <c r="Y179" i="1"/>
  <c r="Y186" i="1"/>
  <c r="Z186" i="1"/>
  <c r="X303" i="1"/>
  <c r="Y308" i="1"/>
  <c r="Z308" i="1"/>
  <c r="Z404" i="1"/>
  <c r="Y404" i="1"/>
  <c r="Y431" i="1"/>
  <c r="Z431" i="1"/>
  <c r="Z451" i="1"/>
  <c r="Y451" i="1"/>
  <c r="Z756" i="1"/>
  <c r="Y756" i="1"/>
  <c r="X875" i="1"/>
  <c r="Z38" i="1"/>
  <c r="Y38" i="1"/>
  <c r="X317" i="1"/>
  <c r="X395" i="1"/>
  <c r="X485" i="1"/>
  <c r="Y538" i="1"/>
  <c r="Z538" i="1"/>
  <c r="Y564" i="1"/>
  <c r="Z564" i="1"/>
  <c r="Y92" i="1"/>
  <c r="Y252" i="1"/>
  <c r="X451" i="1"/>
  <c r="Y492" i="1"/>
  <c r="Z532" i="1"/>
  <c r="Y532" i="1"/>
  <c r="Y541" i="1"/>
  <c r="Z541" i="1"/>
  <c r="Z553" i="1"/>
  <c r="Y553" i="1"/>
  <c r="Z84" i="1"/>
  <c r="Y84" i="1"/>
  <c r="Y115" i="1"/>
  <c r="Z120" i="1"/>
  <c r="Y120" i="1"/>
  <c r="Y172" i="1"/>
  <c r="Z174" i="1"/>
  <c r="Z197" i="1"/>
  <c r="Z243" i="1"/>
  <c r="Y248" i="1"/>
  <c r="Z248" i="1"/>
  <c r="X269" i="1"/>
  <c r="Y281" i="1"/>
  <c r="Z281" i="1"/>
  <c r="Y292" i="1"/>
  <c r="Y352" i="1"/>
  <c r="Y359" i="1"/>
  <c r="Z375" i="1"/>
  <c r="Y384" i="1"/>
  <c r="Y419" i="1"/>
  <c r="Y442" i="1"/>
  <c r="Z442" i="1"/>
  <c r="Z460" i="1"/>
  <c r="Y476" i="1"/>
  <c r="Y479" i="1"/>
  <c r="Z479" i="1"/>
  <c r="X481" i="1"/>
  <c r="Z483" i="1"/>
  <c r="X578" i="1"/>
  <c r="X583" i="1"/>
  <c r="Z633" i="1"/>
  <c r="Y633" i="1"/>
  <c r="X785" i="1"/>
  <c r="X787" i="1"/>
  <c r="Z826" i="1"/>
  <c r="Y826" i="1"/>
  <c r="X828" i="1"/>
  <c r="X949" i="1"/>
  <c r="Y961" i="1"/>
  <c r="Z963" i="1"/>
  <c r="Y966" i="1"/>
  <c r="Z966" i="1"/>
  <c r="Z1045" i="1"/>
  <c r="Y1045" i="1"/>
  <c r="Y1049" i="1"/>
  <c r="Y80" i="1"/>
  <c r="Z80" i="1"/>
  <c r="Y231" i="1"/>
  <c r="Z231" i="1"/>
  <c r="Z259" i="1"/>
  <c r="Y259" i="1"/>
  <c r="Y324" i="1"/>
  <c r="Z324" i="1"/>
  <c r="Y878" i="1"/>
  <c r="Z878" i="1"/>
  <c r="Z890" i="1"/>
  <c r="Y890" i="1"/>
  <c r="Y970" i="1"/>
  <c r="Z970" i="1"/>
  <c r="Y140" i="1"/>
  <c r="Z140" i="1"/>
  <c r="Y213" i="1"/>
  <c r="Z213" i="1"/>
  <c r="Y501" i="1"/>
  <c r="Z501" i="1"/>
  <c r="Y774" i="1"/>
  <c r="Z774" i="1"/>
  <c r="Z151" i="1"/>
  <c r="Y151" i="1"/>
  <c r="X245" i="1"/>
  <c r="Z320" i="1"/>
  <c r="Y320" i="1"/>
  <c r="X377" i="1"/>
  <c r="Y805" i="1"/>
  <c r="Z805" i="1"/>
  <c r="Y876" i="1"/>
  <c r="Z876" i="1"/>
  <c r="Y177" i="1"/>
  <c r="Z177" i="1"/>
  <c r="X555" i="1"/>
  <c r="Y705" i="1"/>
  <c r="Z705" i="1"/>
  <c r="Z1139" i="1"/>
  <c r="Y1139" i="1"/>
  <c r="Y27" i="1"/>
  <c r="Z27" i="1"/>
  <c r="Z99" i="1"/>
  <c r="X106" i="1"/>
  <c r="Y109" i="1"/>
  <c r="Z109" i="1"/>
  <c r="Z113" i="1"/>
  <c r="Z144" i="1"/>
  <c r="Y144" i="1"/>
  <c r="Z170" i="1"/>
  <c r="X180" i="1"/>
  <c r="X187" i="1"/>
  <c r="X214" i="1"/>
  <c r="Z216" i="1"/>
  <c r="Y221" i="1"/>
  <c r="Z221" i="1"/>
  <c r="X235" i="1"/>
  <c r="X237" i="1"/>
  <c r="Z241" i="1"/>
  <c r="X267" i="1"/>
  <c r="X274" i="1"/>
  <c r="Y288" i="1"/>
  <c r="Z288" i="1"/>
  <c r="X330" i="1"/>
  <c r="Y332" i="1"/>
  <c r="X339" i="1"/>
  <c r="X341" i="1"/>
  <c r="Z350" i="1"/>
  <c r="Z415" i="1"/>
  <c r="Y415" i="1"/>
  <c r="Y422" i="1"/>
  <c r="Z422" i="1"/>
  <c r="X432" i="1"/>
  <c r="X437" i="1"/>
  <c r="X452" i="1"/>
  <c r="Z474" i="1"/>
  <c r="X500" i="1"/>
  <c r="Z505" i="1"/>
  <c r="Y505" i="1"/>
  <c r="Y509" i="1"/>
  <c r="X525" i="1"/>
  <c r="Z588" i="1"/>
  <c r="Y588" i="1"/>
  <c r="X599" i="1"/>
  <c r="X604" i="1"/>
  <c r="Y621" i="1"/>
  <c r="Z621" i="1"/>
  <c r="X623" i="1"/>
  <c r="X628" i="1"/>
  <c r="Z641" i="1"/>
  <c r="Y641" i="1"/>
  <c r="Z661" i="1"/>
  <c r="X664" i="1"/>
  <c r="Y667" i="1"/>
  <c r="Z667" i="1"/>
  <c r="X757" i="1"/>
  <c r="X759" i="1"/>
  <c r="Y770" i="1"/>
  <c r="Z770" i="1"/>
  <c r="X790" i="1"/>
  <c r="X818" i="1"/>
  <c r="Z821" i="1"/>
  <c r="Y821" i="1"/>
  <c r="Y923" i="1"/>
  <c r="X1004" i="1"/>
  <c r="Y1057" i="1"/>
  <c r="Z1057" i="1"/>
  <c r="Y1098" i="1"/>
  <c r="X1120" i="1"/>
  <c r="X1134" i="1"/>
  <c r="Z1154" i="1"/>
  <c r="Y1154" i="1"/>
  <c r="Z1223" i="1"/>
  <c r="Y1223" i="1"/>
  <c r="Z67" i="1"/>
  <c r="Y67" i="1"/>
  <c r="Y462" i="1"/>
  <c r="Z462" i="1"/>
  <c r="Z784" i="1"/>
  <c r="Y784" i="1"/>
  <c r="X1015" i="1"/>
  <c r="Z561" i="1"/>
  <c r="Y561" i="1"/>
  <c r="Z905" i="1"/>
  <c r="Y905" i="1"/>
  <c r="Z925" i="1"/>
  <c r="Y925" i="1"/>
  <c r="Z1061" i="1"/>
  <c r="Y1061" i="1"/>
  <c r="Y250" i="1"/>
  <c r="Z250" i="1"/>
  <c r="Y257" i="1"/>
  <c r="Z257" i="1"/>
  <c r="Z536" i="1"/>
  <c r="Y536" i="1"/>
  <c r="X963" i="1"/>
  <c r="Z1086" i="1"/>
  <c r="Y1086" i="1"/>
  <c r="X33" i="1"/>
  <c r="Z58" i="1"/>
  <c r="Y58" i="1"/>
  <c r="Z559" i="1"/>
  <c r="Y994" i="1"/>
  <c r="Y63" i="1"/>
  <c r="Z63" i="1"/>
  <c r="Y31" i="1"/>
  <c r="X16" i="1"/>
  <c r="Z19" i="1"/>
  <c r="Y19" i="1"/>
  <c r="X39" i="1"/>
  <c r="X66" i="1"/>
  <c r="Z106" i="1"/>
  <c r="X109" i="1"/>
  <c r="Y111" i="1"/>
  <c r="X134" i="1"/>
  <c r="X139" i="1"/>
  <c r="Z156" i="1"/>
  <c r="X159" i="1"/>
  <c r="Z161" i="1"/>
  <c r="Y168" i="1"/>
  <c r="Z189" i="1"/>
  <c r="Y191" i="1"/>
  <c r="Z223" i="1"/>
  <c r="X228" i="1"/>
  <c r="X230" i="1"/>
  <c r="Y233" i="1"/>
  <c r="Z233" i="1"/>
  <c r="X258" i="1"/>
  <c r="Z260" i="1"/>
  <c r="X265" i="1"/>
  <c r="Z267" i="1"/>
  <c r="Y276" i="1"/>
  <c r="Y283" i="1"/>
  <c r="X312" i="1"/>
  <c r="Y326" i="1"/>
  <c r="Z326" i="1"/>
  <c r="Y328" i="1"/>
  <c r="Z328" i="1"/>
  <c r="Y348" i="1"/>
  <c r="X394" i="1"/>
  <c r="Y412" i="1"/>
  <c r="Z440" i="1"/>
  <c r="Y440" i="1"/>
  <c r="Y472" i="1"/>
  <c r="Y528" i="1"/>
  <c r="Z528" i="1"/>
  <c r="X565" i="1"/>
  <c r="X570" i="1"/>
  <c r="Y579" i="1"/>
  <c r="Z579" i="1"/>
  <c r="Y628" i="1"/>
  <c r="X641" i="1"/>
  <c r="Y644" i="1"/>
  <c r="Z644" i="1"/>
  <c r="X745" i="1"/>
  <c r="X762" i="1"/>
  <c r="Z765" i="1"/>
  <c r="Y765" i="1"/>
  <c r="X783" i="1"/>
  <c r="X793" i="1"/>
  <c r="Z796" i="1"/>
  <c r="Y796" i="1"/>
  <c r="X850" i="1"/>
  <c r="X889" i="1"/>
  <c r="X911" i="1"/>
  <c r="Z914" i="1"/>
  <c r="Y914" i="1"/>
  <c r="X1009" i="1"/>
  <c r="Y1012" i="1"/>
  <c r="Z1012" i="1"/>
  <c r="Y1092" i="1"/>
  <c r="Z1092" i="1"/>
  <c r="Y1118" i="1"/>
  <c r="Z1118" i="1"/>
  <c r="Y135" i="1"/>
  <c r="Z135" i="1"/>
  <c r="Y577" i="1"/>
  <c r="Z577" i="1"/>
  <c r="Y1116" i="1"/>
  <c r="Z1116" i="1"/>
  <c r="Z1174" i="1"/>
  <c r="Y1174" i="1"/>
  <c r="Y206" i="1"/>
  <c r="Z206" i="1"/>
  <c r="X319" i="1"/>
  <c r="Y833" i="1"/>
  <c r="Z833" i="1"/>
  <c r="X1005" i="1"/>
  <c r="Z1025" i="1"/>
  <c r="Y1025" i="1"/>
  <c r="Y65" i="1"/>
  <c r="Z65" i="1"/>
  <c r="Y158" i="1"/>
  <c r="Z158" i="1"/>
  <c r="Y229" i="1"/>
  <c r="Z229" i="1"/>
  <c r="Z828" i="1"/>
  <c r="Y828" i="1"/>
  <c r="Z849" i="1"/>
  <c r="Y849" i="1"/>
  <c r="Y1064" i="1"/>
  <c r="Z1064" i="1"/>
  <c r="Z52" i="1"/>
  <c r="Z199" i="1"/>
  <c r="Y204" i="1"/>
  <c r="Z204" i="1"/>
  <c r="X243" i="1"/>
  <c r="Z294" i="1"/>
  <c r="Z424" i="1"/>
  <c r="Y424" i="1"/>
  <c r="Z557" i="1"/>
  <c r="Y717" i="1"/>
  <c r="X11" i="1"/>
  <c r="X19" i="1"/>
  <c r="X42" i="1"/>
  <c r="Y47" i="1"/>
  <c r="Z47" i="1"/>
  <c r="Z54" i="1"/>
  <c r="Y54" i="1"/>
  <c r="X71" i="1"/>
  <c r="X73" i="1"/>
  <c r="Z77" i="1"/>
  <c r="Z91" i="1"/>
  <c r="X96" i="1"/>
  <c r="X100" i="1"/>
  <c r="Z103" i="1"/>
  <c r="Y103" i="1"/>
  <c r="X137" i="1"/>
  <c r="Y142" i="1"/>
  <c r="Z142" i="1"/>
  <c r="X152" i="1"/>
  <c r="X178" i="1"/>
  <c r="X185" i="1"/>
  <c r="Z188" i="1"/>
  <c r="Y188" i="1"/>
  <c r="X205" i="1"/>
  <c r="X212" i="1"/>
  <c r="Z215" i="1"/>
  <c r="Y215" i="1"/>
  <c r="X233" i="1"/>
  <c r="Y235" i="1"/>
  <c r="Z274" i="1"/>
  <c r="X326" i="1"/>
  <c r="X390" i="1"/>
  <c r="X401" i="1"/>
  <c r="X425" i="1"/>
  <c r="X430" i="1"/>
  <c r="X435" i="1"/>
  <c r="X450" i="1"/>
  <c r="X455" i="1"/>
  <c r="X459" i="1"/>
  <c r="Y503" i="1"/>
  <c r="Z503" i="1"/>
  <c r="X574" i="1"/>
  <c r="Z600" i="1"/>
  <c r="Y600" i="1"/>
  <c r="Y619" i="1"/>
  <c r="Z619" i="1"/>
  <c r="X723" i="1"/>
  <c r="X738" i="1"/>
  <c r="X788" i="1"/>
  <c r="X904" i="1"/>
  <c r="Z934" i="1"/>
  <c r="Y934" i="1"/>
  <c r="Y972" i="1"/>
  <c r="Z972" i="1"/>
  <c r="Y986" i="1"/>
  <c r="Z986" i="1"/>
  <c r="Z1005" i="1"/>
  <c r="Y1005" i="1"/>
  <c r="Z1038" i="1"/>
  <c r="Y1038" i="1"/>
  <c r="Z1077" i="1"/>
  <c r="Y1077" i="1"/>
  <c r="X1108" i="1"/>
  <c r="X1113" i="1"/>
  <c r="X1118" i="1"/>
  <c r="Y1130" i="1"/>
  <c r="Y1214" i="1"/>
  <c r="Z1214" i="1"/>
  <c r="Y1239" i="1"/>
  <c r="X149" i="1"/>
  <c r="X433" i="1"/>
  <c r="X479" i="1"/>
  <c r="X612" i="1"/>
  <c r="Z637" i="1"/>
  <c r="Y637" i="1"/>
  <c r="Y713" i="1"/>
  <c r="Z713" i="1"/>
  <c r="Y862" i="1"/>
  <c r="Z862" i="1"/>
  <c r="Z903" i="1"/>
  <c r="Y903" i="1"/>
  <c r="X927" i="1"/>
  <c r="Z957" i="1"/>
  <c r="Y957" i="1"/>
  <c r="X1078" i="1"/>
  <c r="Y1084" i="1"/>
  <c r="Z1084" i="1"/>
  <c r="Z1126" i="1"/>
  <c r="Y1126" i="1"/>
  <c r="Y1219" i="1"/>
  <c r="Z1219" i="1"/>
  <c r="Z1170" i="1"/>
  <c r="Y1170" i="1"/>
  <c r="X1209" i="1"/>
  <c r="X167" i="1"/>
  <c r="X213" i="1"/>
  <c r="X257" i="1"/>
  <c r="X367" i="1"/>
  <c r="X387" i="1"/>
  <c r="X413" i="1"/>
  <c r="X431" i="1"/>
  <c r="X471" i="1"/>
  <c r="X497" i="1"/>
  <c r="X544" i="1"/>
  <c r="X546" i="1"/>
  <c r="X580" i="1"/>
  <c r="X582" i="1"/>
  <c r="X591" i="1"/>
  <c r="Z617" i="1"/>
  <c r="Y617" i="1"/>
  <c r="Z665" i="1"/>
  <c r="Y665" i="1"/>
  <c r="X696" i="1"/>
  <c r="Z754" i="1"/>
  <c r="Y754" i="1"/>
  <c r="Z772" i="1"/>
  <c r="Y772" i="1"/>
  <c r="Z782" i="1"/>
  <c r="Y782" i="1"/>
  <c r="X804" i="1"/>
  <c r="X814" i="1"/>
  <c r="Z817" i="1"/>
  <c r="Y817" i="1"/>
  <c r="X857" i="1"/>
  <c r="Y874" i="1"/>
  <c r="Z874" i="1"/>
  <c r="X891" i="1"/>
  <c r="X918" i="1"/>
  <c r="X930" i="1"/>
  <c r="X1025" i="1"/>
  <c r="X1029" i="1"/>
  <c r="X1036" i="1"/>
  <c r="Z1041" i="1"/>
  <c r="Y1041" i="1"/>
  <c r="X1076" i="1"/>
  <c r="Y1107" i="1"/>
  <c r="Z1107" i="1"/>
  <c r="Y1168" i="1"/>
  <c r="Z1168" i="1"/>
  <c r="X1207" i="1"/>
  <c r="X56" i="1"/>
  <c r="X65" i="1"/>
  <c r="X32" i="1"/>
  <c r="X44" i="1"/>
  <c r="X48" i="1"/>
  <c r="X57" i="1"/>
  <c r="X61" i="1"/>
  <c r="X87" i="1"/>
  <c r="X89" i="1"/>
  <c r="X93" i="1"/>
  <c r="X110" i="1"/>
  <c r="X112" i="1"/>
  <c r="X123" i="1"/>
  <c r="X125" i="1"/>
  <c r="X129" i="1"/>
  <c r="X136" i="1"/>
  <c r="X150" i="1"/>
  <c r="X165" i="1"/>
  <c r="X169" i="1"/>
  <c r="X192" i="1"/>
  <c r="X203" i="1"/>
  <c r="X207" i="1"/>
  <c r="X209" i="1"/>
  <c r="X220" i="1"/>
  <c r="X251" i="1"/>
  <c r="X253" i="1"/>
  <c r="X255" i="1"/>
  <c r="X273" i="1"/>
  <c r="X280" i="1"/>
  <c r="X282" i="1"/>
  <c r="X284" i="1"/>
  <c r="X293" i="1"/>
  <c r="X300" i="1"/>
  <c r="X307" i="1"/>
  <c r="X309" i="1"/>
  <c r="X349" i="1"/>
  <c r="X356" i="1"/>
  <c r="X365" i="1"/>
  <c r="X372" i="1"/>
  <c r="X374" i="1"/>
  <c r="X383" i="1"/>
  <c r="X392" i="1"/>
  <c r="X403" i="1"/>
  <c r="X407" i="1"/>
  <c r="X409" i="1"/>
  <c r="X411" i="1"/>
  <c r="X429" i="1"/>
  <c r="X434" i="1"/>
  <c r="X469" i="1"/>
  <c r="X473" i="1"/>
  <c r="X493" i="1"/>
  <c r="X506" i="1"/>
  <c r="Z540" i="1"/>
  <c r="Y540" i="1"/>
  <c r="X562" i="1"/>
  <c r="X587" i="1"/>
  <c r="Y608" i="1"/>
  <c r="Z608" i="1"/>
  <c r="Y635" i="1"/>
  <c r="Z635" i="1"/>
  <c r="X670" i="1"/>
  <c r="Z688" i="1"/>
  <c r="Y688" i="1"/>
  <c r="X701" i="1"/>
  <c r="X728" i="1"/>
  <c r="Z745" i="1"/>
  <c r="Y745" i="1"/>
  <c r="X884" i="1"/>
  <c r="X921" i="1"/>
  <c r="X974" i="1"/>
  <c r="X1011" i="1"/>
  <c r="Z1014" i="1"/>
  <c r="Y1014" i="1"/>
  <c r="X1079" i="1"/>
  <c r="Z1082" i="1"/>
  <c r="Y1082" i="1"/>
  <c r="X1087" i="1"/>
  <c r="X1094" i="1"/>
  <c r="X1182" i="1"/>
  <c r="Y1192" i="1"/>
  <c r="Z1192" i="1"/>
  <c r="X1194" i="1"/>
  <c r="Z1212" i="1"/>
  <c r="X530" i="1"/>
  <c r="X556" i="1"/>
  <c r="X566" i="1"/>
  <c r="X697" i="1"/>
  <c r="X756" i="1"/>
  <c r="X864" i="1"/>
  <c r="X883" i="1"/>
  <c r="X897" i="1"/>
  <c r="X899" i="1"/>
  <c r="X939" i="1"/>
  <c r="X948" i="1"/>
  <c r="X959" i="1"/>
  <c r="X966" i="1"/>
  <c r="X1003" i="1"/>
  <c r="X1043" i="1"/>
  <c r="X1222" i="1"/>
  <c r="X1226" i="1"/>
  <c r="X547" i="1"/>
  <c r="X554" i="1"/>
  <c r="X579" i="1"/>
  <c r="X598" i="1"/>
  <c r="X644" i="1"/>
  <c r="X646" i="1"/>
  <c r="X841" i="1"/>
  <c r="X886" i="1"/>
  <c r="X917" i="1"/>
  <c r="X922" i="1"/>
  <c r="X926" i="1"/>
  <c r="X937" i="1"/>
  <c r="X953" i="1"/>
  <c r="X957" i="1"/>
  <c r="X979" i="1"/>
  <c r="X1010" i="1"/>
  <c r="X1017" i="1"/>
  <c r="X1026" i="1"/>
  <c r="X1039" i="1"/>
  <c r="X1048" i="1"/>
  <c r="X1050" i="1"/>
  <c r="X1069" i="1"/>
  <c r="X1101" i="1"/>
  <c r="X1117" i="1"/>
  <c r="X1142" i="1"/>
  <c r="X1149" i="1"/>
  <c r="X1153" i="1"/>
  <c r="X1161" i="1"/>
  <c r="X1197" i="1"/>
  <c r="X1228" i="1"/>
  <c r="X567" i="1"/>
  <c r="X569" i="1"/>
  <c r="X586" i="1"/>
  <c r="X590" i="1"/>
  <c r="X605" i="1"/>
  <c r="X609" i="1"/>
  <c r="X627" i="1"/>
  <c r="X629" i="1"/>
  <c r="X653" i="1"/>
  <c r="X655" i="1"/>
  <c r="X657" i="1"/>
  <c r="X672" i="1"/>
  <c r="X681" i="1"/>
  <c r="X695" i="1"/>
  <c r="X700" i="1"/>
  <c r="X716" i="1"/>
  <c r="X718" i="1"/>
  <c r="X725" i="1"/>
  <c r="X733" i="1"/>
  <c r="X735" i="1"/>
  <c r="X778" i="1"/>
  <c r="X806" i="1"/>
  <c r="X813" i="1"/>
  <c r="X816" i="1"/>
  <c r="X906" i="1"/>
  <c r="X913" i="1"/>
  <c r="X924" i="1"/>
  <c r="X977" i="1"/>
  <c r="X1044" i="1"/>
  <c r="X1046" i="1"/>
  <c r="X1062" i="1"/>
  <c r="X1099" i="1"/>
  <c r="X1115" i="1"/>
  <c r="X1129" i="1"/>
  <c r="X1131" i="1"/>
  <c r="X1138" i="1"/>
  <c r="X1145" i="1"/>
  <c r="X1151" i="1"/>
  <c r="X1173" i="1"/>
  <c r="X1181" i="1"/>
  <c r="X1195" i="1"/>
  <c r="X1204" i="1"/>
  <c r="X1211" i="1"/>
  <c r="X1220" i="1"/>
  <c r="X1224" i="1"/>
  <c r="X1231" i="1"/>
  <c r="Z12" i="1"/>
  <c r="Y12" i="1"/>
  <c r="Y81" i="1"/>
  <c r="Z81" i="1"/>
  <c r="Z148" i="1"/>
  <c r="Y148" i="1"/>
  <c r="Z632" i="1"/>
  <c r="Y632" i="1"/>
  <c r="Y122" i="1"/>
  <c r="Z122" i="1"/>
  <c r="Y16" i="1"/>
  <c r="Z16" i="1"/>
  <c r="Y37" i="1"/>
  <c r="Z37" i="1"/>
  <c r="Z311" i="1"/>
  <c r="Y311" i="1"/>
  <c r="Y652" i="1"/>
  <c r="Z652" i="1"/>
  <c r="Y928" i="1"/>
  <c r="Z928" i="1"/>
  <c r="Y943" i="1"/>
  <c r="Z943" i="1"/>
  <c r="Z950" i="1"/>
  <c r="Y950" i="1"/>
  <c r="Z981" i="1"/>
  <c r="Y981" i="1"/>
  <c r="Y34" i="1"/>
  <c r="Z34" i="1"/>
  <c r="Y749" i="1"/>
  <c r="Z749" i="1"/>
  <c r="Y74" i="1"/>
  <c r="Z74" i="1"/>
  <c r="X91" i="1"/>
  <c r="Y266" i="1"/>
  <c r="Z266" i="1"/>
  <c r="Z475" i="1"/>
  <c r="Y475" i="1"/>
  <c r="Y613" i="1"/>
  <c r="Z613" i="1"/>
  <c r="Z155" i="1"/>
  <c r="Y155" i="1"/>
  <c r="Z71" i="1"/>
  <c r="Y71" i="1"/>
  <c r="Y696" i="1"/>
  <c r="Z696" i="1"/>
  <c r="Z48" i="1"/>
  <c r="Y48" i="1"/>
  <c r="Y673" i="1"/>
  <c r="Z673" i="1"/>
  <c r="Z6" i="1"/>
  <c r="Y6" i="1"/>
  <c r="X51" i="1"/>
  <c r="Y55" i="1"/>
  <c r="Z55" i="1"/>
  <c r="X72" i="1"/>
  <c r="Y273" i="1"/>
  <c r="Z273" i="1"/>
  <c r="Y280" i="1"/>
  <c r="Z280" i="1"/>
  <c r="Z291" i="1"/>
  <c r="Y291" i="1"/>
  <c r="Y300" i="1"/>
  <c r="Z300" i="1"/>
  <c r="Z427" i="1"/>
  <c r="Y427" i="1"/>
  <c r="Y910" i="1"/>
  <c r="Z910" i="1"/>
  <c r="Y62" i="1"/>
  <c r="Z62" i="1"/>
  <c r="Z2" i="1"/>
  <c r="Y2" i="1"/>
  <c r="Z30" i="1"/>
  <c r="Y30" i="1"/>
  <c r="Z762" i="1"/>
  <c r="Y762" i="1"/>
  <c r="Z848" i="1"/>
  <c r="Y848" i="1"/>
  <c r="Z355" i="1"/>
  <c r="Y355" i="1"/>
  <c r="Y23" i="1"/>
  <c r="Z23" i="1"/>
  <c r="Z64" i="1"/>
  <c r="Y64" i="1"/>
  <c r="Z108" i="1"/>
  <c r="Y108" i="1"/>
  <c r="Z176" i="1"/>
  <c r="Y176" i="1"/>
  <c r="Z443" i="1"/>
  <c r="Y443" i="1"/>
  <c r="X183" i="1"/>
  <c r="X259" i="1"/>
  <c r="Z508" i="1"/>
  <c r="Y508" i="1"/>
  <c r="X852" i="1"/>
  <c r="Y857" i="1"/>
  <c r="Z857" i="1"/>
  <c r="X155" i="1"/>
  <c r="X291" i="1"/>
  <c r="Z351" i="1"/>
  <c r="Y351" i="1"/>
  <c r="Z676" i="1"/>
  <c r="Y676" i="1"/>
  <c r="Y682" i="1"/>
  <c r="Z682" i="1"/>
  <c r="Z741" i="1"/>
  <c r="Y741" i="1"/>
  <c r="X247" i="1"/>
  <c r="Z935" i="1"/>
  <c r="Y935" i="1"/>
  <c r="X4" i="1"/>
  <c r="X171" i="1"/>
  <c r="X275" i="1"/>
  <c r="X315" i="1"/>
  <c r="Y454" i="1"/>
  <c r="Z454" i="1"/>
  <c r="Z697" i="1"/>
  <c r="Y697" i="1"/>
  <c r="Y915" i="1"/>
  <c r="Z915" i="1"/>
  <c r="Y1203" i="1"/>
  <c r="Z1203" i="1"/>
  <c r="Y171" i="1"/>
  <c r="Y212" i="1"/>
  <c r="Y244" i="1"/>
  <c r="Y256" i="1"/>
  <c r="Y263" i="1"/>
  <c r="Y268" i="1"/>
  <c r="Y275" i="1"/>
  <c r="X295" i="1"/>
  <c r="Y304" i="1"/>
  <c r="Z315" i="1"/>
  <c r="X327" i="1"/>
  <c r="X331" i="1"/>
  <c r="X335" i="1"/>
  <c r="Y347" i="1"/>
  <c r="X351" i="1"/>
  <c r="Z364" i="1"/>
  <c r="Y364" i="1"/>
  <c r="Z391" i="1"/>
  <c r="Y391" i="1"/>
  <c r="Y423" i="1"/>
  <c r="Z452" i="1"/>
  <c r="Y452" i="1"/>
  <c r="Y464" i="1"/>
  <c r="Z468" i="1"/>
  <c r="Y468" i="1"/>
  <c r="X502" i="1"/>
  <c r="Z512" i="1"/>
  <c r="Z552" i="1"/>
  <c r="Y552" i="1"/>
  <c r="Y571" i="1"/>
  <c r="Z571" i="1"/>
  <c r="Z581" i="1"/>
  <c r="Y581" i="1"/>
  <c r="Z585" i="1"/>
  <c r="Y585" i="1"/>
  <c r="X616" i="1"/>
  <c r="Z620" i="1"/>
  <c r="Y620" i="1"/>
  <c r="Y627" i="1"/>
  <c r="Z627" i="1"/>
  <c r="Z640" i="1"/>
  <c r="Y643" i="1"/>
  <c r="Z643" i="1"/>
  <c r="Y728" i="1"/>
  <c r="Z728" i="1"/>
  <c r="Z733" i="1"/>
  <c r="Y733" i="1"/>
  <c r="Z829" i="1"/>
  <c r="Y829" i="1"/>
  <c r="Z838" i="1"/>
  <c r="Y864" i="1"/>
  <c r="Z864" i="1"/>
  <c r="Z871" i="1"/>
  <c r="Y871" i="1"/>
  <c r="Y896" i="1"/>
  <c r="Z896" i="1"/>
  <c r="Y900" i="1"/>
  <c r="Z900" i="1"/>
  <c r="X902" i="1"/>
  <c r="Y911" i="1"/>
  <c r="Z911" i="1"/>
  <c r="Z918" i="1"/>
  <c r="Y918" i="1"/>
  <c r="Z969" i="1"/>
  <c r="Y969" i="1"/>
  <c r="Y1060" i="1"/>
  <c r="Z1060" i="1"/>
  <c r="Z1089" i="1"/>
  <c r="Y1089" i="1"/>
  <c r="Z1142" i="1"/>
  <c r="Y1142" i="1"/>
  <c r="Y1185" i="1"/>
  <c r="Z1215" i="1"/>
  <c r="Y1215" i="1"/>
  <c r="Z1226" i="1"/>
  <c r="Y1226" i="1"/>
  <c r="Z1235" i="1"/>
  <c r="Y1235" i="1"/>
  <c r="X215" i="1"/>
  <c r="X287" i="1"/>
  <c r="X736" i="1"/>
  <c r="Z850" i="1"/>
  <c r="Y850" i="1"/>
  <c r="Z1205" i="1"/>
  <c r="Y1205" i="1"/>
  <c r="X427" i="1"/>
  <c r="Y587" i="1"/>
  <c r="Z587" i="1"/>
  <c r="Z636" i="1"/>
  <c r="Y636" i="1"/>
  <c r="Z1163" i="1"/>
  <c r="Y1163" i="1"/>
  <c r="X347" i="1"/>
  <c r="X423" i="1"/>
  <c r="Y523" i="1"/>
  <c r="Z523" i="1"/>
  <c r="Y525" i="1"/>
  <c r="Z525" i="1"/>
  <c r="Y601" i="1"/>
  <c r="Z601" i="1"/>
  <c r="Z797" i="1"/>
  <c r="Y797" i="1"/>
  <c r="Z885" i="1"/>
  <c r="Y885" i="1"/>
  <c r="Y920" i="1"/>
  <c r="Z920" i="1"/>
  <c r="Z1178" i="1"/>
  <c r="Y1178" i="1"/>
  <c r="Z1183" i="1"/>
  <c r="Y1183" i="1"/>
  <c r="Y1190" i="1"/>
  <c r="Z1190" i="1"/>
  <c r="X15" i="1"/>
  <c r="Y39" i="1"/>
  <c r="Y50" i="1"/>
  <c r="Y76" i="1"/>
  <c r="Y83" i="1"/>
  <c r="X90" i="1"/>
  <c r="Z93" i="1"/>
  <c r="Y95" i="1"/>
  <c r="Y112" i="1"/>
  <c r="Y119" i="1"/>
  <c r="Y124" i="1"/>
  <c r="Z129" i="1"/>
  <c r="Z131" i="1"/>
  <c r="Y136" i="1"/>
  <c r="Z138" i="1"/>
  <c r="Z143" i="1"/>
  <c r="Z157" i="1"/>
  <c r="Y159" i="1"/>
  <c r="Y164" i="1"/>
  <c r="Y180" i="1"/>
  <c r="Z185" i="1"/>
  <c r="Y187" i="1"/>
  <c r="Z193" i="1"/>
  <c r="Y195" i="1"/>
  <c r="Y200" i="1"/>
  <c r="Z205" i="1"/>
  <c r="Y207" i="1"/>
  <c r="Z217" i="1"/>
  <c r="Y219" i="1"/>
  <c r="Z225" i="1"/>
  <c r="Y227" i="1"/>
  <c r="Y232" i="1"/>
  <c r="X234" i="1"/>
  <c r="X236" i="1"/>
  <c r="Z237" i="1"/>
  <c r="Y239" i="1"/>
  <c r="X248" i="1"/>
  <c r="Z249" i="1"/>
  <c r="Y251" i="1"/>
  <c r="X260" i="1"/>
  <c r="Z261" i="1"/>
  <c r="X279" i="1"/>
  <c r="Y284" i="1"/>
  <c r="X288" i="1"/>
  <c r="Y295" i="1"/>
  <c r="X299" i="1"/>
  <c r="Z306" i="1"/>
  <c r="X308" i="1"/>
  <c r="Z319" i="1"/>
  <c r="Y331" i="1"/>
  <c r="X333" i="1"/>
  <c r="Y335" i="1"/>
  <c r="Z339" i="1"/>
  <c r="X358" i="1"/>
  <c r="Z360" i="1"/>
  <c r="Y360" i="1"/>
  <c r="Y376" i="1"/>
  <c r="X405" i="1"/>
  <c r="Z411" i="1"/>
  <c r="X442" i="1"/>
  <c r="X446" i="1"/>
  <c r="Z448" i="1"/>
  <c r="Y448" i="1"/>
  <c r="Z466" i="1"/>
  <c r="Z488" i="1"/>
  <c r="Z495" i="1"/>
  <c r="Y495" i="1"/>
  <c r="Z499" i="1"/>
  <c r="Y499" i="1"/>
  <c r="Z502" i="1"/>
  <c r="Y504" i="1"/>
  <c r="X515" i="1"/>
  <c r="Y517" i="1"/>
  <c r="Y521" i="1"/>
  <c r="Z521" i="1"/>
  <c r="X523" i="1"/>
  <c r="Z529" i="1"/>
  <c r="X539" i="1"/>
  <c r="Z548" i="1"/>
  <c r="Y548" i="1"/>
  <c r="X571" i="1"/>
  <c r="X618" i="1"/>
  <c r="X620" i="1"/>
  <c r="Z624" i="1"/>
  <c r="Z664" i="1"/>
  <c r="Y664" i="1"/>
  <c r="Y683" i="1"/>
  <c r="Z683" i="1"/>
  <c r="Z685" i="1"/>
  <c r="Y685" i="1"/>
  <c r="Z706" i="1"/>
  <c r="Y706" i="1"/>
  <c r="Y725" i="1"/>
  <c r="Z773" i="1"/>
  <c r="Y773" i="1"/>
  <c r="Z777" i="1"/>
  <c r="X780" i="1"/>
  <c r="X812" i="1"/>
  <c r="Y814" i="1"/>
  <c r="Z818" i="1"/>
  <c r="Y818" i="1"/>
  <c r="X820" i="1"/>
  <c r="X822" i="1"/>
  <c r="Y825" i="1"/>
  <c r="Z825" i="1"/>
  <c r="X851" i="1"/>
  <c r="X858" i="1"/>
  <c r="X869" i="1"/>
  <c r="X871" i="1"/>
  <c r="Y883" i="1"/>
  <c r="Z883" i="1"/>
  <c r="Y891" i="1"/>
  <c r="X894" i="1"/>
  <c r="Z954" i="1"/>
  <c r="Y954" i="1"/>
  <c r="Z958" i="1"/>
  <c r="Y958" i="1"/>
  <c r="Z1040" i="1"/>
  <c r="Y1040" i="1"/>
  <c r="Z1138" i="1"/>
  <c r="Y1138" i="1"/>
  <c r="Z1145" i="1"/>
  <c r="Y1145" i="1"/>
  <c r="Y382" i="1"/>
  <c r="Z382" i="1"/>
  <c r="Y603" i="1"/>
  <c r="Z603" i="1"/>
  <c r="Z922" i="1"/>
  <c r="Y922" i="1"/>
  <c r="Y926" i="1"/>
  <c r="Z926" i="1"/>
  <c r="Z937" i="1"/>
  <c r="Y937" i="1"/>
  <c r="Z1234" i="1"/>
  <c r="Y1234" i="1"/>
  <c r="Y378" i="1"/>
  <c r="Z378" i="1"/>
  <c r="X419" i="1"/>
  <c r="X475" i="1"/>
  <c r="Y486" i="1"/>
  <c r="Z486" i="1"/>
  <c r="Y527" i="1"/>
  <c r="Z527" i="1"/>
  <c r="Z669" i="1"/>
  <c r="Y669" i="1"/>
  <c r="Y714" i="1"/>
  <c r="Z714" i="1"/>
  <c r="Z846" i="1"/>
  <c r="Y846" i="1"/>
  <c r="Y1180" i="1"/>
  <c r="Z1180" i="1"/>
  <c r="X8" i="1"/>
  <c r="X263" i="1"/>
  <c r="Y434" i="1"/>
  <c r="Z434" i="1"/>
  <c r="Z484" i="1"/>
  <c r="Y484" i="1"/>
  <c r="Z597" i="1"/>
  <c r="Y597" i="1"/>
  <c r="Y802" i="1"/>
  <c r="Z802" i="1"/>
  <c r="Z1157" i="1"/>
  <c r="Y1157" i="1"/>
  <c r="X138" i="1"/>
  <c r="Z141" i="1"/>
  <c r="Y18" i="1"/>
  <c r="Y43" i="1"/>
  <c r="Y11" i="1"/>
  <c r="Y15" i="1"/>
  <c r="Y36" i="1"/>
  <c r="Z41" i="1"/>
  <c r="X47" i="1"/>
  <c r="Z78" i="1"/>
  <c r="Y88" i="1"/>
  <c r="Z90" i="1"/>
  <c r="Y100" i="1"/>
  <c r="Y107" i="1"/>
  <c r="Z126" i="1"/>
  <c r="Y147" i="1"/>
  <c r="X154" i="1"/>
  <c r="X156" i="1"/>
  <c r="Z173" i="1"/>
  <c r="Y175" i="1"/>
  <c r="Z182" i="1"/>
  <c r="X211" i="1"/>
  <c r="Z214" i="1"/>
  <c r="Z246" i="1"/>
  <c r="Z258" i="1"/>
  <c r="Y272" i="1"/>
  <c r="Y279" i="1"/>
  <c r="Z286" i="1"/>
  <c r="Y299" i="1"/>
  <c r="Y346" i="1"/>
  <c r="Z346" i="1"/>
  <c r="Y356" i="1"/>
  <c r="Z368" i="1"/>
  <c r="Z395" i="1"/>
  <c r="Y402" i="1"/>
  <c r="Z402" i="1"/>
  <c r="Y414" i="1"/>
  <c r="Z414" i="1"/>
  <c r="Z416" i="1"/>
  <c r="Y416" i="1"/>
  <c r="Z430" i="1"/>
  <c r="Y432" i="1"/>
  <c r="Y444" i="1"/>
  <c r="Z463" i="1"/>
  <c r="Y463" i="1"/>
  <c r="Z478" i="1"/>
  <c r="Y480" i="1"/>
  <c r="Y519" i="1"/>
  <c r="Z544" i="1"/>
  <c r="Y544" i="1"/>
  <c r="Y567" i="1"/>
  <c r="Z567" i="1"/>
  <c r="Z569" i="1"/>
  <c r="Y569" i="1"/>
  <c r="Z625" i="1"/>
  <c r="Y625" i="1"/>
  <c r="Z668" i="1"/>
  <c r="Y668" i="1"/>
  <c r="Z708" i="1"/>
  <c r="Y710" i="1"/>
  <c r="Z764" i="1"/>
  <c r="Y764" i="1"/>
  <c r="Y789" i="1"/>
  <c r="Z789" i="1"/>
  <c r="Z808" i="1"/>
  <c r="Y808" i="1"/>
  <c r="Y816" i="1"/>
  <c r="Y837" i="1"/>
  <c r="Z837" i="1"/>
  <c r="Z867" i="1"/>
  <c r="Y867" i="1"/>
  <c r="Y1058" i="1"/>
  <c r="Z1058" i="1"/>
  <c r="Z1127" i="1"/>
  <c r="Y1127" i="1"/>
  <c r="Z609" i="1"/>
  <c r="Y609" i="1"/>
  <c r="Z946" i="1"/>
  <c r="Y946" i="1"/>
  <c r="X74" i="1"/>
  <c r="X122" i="1"/>
  <c r="Z380" i="1"/>
  <c r="Y380" i="1"/>
  <c r="Z407" i="1"/>
  <c r="Y407" i="1"/>
  <c r="X632" i="1"/>
  <c r="Y680" i="1"/>
  <c r="Z680" i="1"/>
  <c r="Z793" i="1"/>
  <c r="Y793" i="1"/>
  <c r="Z902" i="1"/>
  <c r="Y902" i="1"/>
  <c r="Y1112" i="1"/>
  <c r="Z1112" i="1"/>
  <c r="Z836" i="1"/>
  <c r="Y836" i="1"/>
  <c r="Z841" i="1"/>
  <c r="Y841" i="1"/>
  <c r="Z1230" i="1"/>
  <c r="Y1230" i="1"/>
  <c r="Z110" i="1"/>
  <c r="X3" i="1"/>
  <c r="X7" i="1"/>
  <c r="Z9" i="1"/>
  <c r="X13" i="1"/>
  <c r="X22" i="1"/>
  <c r="Z29" i="1"/>
  <c r="X35" i="1"/>
  <c r="X54" i="1"/>
  <c r="Z61" i="1"/>
  <c r="X70" i="1"/>
  <c r="X94" i="1"/>
  <c r="X118" i="1"/>
  <c r="X130" i="1"/>
  <c r="X144" i="1"/>
  <c r="Z145" i="1"/>
  <c r="Z154" i="1"/>
  <c r="X158" i="1"/>
  <c r="X170" i="1"/>
  <c r="X172" i="1"/>
  <c r="X179" i="1"/>
  <c r="X186" i="1"/>
  <c r="X194" i="1"/>
  <c r="X206" i="1"/>
  <c r="X218" i="1"/>
  <c r="X226" i="1"/>
  <c r="X238" i="1"/>
  <c r="X250" i="1"/>
  <c r="X262" i="1"/>
  <c r="X264" i="1"/>
  <c r="Z265" i="1"/>
  <c r="X276" i="1"/>
  <c r="Z277" i="1"/>
  <c r="X283" i="1"/>
  <c r="X294" i="1"/>
  <c r="X314" i="1"/>
  <c r="X318" i="1"/>
  <c r="X320" i="1"/>
  <c r="X322" i="1"/>
  <c r="X324" i="1"/>
  <c r="X338" i="1"/>
  <c r="X340" i="1"/>
  <c r="X342" i="1"/>
  <c r="Z344" i="1"/>
  <c r="Y344" i="1"/>
  <c r="Z358" i="1"/>
  <c r="Z371" i="1"/>
  <c r="Y371" i="1"/>
  <c r="X385" i="1"/>
  <c r="Y387" i="1"/>
  <c r="Z400" i="1"/>
  <c r="Y400" i="1"/>
  <c r="X408" i="1"/>
  <c r="X410" i="1"/>
  <c r="X412" i="1"/>
  <c r="X414" i="1"/>
  <c r="Z436" i="1"/>
  <c r="Z446" i="1"/>
  <c r="X487" i="1"/>
  <c r="X491" i="1"/>
  <c r="X511" i="1"/>
  <c r="Z516" i="1"/>
  <c r="Y516" i="1"/>
  <c r="X526" i="1"/>
  <c r="X532" i="1"/>
  <c r="X536" i="1"/>
  <c r="Y542" i="1"/>
  <c r="Z542" i="1"/>
  <c r="Z565" i="1"/>
  <c r="Y565" i="1"/>
  <c r="X602" i="1"/>
  <c r="Y611" i="1"/>
  <c r="Z611" i="1"/>
  <c r="Z648" i="1"/>
  <c r="Y648" i="1"/>
  <c r="X658" i="1"/>
  <c r="X685" i="1"/>
  <c r="X740" i="1"/>
  <c r="X764" i="1"/>
  <c r="X856" i="1"/>
  <c r="Y858" i="1"/>
  <c r="Z879" i="1"/>
  <c r="Y879" i="1"/>
  <c r="Z930" i="1"/>
  <c r="Y930" i="1"/>
  <c r="Y932" i="1"/>
  <c r="Z932" i="1"/>
  <c r="X936" i="1"/>
  <c r="Y952" i="1"/>
  <c r="Z952" i="1"/>
  <c r="X954" i="1"/>
  <c r="X998" i="1"/>
  <c r="X1002" i="1"/>
  <c r="Z1009" i="1"/>
  <c r="Y1009" i="1"/>
  <c r="Z1029" i="1"/>
  <c r="Y1029" i="1"/>
  <c r="X1049" i="1"/>
  <c r="X328" i="1"/>
  <c r="X346" i="1"/>
  <c r="X355" i="1"/>
  <c r="X366" i="1"/>
  <c r="X368" i="1"/>
  <c r="X382" i="1"/>
  <c r="X391" i="1"/>
  <c r="X418" i="1"/>
  <c r="X420" i="1"/>
  <c r="X436" i="1"/>
  <c r="X443" i="1"/>
  <c r="X454" i="1"/>
  <c r="X463" i="1"/>
  <c r="X470" i="1"/>
  <c r="X488" i="1"/>
  <c r="X512" i="1"/>
  <c r="X516" i="1"/>
  <c r="Z592" i="1"/>
  <c r="Y592" i="1"/>
  <c r="X607" i="1"/>
  <c r="X621" i="1"/>
  <c r="X625" i="1"/>
  <c r="Y659" i="1"/>
  <c r="Z659" i="1"/>
  <c r="Y678" i="1"/>
  <c r="Z678" i="1"/>
  <c r="X717" i="1"/>
  <c r="X719" i="1"/>
  <c r="Z724" i="1"/>
  <c r="Y724" i="1"/>
  <c r="Z769" i="1"/>
  <c r="Y769" i="1"/>
  <c r="X773" i="1"/>
  <c r="Z776" i="1"/>
  <c r="Y776" i="1"/>
  <c r="X798" i="1"/>
  <c r="Y888" i="1"/>
  <c r="Z888" i="1"/>
  <c r="Z1021" i="1"/>
  <c r="Y1021" i="1"/>
  <c r="Y1034" i="1"/>
  <c r="Z1034" i="1"/>
  <c r="Y1079" i="1"/>
  <c r="Z1079" i="1"/>
  <c r="Y1136" i="1"/>
  <c r="Z1136" i="1"/>
  <c r="X665" i="1"/>
  <c r="X692" i="1"/>
  <c r="Z694" i="1"/>
  <c r="Y694" i="1"/>
  <c r="X748" i="1"/>
  <c r="X801" i="1"/>
  <c r="Z806" i="1"/>
  <c r="Y806" i="1"/>
  <c r="X830" i="1"/>
  <c r="Z873" i="1"/>
  <c r="Y873" i="1"/>
  <c r="X909" i="1"/>
  <c r="Z962" i="1"/>
  <c r="Y962" i="1"/>
  <c r="X990" i="1"/>
  <c r="Z993" i="1"/>
  <c r="Y993" i="1"/>
  <c r="Z997" i="1"/>
  <c r="Y997" i="1"/>
  <c r="Z1017" i="1"/>
  <c r="Y1017" i="1"/>
  <c r="X1019" i="1"/>
  <c r="X1086" i="1"/>
  <c r="Z1109" i="1"/>
  <c r="Y1109" i="1"/>
  <c r="Z1121" i="1"/>
  <c r="Y1121" i="1"/>
  <c r="Z1134" i="1"/>
  <c r="Y1134" i="1"/>
  <c r="Y1143" i="1"/>
  <c r="Z1143" i="1"/>
  <c r="X323" i="1"/>
  <c r="X334" i="1"/>
  <c r="X336" i="1"/>
  <c r="X350" i="1"/>
  <c r="X359" i="1"/>
  <c r="X386" i="1"/>
  <c r="X388" i="1"/>
  <c r="X399" i="1"/>
  <c r="X406" i="1"/>
  <c r="X424" i="1"/>
  <c r="X440" i="1"/>
  <c r="X447" i="1"/>
  <c r="X458" i="1"/>
  <c r="X460" i="1"/>
  <c r="X474" i="1"/>
  <c r="X483" i="1"/>
  <c r="X494" i="1"/>
  <c r="X505" i="1"/>
  <c r="X535" i="1"/>
  <c r="X537" i="1"/>
  <c r="Y539" i="1"/>
  <c r="Z539" i="1"/>
  <c r="X564" i="1"/>
  <c r="X592" i="1"/>
  <c r="Z604" i="1"/>
  <c r="Y604" i="1"/>
  <c r="X639" i="1"/>
  <c r="Z657" i="1"/>
  <c r="Y657" i="1"/>
  <c r="Y675" i="1"/>
  <c r="Z675" i="1"/>
  <c r="Y699" i="1"/>
  <c r="Z699" i="1"/>
  <c r="Z701" i="1"/>
  <c r="Y701" i="1"/>
  <c r="Z716" i="1"/>
  <c r="Y716" i="1"/>
  <c r="X720" i="1"/>
  <c r="Z722" i="1"/>
  <c r="Y722" i="1"/>
  <c r="Z729" i="1"/>
  <c r="Y729" i="1"/>
  <c r="X731" i="1"/>
  <c r="X742" i="1"/>
  <c r="Z804" i="1"/>
  <c r="Y804" i="1"/>
  <c r="X826" i="1"/>
  <c r="X833" i="1"/>
  <c r="Z840" i="1"/>
  <c r="Y840" i="1"/>
  <c r="Y860" i="1"/>
  <c r="Z860" i="1"/>
  <c r="Z866" i="1"/>
  <c r="Y866" i="1"/>
  <c r="Y960" i="1"/>
  <c r="Z960" i="1"/>
  <c r="X993" i="1"/>
  <c r="X1066" i="1"/>
  <c r="Z1069" i="1"/>
  <c r="Y1069" i="1"/>
  <c r="Z1075" i="1"/>
  <c r="Y1075" i="1"/>
  <c r="X1088" i="1"/>
  <c r="Y1114" i="1"/>
  <c r="Z1114" i="1"/>
  <c r="Y1128" i="1"/>
  <c r="Z1128" i="1"/>
  <c r="X741" i="1"/>
  <c r="Z761" i="1"/>
  <c r="Y761" i="1"/>
  <c r="X769" i="1"/>
  <c r="X808" i="1"/>
  <c r="Z813" i="1"/>
  <c r="Y813" i="1"/>
  <c r="X865" i="1"/>
  <c r="X892" i="1"/>
  <c r="X912" i="1"/>
  <c r="X950" i="1"/>
  <c r="X969" i="1"/>
  <c r="Z1013" i="1"/>
  <c r="Y1013" i="1"/>
  <c r="X1045" i="1"/>
  <c r="X1047" i="1"/>
  <c r="Y1052" i="1"/>
  <c r="Z1052" i="1"/>
  <c r="Z1110" i="1"/>
  <c r="Y1110" i="1"/>
  <c r="Z1119" i="1"/>
  <c r="Y1119" i="1"/>
  <c r="X1121" i="1"/>
  <c r="X1158" i="1"/>
  <c r="Z1162" i="1"/>
  <c r="Y1162" i="1"/>
  <c r="Y1171" i="1"/>
  <c r="Z1171" i="1"/>
  <c r="Z1211" i="1"/>
  <c r="Y1211" i="1"/>
  <c r="Y1228" i="1"/>
  <c r="Z1228" i="1"/>
  <c r="X529" i="1"/>
  <c r="X534" i="1"/>
  <c r="X545" i="1"/>
  <c r="X550" i="1"/>
  <c r="X573" i="1"/>
  <c r="X615" i="1"/>
  <c r="X617" i="1"/>
  <c r="X624" i="1"/>
  <c r="X631" i="1"/>
  <c r="X633" i="1"/>
  <c r="X640" i="1"/>
  <c r="X647" i="1"/>
  <c r="X661" i="1"/>
  <c r="X687" i="1"/>
  <c r="X707" i="1"/>
  <c r="X709" i="1"/>
  <c r="X737" i="1"/>
  <c r="X747" i="1"/>
  <c r="X749" i="1"/>
  <c r="X772" i="1"/>
  <c r="X776" i="1"/>
  <c r="X794" i="1"/>
  <c r="X800" i="1"/>
  <c r="X834" i="1"/>
  <c r="X840" i="1"/>
  <c r="X842" i="1"/>
  <c r="Z845" i="1"/>
  <c r="Y845" i="1"/>
  <c r="X859" i="1"/>
  <c r="Z897" i="1"/>
  <c r="Y897" i="1"/>
  <c r="Z917" i="1"/>
  <c r="Y917" i="1"/>
  <c r="Z967" i="1"/>
  <c r="Y967" i="1"/>
  <c r="Z985" i="1"/>
  <c r="Y985" i="1"/>
  <c r="Y1083" i="1"/>
  <c r="Z1083" i="1"/>
  <c r="Z1165" i="1"/>
  <c r="Y1165" i="1"/>
  <c r="X575" i="1"/>
  <c r="X577" i="1"/>
  <c r="X589" i="1"/>
  <c r="X610" i="1"/>
  <c r="X626" i="1"/>
  <c r="X642" i="1"/>
  <c r="X649" i="1"/>
  <c r="X663" i="1"/>
  <c r="X711" i="1"/>
  <c r="X726" i="1"/>
  <c r="X732" i="1"/>
  <c r="X755" i="1"/>
  <c r="X770" i="1"/>
  <c r="X792" i="1"/>
  <c r="X819" i="1"/>
  <c r="Y868" i="1"/>
  <c r="Z868" i="1"/>
  <c r="X880" i="1"/>
  <c r="Z893" i="1"/>
  <c r="Y893" i="1"/>
  <c r="X967" i="1"/>
  <c r="X978" i="1"/>
  <c r="Z1002" i="1"/>
  <c r="Y1002" i="1"/>
  <c r="X1013" i="1"/>
  <c r="X1018" i="1"/>
  <c r="Y1050" i="1"/>
  <c r="Z1050" i="1"/>
  <c r="Z1094" i="1"/>
  <c r="Y1094" i="1"/>
  <c r="X1156" i="1"/>
  <c r="Y1160" i="1"/>
  <c r="Z1160" i="1"/>
  <c r="X1200" i="1"/>
  <c r="Z949" i="1"/>
  <c r="Y949" i="1"/>
  <c r="X985" i="1"/>
  <c r="Z989" i="1"/>
  <c r="Y989" i="1"/>
  <c r="X1021" i="1"/>
  <c r="Z1065" i="1"/>
  <c r="Y1065" i="1"/>
  <c r="Z1153" i="1"/>
  <c r="Y1153" i="1"/>
  <c r="Z1197" i="1"/>
  <c r="Y1197" i="1"/>
  <c r="X777" i="1"/>
  <c r="X805" i="1"/>
  <c r="X815" i="1"/>
  <c r="X825" i="1"/>
  <c r="X835" i="1"/>
  <c r="X837" i="1"/>
  <c r="X847" i="1"/>
  <c r="X872" i="1"/>
  <c r="X876" i="1"/>
  <c r="X895" i="1"/>
  <c r="Y947" i="1"/>
  <c r="Z947" i="1"/>
  <c r="X1028" i="1"/>
  <c r="X1040" i="1"/>
  <c r="X1057" i="1"/>
  <c r="X1059" i="1"/>
  <c r="X1070" i="1"/>
  <c r="Z1101" i="1"/>
  <c r="Y1101" i="1"/>
  <c r="X1124" i="1"/>
  <c r="Z1182" i="1"/>
  <c r="Y1182" i="1"/>
  <c r="X750" i="1"/>
  <c r="X754" i="1"/>
  <c r="X765" i="1"/>
  <c r="X797" i="1"/>
  <c r="X807" i="1"/>
  <c r="X809" i="1"/>
  <c r="X839" i="1"/>
  <c r="X855" i="1"/>
  <c r="X861" i="1"/>
  <c r="X925" i="1"/>
  <c r="X929" i="1"/>
  <c r="X938" i="1"/>
  <c r="X968" i="1"/>
  <c r="X989" i="1"/>
  <c r="X992" i="1"/>
  <c r="X1000" i="1"/>
  <c r="X1022" i="1"/>
  <c r="X1030" i="1"/>
  <c r="X1068" i="1"/>
  <c r="Z1078" i="1"/>
  <c r="Y1078" i="1"/>
  <c r="X1141" i="1"/>
  <c r="X1147" i="1"/>
  <c r="Z1191" i="1"/>
  <c r="Y1191" i="1"/>
  <c r="Y1208" i="1"/>
  <c r="Z1208" i="1"/>
  <c r="Z1210" i="1"/>
  <c r="Y1210" i="1"/>
  <c r="Z1217" i="1"/>
  <c r="Y1217" i="1"/>
  <c r="X1229" i="1"/>
  <c r="X866" i="1"/>
  <c r="X873" i="1"/>
  <c r="X877" i="1"/>
  <c r="X944" i="1"/>
  <c r="X973" i="1"/>
  <c r="X980" i="1"/>
  <c r="X995" i="1"/>
  <c r="X1008" i="1"/>
  <c r="X1012" i="1"/>
  <c r="X1023" i="1"/>
  <c r="X1033" i="1"/>
  <c r="X1042" i="1"/>
  <c r="X1060" i="1"/>
  <c r="X1071" i="1"/>
  <c r="X1080" i="1"/>
  <c r="X1089" i="1"/>
  <c r="X1096" i="1"/>
  <c r="X1126" i="1"/>
  <c r="X1144" i="1"/>
  <c r="X1146" i="1"/>
  <c r="X1186" i="1"/>
  <c r="X1232" i="1"/>
  <c r="X961" i="1"/>
  <c r="X982" i="1"/>
  <c r="X984" i="1"/>
  <c r="X986" i="1"/>
  <c r="X999" i="1"/>
  <c r="X1014" i="1"/>
  <c r="X1016" i="1"/>
  <c r="X1054" i="1"/>
  <c r="X1064" i="1"/>
  <c r="X1077" i="1"/>
  <c r="X1093" i="1"/>
  <c r="X1102" i="1"/>
  <c r="X1122" i="1"/>
  <c r="X1137" i="1"/>
  <c r="X1164" i="1"/>
  <c r="X1166" i="1"/>
  <c r="X1170" i="1"/>
  <c r="X1184" i="1"/>
  <c r="X1188" i="1"/>
  <c r="X1198" i="1"/>
  <c r="X1202" i="1"/>
  <c r="X1218" i="1"/>
  <c r="X1225" i="1"/>
  <c r="X1236" i="1"/>
  <c r="Y1238" i="1"/>
  <c r="X1233" i="1"/>
  <c r="Z602" i="1"/>
  <c r="Y602" i="1"/>
  <c r="Z666" i="1"/>
  <c r="Y666" i="1"/>
  <c r="Z690" i="1"/>
  <c r="Y690" i="1"/>
  <c r="Z830" i="1"/>
  <c r="Y830" i="1"/>
  <c r="Y551" i="1"/>
  <c r="Z551" i="1"/>
  <c r="Y623" i="1"/>
  <c r="Z623" i="1"/>
  <c r="Y8" i="1"/>
  <c r="Z558" i="1"/>
  <c r="Y558" i="1"/>
  <c r="Y599" i="1"/>
  <c r="Z599" i="1"/>
  <c r="Z618" i="1"/>
  <c r="Y618" i="1"/>
  <c r="Y663" i="1"/>
  <c r="Z663" i="1"/>
  <c r="Z815" i="1"/>
  <c r="Y815" i="1"/>
  <c r="Y884" i="1"/>
  <c r="Z884" i="1"/>
  <c r="Z953" i="1"/>
  <c r="Y953" i="1"/>
  <c r="Z752" i="1"/>
  <c r="Y752" i="1"/>
  <c r="Z759" i="1"/>
  <c r="Y759" i="1"/>
  <c r="Z735" i="1"/>
  <c r="Y735" i="1"/>
  <c r="Y4" i="1"/>
  <c r="Z33" i="1"/>
  <c r="Z22" i="1"/>
  <c r="Z40" i="1"/>
  <c r="Z202" i="1"/>
  <c r="Z234" i="1"/>
  <c r="Z254" i="1"/>
  <c r="Z262" i="1"/>
  <c r="Z270" i="1"/>
  <c r="Z278" i="1"/>
  <c r="Z298" i="1"/>
  <c r="Z330" i="1"/>
  <c r="Z362" i="1"/>
  <c r="Z394" i="1"/>
  <c r="Z426" i="1"/>
  <c r="Z458" i="1"/>
  <c r="Z490" i="1"/>
  <c r="Y494" i="1"/>
  <c r="Z494" i="1"/>
  <c r="Y497" i="1"/>
  <c r="Z570" i="1"/>
  <c r="Y570" i="1"/>
  <c r="Z594" i="1"/>
  <c r="Y594" i="1"/>
  <c r="Y639" i="1"/>
  <c r="Z639" i="1"/>
  <c r="Z658" i="1"/>
  <c r="Y658" i="1"/>
  <c r="Z726" i="1"/>
  <c r="Y726" i="1"/>
  <c r="Z792" i="1"/>
  <c r="Y792" i="1"/>
  <c r="Z875" i="1"/>
  <c r="Y875" i="1"/>
  <c r="Z877" i="1"/>
  <c r="Y877" i="1"/>
  <c r="Z566" i="1"/>
  <c r="Y566" i="1"/>
  <c r="Y583" i="1"/>
  <c r="Z583" i="1"/>
  <c r="Y647" i="1"/>
  <c r="Z647" i="1"/>
  <c r="Z642" i="1"/>
  <c r="Y642" i="1"/>
  <c r="Z822" i="1"/>
  <c r="Y822" i="1"/>
  <c r="Y3" i="1"/>
  <c r="Y7" i="1"/>
  <c r="Y14" i="1"/>
  <c r="Z25" i="1"/>
  <c r="Y32" i="1"/>
  <c r="Y46" i="1"/>
  <c r="Z57" i="1"/>
  <c r="Z70" i="1"/>
  <c r="Z86" i="1"/>
  <c r="Z102" i="1"/>
  <c r="Z118" i="1"/>
  <c r="Z134" i="1"/>
  <c r="Z150" i="1"/>
  <c r="Z166" i="1"/>
  <c r="Z190" i="1"/>
  <c r="Z222" i="1"/>
  <c r="Z310" i="1"/>
  <c r="Z342" i="1"/>
  <c r="Z374" i="1"/>
  <c r="Z406" i="1"/>
  <c r="Z438" i="1"/>
  <c r="Z470" i="1"/>
  <c r="X496" i="1"/>
  <c r="Y511" i="1"/>
  <c r="Z530" i="1"/>
  <c r="X548" i="1"/>
  <c r="Z563" i="1"/>
  <c r="Y615" i="1"/>
  <c r="Z615" i="1"/>
  <c r="Z634" i="1"/>
  <c r="Y634" i="1"/>
  <c r="Y698" i="1"/>
  <c r="Z698" i="1"/>
  <c r="Z788" i="1"/>
  <c r="Y788" i="1"/>
  <c r="Z578" i="1"/>
  <c r="Y578" i="1"/>
  <c r="Y10" i="1"/>
  <c r="Z21" i="1"/>
  <c r="Y28" i="1"/>
  <c r="Y42" i="1"/>
  <c r="Z53" i="1"/>
  <c r="Y60" i="1"/>
  <c r="Z73" i="1"/>
  <c r="Z89" i="1"/>
  <c r="Z105" i="1"/>
  <c r="Z121" i="1"/>
  <c r="Z137" i="1"/>
  <c r="Z153" i="1"/>
  <c r="Z169" i="1"/>
  <c r="Z178" i="1"/>
  <c r="Z210" i="1"/>
  <c r="Z242" i="1"/>
  <c r="Z290" i="1"/>
  <c r="Z322" i="1"/>
  <c r="Z354" i="1"/>
  <c r="Z386" i="1"/>
  <c r="Z418" i="1"/>
  <c r="Z450" i="1"/>
  <c r="Z482" i="1"/>
  <c r="X498" i="1"/>
  <c r="X503" i="1"/>
  <c r="Z506" i="1"/>
  <c r="Z515" i="1"/>
  <c r="X524" i="1"/>
  <c r="Z562" i="1"/>
  <c r="Y562" i="1"/>
  <c r="Z575" i="1"/>
  <c r="Y591" i="1"/>
  <c r="Z591" i="1"/>
  <c r="Z610" i="1"/>
  <c r="Y610" i="1"/>
  <c r="Y655" i="1"/>
  <c r="Z655" i="1"/>
  <c r="Z674" i="1"/>
  <c r="Y674" i="1"/>
  <c r="Y695" i="1"/>
  <c r="Z695" i="1"/>
  <c r="Z723" i="1"/>
  <c r="Y723" i="1"/>
  <c r="Z778" i="1"/>
  <c r="Y778" i="1"/>
  <c r="Z859" i="1"/>
  <c r="Y859" i="1"/>
  <c r="Z49" i="1"/>
  <c r="Z66" i="1"/>
  <c r="Z82" i="1"/>
  <c r="Z114" i="1"/>
  <c r="Z130" i="1"/>
  <c r="Z146" i="1"/>
  <c r="Z162" i="1"/>
  <c r="Z181" i="1"/>
  <c r="Z198" i="1"/>
  <c r="Z230" i="1"/>
  <c r="Z302" i="1"/>
  <c r="Z334" i="1"/>
  <c r="Z366" i="1"/>
  <c r="Z398" i="1"/>
  <c r="Y513" i="1"/>
  <c r="Z522" i="1"/>
  <c r="Z546" i="1"/>
  <c r="Z555" i="1"/>
  <c r="Z574" i="1"/>
  <c r="Y574" i="1"/>
  <c r="Z586" i="1"/>
  <c r="Y586" i="1"/>
  <c r="Y631" i="1"/>
  <c r="Z631" i="1"/>
  <c r="Z650" i="1"/>
  <c r="Y650" i="1"/>
  <c r="X708" i="1"/>
  <c r="Z712" i="1"/>
  <c r="Y712" i="1"/>
  <c r="Z844" i="1"/>
  <c r="Y844" i="1"/>
  <c r="Y703" i="1"/>
  <c r="Z703" i="1"/>
  <c r="Y56" i="1"/>
  <c r="Z98" i="1"/>
  <c r="Z13" i="1"/>
  <c r="Z45" i="1"/>
  <c r="Z69" i="1"/>
  <c r="Z85" i="1"/>
  <c r="Z101" i="1"/>
  <c r="Z117" i="1"/>
  <c r="Z133" i="1"/>
  <c r="Z149" i="1"/>
  <c r="Z165" i="1"/>
  <c r="Z282" i="1"/>
  <c r="Z314" i="1"/>
  <c r="Y535" i="1"/>
  <c r="Z535" i="1"/>
  <c r="X540" i="1"/>
  <c r="Z554" i="1"/>
  <c r="Y554" i="1"/>
  <c r="Y607" i="1"/>
  <c r="Z607" i="1"/>
  <c r="Z626" i="1"/>
  <c r="Y626" i="1"/>
  <c r="Y671" i="1"/>
  <c r="Z671" i="1"/>
  <c r="Y692" i="1"/>
  <c r="Z692" i="1"/>
  <c r="X832" i="1"/>
  <c r="Z684" i="1"/>
  <c r="Y684" i="1"/>
  <c r="Z732" i="1"/>
  <c r="Y732" i="1"/>
  <c r="Z750" i="1"/>
  <c r="Y750" i="1"/>
  <c r="Z763" i="1"/>
  <c r="Y763" i="1"/>
  <c r="Z771" i="1"/>
  <c r="Y771" i="1"/>
  <c r="Z800" i="1"/>
  <c r="Y800" i="1"/>
  <c r="Z842" i="1"/>
  <c r="Y842" i="1"/>
  <c r="Z881" i="1"/>
  <c r="Y881" i="1"/>
  <c r="Z939" i="1"/>
  <c r="Y939" i="1"/>
  <c r="Z941" i="1"/>
  <c r="Y941" i="1"/>
  <c r="Z1073" i="1"/>
  <c r="Y1073" i="1"/>
  <c r="Z720" i="1"/>
  <c r="Y720" i="1"/>
  <c r="Z727" i="1"/>
  <c r="Y727" i="1"/>
  <c r="Z790" i="1"/>
  <c r="Y790" i="1"/>
  <c r="Z812" i="1"/>
  <c r="Y812" i="1"/>
  <c r="Z823" i="1"/>
  <c r="Y823" i="1"/>
  <c r="Y856" i="1"/>
  <c r="Z856" i="1"/>
  <c r="Z1071" i="1"/>
  <c r="Y1071" i="1"/>
  <c r="Y1144" i="1"/>
  <c r="Z1144" i="1"/>
  <c r="X673" i="1"/>
  <c r="Z702" i="1"/>
  <c r="Y702" i="1"/>
  <c r="Z718" i="1"/>
  <c r="Y718" i="1"/>
  <c r="Z747" i="1"/>
  <c r="Y747" i="1"/>
  <c r="Z760" i="1"/>
  <c r="Y760" i="1"/>
  <c r="X779" i="1"/>
  <c r="Z783" i="1"/>
  <c r="Y783" i="1"/>
  <c r="Z798" i="1"/>
  <c r="Y798" i="1"/>
  <c r="X823" i="1"/>
  <c r="Z827" i="1"/>
  <c r="Y827" i="1"/>
  <c r="Z835" i="1"/>
  <c r="Y835" i="1"/>
  <c r="Z582" i="1"/>
  <c r="Y582" i="1"/>
  <c r="Z590" i="1"/>
  <c r="Y590" i="1"/>
  <c r="Z598" i="1"/>
  <c r="Y598" i="1"/>
  <c r="Z606" i="1"/>
  <c r="Y606" i="1"/>
  <c r="Z614" i="1"/>
  <c r="Y614" i="1"/>
  <c r="Z622" i="1"/>
  <c r="Y622" i="1"/>
  <c r="Z630" i="1"/>
  <c r="Y630" i="1"/>
  <c r="Z638" i="1"/>
  <c r="Y638" i="1"/>
  <c r="Z646" i="1"/>
  <c r="Y646" i="1"/>
  <c r="Z654" i="1"/>
  <c r="Y654" i="1"/>
  <c r="Z662" i="1"/>
  <c r="Y662" i="1"/>
  <c r="Z670" i="1"/>
  <c r="Y670" i="1"/>
  <c r="Y730" i="1"/>
  <c r="Z768" i="1"/>
  <c r="Y768" i="1"/>
  <c r="Y786" i="1"/>
  <c r="Z810" i="1"/>
  <c r="Y810" i="1"/>
  <c r="Z854" i="1"/>
  <c r="Y854" i="1"/>
  <c r="Z907" i="1"/>
  <c r="Y907" i="1"/>
  <c r="Z909" i="1"/>
  <c r="Y909" i="1"/>
  <c r="Y916" i="1"/>
  <c r="Z916" i="1"/>
  <c r="Y285" i="1"/>
  <c r="Y289" i="1"/>
  <c r="Y293" i="1"/>
  <c r="Y297" i="1"/>
  <c r="Y301" i="1"/>
  <c r="Y305" i="1"/>
  <c r="Y309" i="1"/>
  <c r="Y313" i="1"/>
  <c r="Y317" i="1"/>
  <c r="Y321" i="1"/>
  <c r="Y325" i="1"/>
  <c r="Y329" i="1"/>
  <c r="Y333" i="1"/>
  <c r="Y337" i="1"/>
  <c r="Y341" i="1"/>
  <c r="Y345" i="1"/>
  <c r="Y349" i="1"/>
  <c r="Y353" i="1"/>
  <c r="Y357" i="1"/>
  <c r="Y361" i="1"/>
  <c r="Y365" i="1"/>
  <c r="Y369" i="1"/>
  <c r="Y373" i="1"/>
  <c r="Y377" i="1"/>
  <c r="Y381" i="1"/>
  <c r="Y385" i="1"/>
  <c r="Y389" i="1"/>
  <c r="Y393" i="1"/>
  <c r="Y397" i="1"/>
  <c r="Y401" i="1"/>
  <c r="Y405" i="1"/>
  <c r="Y409" i="1"/>
  <c r="Y413" i="1"/>
  <c r="Y417" i="1"/>
  <c r="Y421" i="1"/>
  <c r="Y425" i="1"/>
  <c r="Y429" i="1"/>
  <c r="Y433" i="1"/>
  <c r="Y437" i="1"/>
  <c r="Y441" i="1"/>
  <c r="Y445" i="1"/>
  <c r="Y449" i="1"/>
  <c r="Y453" i="1"/>
  <c r="Y457" i="1"/>
  <c r="Y461" i="1"/>
  <c r="Y465" i="1"/>
  <c r="Y469" i="1"/>
  <c r="Y473" i="1"/>
  <c r="Y477" i="1"/>
  <c r="Y481" i="1"/>
  <c r="Y485" i="1"/>
  <c r="Y489" i="1"/>
  <c r="Y493" i="1"/>
  <c r="Y507" i="1"/>
  <c r="Z518" i="1"/>
  <c r="Z531" i="1"/>
  <c r="Z547" i="1"/>
  <c r="Y691" i="1"/>
  <c r="Z691" i="1"/>
  <c r="X699" i="1"/>
  <c r="Z715" i="1"/>
  <c r="Y715" i="1"/>
  <c r="Z738" i="1"/>
  <c r="Y738" i="1"/>
  <c r="Z744" i="1"/>
  <c r="Y744" i="1"/>
  <c r="Z758" i="1"/>
  <c r="Y758" i="1"/>
  <c r="X768" i="1"/>
  <c r="Z780" i="1"/>
  <c r="Y780" i="1"/>
  <c r="Z791" i="1"/>
  <c r="Y791" i="1"/>
  <c r="Z820" i="1"/>
  <c r="Y820" i="1"/>
  <c r="Z824" i="1"/>
  <c r="Y824" i="1"/>
  <c r="Z847" i="1"/>
  <c r="Y847" i="1"/>
  <c r="X862" i="1"/>
  <c r="X965" i="1"/>
  <c r="Z987" i="1"/>
  <c r="Y987" i="1"/>
  <c r="X1007" i="1"/>
  <c r="Z1032" i="1"/>
  <c r="Y1032" i="1"/>
  <c r="Z514" i="1"/>
  <c r="Z534" i="1"/>
  <c r="Z550" i="1"/>
  <c r="X680" i="1"/>
  <c r="X688" i="1"/>
  <c r="X691" i="1"/>
  <c r="X715" i="1"/>
  <c r="Z755" i="1"/>
  <c r="Y755" i="1"/>
  <c r="Z766" i="1"/>
  <c r="Y766" i="1"/>
  <c r="X791" i="1"/>
  <c r="Z795" i="1"/>
  <c r="Y795" i="1"/>
  <c r="Z803" i="1"/>
  <c r="Y803" i="1"/>
  <c r="Z832" i="1"/>
  <c r="Y832" i="1"/>
  <c r="X893" i="1"/>
  <c r="Z895" i="1"/>
  <c r="Y895" i="1"/>
  <c r="X960" i="1"/>
  <c r="X962" i="1"/>
  <c r="Z1004" i="1"/>
  <c r="Y1004" i="1"/>
  <c r="Z711" i="1"/>
  <c r="Y711" i="1"/>
  <c r="Z743" i="1"/>
  <c r="Y743" i="1"/>
  <c r="X763" i="1"/>
  <c r="Z775" i="1"/>
  <c r="Y775" i="1"/>
  <c r="X795" i="1"/>
  <c r="Z807" i="1"/>
  <c r="Y807" i="1"/>
  <c r="X827" i="1"/>
  <c r="Z839" i="1"/>
  <c r="Y839" i="1"/>
  <c r="Y852" i="1"/>
  <c r="Z869" i="1"/>
  <c r="Y869" i="1"/>
  <c r="Y872" i="1"/>
  <c r="Z872" i="1"/>
  <c r="Z913" i="1"/>
  <c r="Y913" i="1"/>
  <c r="X916" i="1"/>
  <c r="Z927" i="1"/>
  <c r="Y927" i="1"/>
  <c r="Y948" i="1"/>
  <c r="Z948" i="1"/>
  <c r="Z971" i="1"/>
  <c r="Y971" i="1"/>
  <c r="Z973" i="1"/>
  <c r="Y973" i="1"/>
  <c r="Y980" i="1"/>
  <c r="Z980" i="1"/>
  <c r="Z1030" i="1"/>
  <c r="Y1030" i="1"/>
  <c r="Z1051" i="1"/>
  <c r="Y1051" i="1"/>
  <c r="Z1062" i="1"/>
  <c r="Y1062" i="1"/>
  <c r="Z1135" i="1"/>
  <c r="Y1135" i="1"/>
  <c r="Z1137" i="1"/>
  <c r="Y1137" i="1"/>
  <c r="Y1164" i="1"/>
  <c r="Z1164" i="1"/>
  <c r="Y1188" i="1"/>
  <c r="Z1188" i="1"/>
  <c r="Z731" i="1"/>
  <c r="Y731" i="1"/>
  <c r="Z787" i="1"/>
  <c r="Y787" i="1"/>
  <c r="Z819" i="1"/>
  <c r="Y819" i="1"/>
  <c r="Z851" i="1"/>
  <c r="Y851" i="1"/>
  <c r="Y904" i="1"/>
  <c r="Z904" i="1"/>
  <c r="Z945" i="1"/>
  <c r="Y945" i="1"/>
  <c r="Z959" i="1"/>
  <c r="Y959" i="1"/>
  <c r="Z984" i="1"/>
  <c r="Y984" i="1"/>
  <c r="Z999" i="1"/>
  <c r="Y999" i="1"/>
  <c r="Z1141" i="1"/>
  <c r="Y1141" i="1"/>
  <c r="Z1161" i="1"/>
  <c r="Y1161" i="1"/>
  <c r="Y1196" i="1"/>
  <c r="Z1196" i="1"/>
  <c r="Y1207" i="1"/>
  <c r="Z1207" i="1"/>
  <c r="Z719" i="1"/>
  <c r="Y719" i="1"/>
  <c r="Z751" i="1"/>
  <c r="Y751" i="1"/>
  <c r="Z767" i="1"/>
  <c r="Y767" i="1"/>
  <c r="Z799" i="1"/>
  <c r="Y799" i="1"/>
  <c r="Z831" i="1"/>
  <c r="Y831" i="1"/>
  <c r="Y892" i="1"/>
  <c r="Z892" i="1"/>
  <c r="Z901" i="1"/>
  <c r="Y901" i="1"/>
  <c r="Y936" i="1"/>
  <c r="Z936" i="1"/>
  <c r="Z992" i="1"/>
  <c r="Y992" i="1"/>
  <c r="Z707" i="1"/>
  <c r="Y707" i="1"/>
  <c r="Z739" i="1"/>
  <c r="Y739" i="1"/>
  <c r="X767" i="1"/>
  <c r="Z779" i="1"/>
  <c r="Y779" i="1"/>
  <c r="X799" i="1"/>
  <c r="Z811" i="1"/>
  <c r="Y811" i="1"/>
  <c r="X831" i="1"/>
  <c r="Z843" i="1"/>
  <c r="Y843" i="1"/>
  <c r="Z887" i="1"/>
  <c r="Y887" i="1"/>
  <c r="Z889" i="1"/>
  <c r="Y889" i="1"/>
  <c r="X901" i="1"/>
  <c r="X908" i="1"/>
  <c r="Y924" i="1"/>
  <c r="Z924" i="1"/>
  <c r="Z933" i="1"/>
  <c r="Y933" i="1"/>
  <c r="Y968" i="1"/>
  <c r="Z968" i="1"/>
  <c r="Z990" i="1"/>
  <c r="Y990" i="1"/>
  <c r="Y1018" i="1"/>
  <c r="Z1018" i="1"/>
  <c r="Y1044" i="1"/>
  <c r="Z1044" i="1"/>
  <c r="Z1048" i="1"/>
  <c r="Y1048" i="1"/>
  <c r="Z1125" i="1"/>
  <c r="Y1125" i="1"/>
  <c r="X843" i="1"/>
  <c r="Z855" i="1"/>
  <c r="Y855" i="1"/>
  <c r="X896" i="1"/>
  <c r="X898" i="1"/>
  <c r="Z919" i="1"/>
  <c r="Y919" i="1"/>
  <c r="Z921" i="1"/>
  <c r="Y921" i="1"/>
  <c r="X933" i="1"/>
  <c r="X940" i="1"/>
  <c r="Y956" i="1"/>
  <c r="Z956" i="1"/>
  <c r="Z965" i="1"/>
  <c r="Y965" i="1"/>
  <c r="Z979" i="1"/>
  <c r="Y979" i="1"/>
  <c r="Z1042" i="1"/>
  <c r="Y1042" i="1"/>
  <c r="Z1099" i="1"/>
  <c r="Y1099" i="1"/>
  <c r="Z1103" i="1"/>
  <c r="Y1103" i="1"/>
  <c r="Z1105" i="1"/>
  <c r="Y1105" i="1"/>
  <c r="Y951" i="1"/>
  <c r="Y977" i="1"/>
  <c r="Y1016" i="1"/>
  <c r="Z1027" i="1"/>
  <c r="Y1027" i="1"/>
  <c r="Z1039" i="1"/>
  <c r="Y1039" i="1"/>
  <c r="Z1059" i="1"/>
  <c r="Y1059" i="1"/>
  <c r="Y1068" i="1"/>
  <c r="Z1068" i="1"/>
  <c r="Z1091" i="1"/>
  <c r="Y1091" i="1"/>
  <c r="Z1093" i="1"/>
  <c r="Y1093" i="1"/>
  <c r="Z1123" i="1"/>
  <c r="Y1123" i="1"/>
  <c r="Z1181" i="1"/>
  <c r="Y1181" i="1"/>
  <c r="Y1232" i="1"/>
  <c r="Z1232" i="1"/>
  <c r="Z1015" i="1"/>
  <c r="Y1015" i="1"/>
  <c r="Z1036" i="1"/>
  <c r="Y1036" i="1"/>
  <c r="Z1081" i="1"/>
  <c r="Y1081" i="1"/>
  <c r="Y1152" i="1"/>
  <c r="Z1152" i="1"/>
  <c r="Y1156" i="1"/>
  <c r="Z1156" i="1"/>
  <c r="X868" i="1"/>
  <c r="X900" i="1"/>
  <c r="X932" i="1"/>
  <c r="X964" i="1"/>
  <c r="Z1024" i="1"/>
  <c r="Y1024" i="1"/>
  <c r="Z1031" i="1"/>
  <c r="Y1031" i="1"/>
  <c r="Z1056" i="1"/>
  <c r="Y1056" i="1"/>
  <c r="Z1063" i="1"/>
  <c r="Y1063" i="1"/>
  <c r="Y1111" i="1"/>
  <c r="Z1111" i="1"/>
  <c r="Z1147" i="1"/>
  <c r="Y1147" i="1"/>
  <c r="Z1149" i="1"/>
  <c r="Y1149" i="1"/>
  <c r="Y1176" i="1"/>
  <c r="Z1176" i="1"/>
  <c r="Y1220" i="1"/>
  <c r="Z1220" i="1"/>
  <c r="Z1229" i="1"/>
  <c r="Y1229" i="1"/>
  <c r="Z880" i="1"/>
  <c r="X888" i="1"/>
  <c r="Z912" i="1"/>
  <c r="X920" i="1"/>
  <c r="Z944" i="1"/>
  <c r="X952" i="1"/>
  <c r="Z976" i="1"/>
  <c r="Z998" i="1"/>
  <c r="Y998" i="1"/>
  <c r="Z1010" i="1"/>
  <c r="Y1010" i="1"/>
  <c r="Z1019" i="1"/>
  <c r="Y1019" i="1"/>
  <c r="X1024" i="1"/>
  <c r="Z1054" i="1"/>
  <c r="Y1054" i="1"/>
  <c r="Y1066" i="1"/>
  <c r="Y1120" i="1"/>
  <c r="Z1120" i="1"/>
  <c r="Z1193" i="1"/>
  <c r="Y1193" i="1"/>
  <c r="Z1195" i="1"/>
  <c r="Y1195" i="1"/>
  <c r="X972" i="1"/>
  <c r="Z983" i="1"/>
  <c r="Y983" i="1"/>
  <c r="Z995" i="1"/>
  <c r="Y995" i="1"/>
  <c r="Z1007" i="1"/>
  <c r="Y1007" i="1"/>
  <c r="Y1076" i="1"/>
  <c r="Z1076" i="1"/>
  <c r="Y1108" i="1"/>
  <c r="Z1108" i="1"/>
  <c r="Z1115" i="1"/>
  <c r="Y1115" i="1"/>
  <c r="Y1140" i="1"/>
  <c r="Z1140" i="1"/>
  <c r="Z1173" i="1"/>
  <c r="Y1173" i="1"/>
  <c r="X1193" i="1"/>
  <c r="X1208" i="1"/>
  <c r="X1217" i="1"/>
  <c r="Y1224" i="1"/>
  <c r="Z1224" i="1"/>
  <c r="Z1233" i="1"/>
  <c r="Y1233" i="1"/>
  <c r="Z1047" i="1"/>
  <c r="Y1047" i="1"/>
  <c r="Z1117" i="1"/>
  <c r="Y1117" i="1"/>
  <c r="Z1129" i="1"/>
  <c r="Y1129" i="1"/>
  <c r="Y1132" i="1"/>
  <c r="Z1132" i="1"/>
  <c r="Z1187" i="1"/>
  <c r="Y1187" i="1"/>
  <c r="Y1204" i="1"/>
  <c r="Z1204" i="1"/>
  <c r="Z1221" i="1"/>
  <c r="Y1221" i="1"/>
  <c r="Z1003" i="1"/>
  <c r="Y1003" i="1"/>
  <c r="Z1035" i="1"/>
  <c r="Y1035" i="1"/>
  <c r="Z1067" i="1"/>
  <c r="Y1067" i="1"/>
  <c r="Z1085" i="1"/>
  <c r="Y1085" i="1"/>
  <c r="Y1088" i="1"/>
  <c r="Z1088" i="1"/>
  <c r="Z1199" i="1"/>
  <c r="Y1199" i="1"/>
  <c r="Z1201" i="1"/>
  <c r="Y1201" i="1"/>
  <c r="Y1216" i="1"/>
  <c r="Z1216" i="1"/>
  <c r="Z1236" i="1"/>
  <c r="Y1240" i="1"/>
  <c r="Z1240" i="1"/>
  <c r="Z991" i="1"/>
  <c r="Y991" i="1"/>
  <c r="Z1023" i="1"/>
  <c r="Y1023" i="1"/>
  <c r="Z1055" i="1"/>
  <c r="Y1055" i="1"/>
  <c r="Z1097" i="1"/>
  <c r="Y1097" i="1"/>
  <c r="Y1100" i="1"/>
  <c r="Z1100" i="1"/>
  <c r="Z1155" i="1"/>
  <c r="Y1155" i="1"/>
  <c r="Y1172" i="1"/>
  <c r="Z1172" i="1"/>
  <c r="Z1213" i="1"/>
  <c r="Y1213" i="1"/>
  <c r="Z1225" i="1"/>
  <c r="Y1225" i="1"/>
  <c r="Z1237" i="1"/>
  <c r="Y1237" i="1"/>
  <c r="Z1011" i="1"/>
  <c r="Y1011" i="1"/>
  <c r="Z1043" i="1"/>
  <c r="Y1043" i="1"/>
  <c r="X1072" i="1"/>
  <c r="Z1080" i="1"/>
  <c r="X1092" i="1"/>
  <c r="X1100" i="1"/>
  <c r="X1114" i="1"/>
  <c r="Z1124" i="1"/>
  <c r="Z1167" i="1"/>
  <c r="Y1167" i="1"/>
  <c r="Z1169" i="1"/>
  <c r="Y1169" i="1"/>
  <c r="Y1184" i="1"/>
  <c r="Z1184" i="1"/>
  <c r="Y1189" i="1"/>
  <c r="X1213" i="1"/>
  <c r="X1084" i="1"/>
  <c r="X1116" i="1"/>
  <c r="X1148" i="1"/>
  <c r="X1180" i="1"/>
  <c r="X1212" i="1"/>
</calcChain>
</file>

<file path=xl/sharedStrings.xml><?xml version="1.0" encoding="utf-8"?>
<sst xmlns="http://schemas.openxmlformats.org/spreadsheetml/2006/main" count="17067" uniqueCount="3517">
  <si>
    <t>national_number</t>
  </si>
  <si>
    <t>full_name_ar</t>
  </si>
  <si>
    <t>age</t>
  </si>
  <si>
    <t>gender</t>
  </si>
  <si>
    <t>IsDiabetic</t>
  </si>
  <si>
    <t>IsHypertensive</t>
  </si>
  <si>
    <t>IsDyslipidemic</t>
  </si>
  <si>
    <t>chronic_risk_score</t>
  </si>
  <si>
    <t>Burden_Category</t>
  </si>
  <si>
    <t>predicted_medications</t>
  </si>
  <si>
    <t>prescription_with_dosage</t>
  </si>
  <si>
    <t>medication_categories</t>
  </si>
  <si>
    <t>med_prediction_confidence</t>
  </si>
  <si>
    <t>clinical_validation</t>
  </si>
  <si>
    <t>total_chronic_meds</t>
  </si>
  <si>
    <t>Preferred_Center</t>
  </si>
  <si>
    <t>Preferred_Doctor</t>
  </si>
  <si>
    <t>Team</t>
  </si>
  <si>
    <t>predicted_visit_date</t>
  </si>
  <si>
    <t>cycle_type</t>
  </si>
  <si>
    <t>LIVE_days_until_visit</t>
  </si>
  <si>
    <t>visit_window_start</t>
  </si>
  <si>
    <t>visit_window_end</t>
  </si>
  <si>
    <t>visit_window_text</t>
  </si>
  <si>
    <t>urgency_status</t>
  </si>
  <si>
    <t>action_required</t>
  </si>
  <si>
    <t>رشيده ربيع عواض السهلي</t>
  </si>
  <si>
    <t>Female</t>
  </si>
  <si>
    <t>No</t>
  </si>
  <si>
    <t>Yes</t>
  </si>
  <si>
    <t>High Burden</t>
  </si>
  <si>
    <t>colecalciferol, vitamins (A, B, C, D</t>
  </si>
  <si>
    <t>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vitamins (A, B1, B2, B3, C, D3) tablet, vitamins (A, B1, B2, B3, C, D3) tablet, vitamins (A, B1, B2, B3, C, D3) tablet, vitamins (A, B1, B2, B3, C, D3) tablet, vitamins (A, B1, B2, B3, C, D3) tablet, vitamins (A, B1, B2, B3, C, D3) tablet,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vitamins (A, B1, B2, B3, C, D3) tablet, colecalciferol 5000 international units Capsules [oral], vitamins (A, B1, B2, B3, C, D3) tablet, colecalciferol 5000 international units Capsules [oral], vitamins (A, B1, B2, B3, C, D3) tablet, colecalciferol 5000 international units Capsules [oral], vitamins (A, B1, B2, B3, C, D3) tablet, colecalciferol 5000 international units Capsules [oral], vitamins (A, B1, B2, B3, C, D3) tablet, colecalciferol 5000 international units Capsules [oral], vitamins (A, B1, B2, B3, C, D3) tablet,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vitamins (A, B1, B2, B3, C, D3) tablet, vitamins (A, B1, B2, B3, C, D3) tablet, vitamins (A, B1, B2, B3, C, D3) tablet, vitamins (A, B1, B2, B3, C, D3) tablet, vitamins (A, B1, B2, B3, C, D3) tablet, vitamins (A, B1, B2, B3, C, D3) tablet,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vitamins (A, B1, B2, B3, C, D3) tablet, vitamins (A, B1, B2, B3, C, D3) tablet, vitamins (A, B1, B2, B3, C, D3) tablet, vitamins (A, B1, B2, B3, C, D3) tablet, vitamins (A, B1, B2, B3, C, D3) tablet, vitamins (A, B1, B2, B3, C, D3) tablet,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vitamins (A, B1, B2, B3, C, D3) tablet, vitamins (A, B1, B2, B3, C, D3) tablet, vitamins (A, B1, B2, B3, C, D3) tablet, vitamins (A, B1, B2, B3, C, D3) tablet, vitamins (A, B1, B2, B3, C, D3) tablet, vitamins (A, B1, B2, B3, C, D3) tablet</t>
  </si>
  <si>
    <t>Vitamins/Supplements</t>
  </si>
  <si>
    <t>Low</t>
  </si>
  <si>
    <t>HTN meds needed; DLP meds needed</t>
  </si>
  <si>
    <t>مركز صحي خالد النموذجي</t>
  </si>
  <si>
    <t>ثامر ابن عمر ابن محمد القرشي</t>
  </si>
  <si>
    <t>Monthly</t>
  </si>
  <si>
    <t>نبيله بنت محمد بن محمد كاوا</t>
  </si>
  <si>
    <t>acetylsalicylic acid</t>
  </si>
  <si>
    <t>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t>
  </si>
  <si>
    <t>Antiplatelet</t>
  </si>
  <si>
    <t>Medium</t>
  </si>
  <si>
    <t>DM meds needed; HTN meds needed; DLP meds needed</t>
  </si>
  <si>
    <t>مني عبدالله حمزه الحيدري</t>
  </si>
  <si>
    <t>عمر ابوبكر احمد باخشب</t>
  </si>
  <si>
    <t>Male</t>
  </si>
  <si>
    <t>SITagliptin, empagliflozin, metFORMIN hydrochloride, amLODIPine, rosuvastatin</t>
  </si>
  <si>
    <t>SITagliptin 100 mg tablet, SITagliptin 100 mg tablet, SITagliptin 100 mg tablet, SITagliptin 100 mg tablet, SITagliptin 100 mg tablet, SITagliptin 100 mg tablet, SITagliptin 100 mg tablet, empagliflozin 10 mg tablet, empagliflozin 10 mg tablet, empagliflozin 10 mg tablet, empagliflozin 10 mg tablet, empagliflozin 10 mg tablet, empagliflozin 10 mg tablet, empagliflozin 10 mg tablet, metFORMIN hydrochloride 500 mg tablet, amLODIPine 5 mg tablet, rosuvastatin 20 mg tablet, metFORMIN hydrochloride 500 mg tablet, amLODIPine 5 mg tablet, rosuvastatin 20 mg tablet, metFORMIN hydrochloride 500 mg tablet, amLODIPine 5 mg tablet, rosuvastatin 20 mg tablet, metFORMIN hydrochloride 500 mg tablet, amLODIPine 5 mg tablet, rosuvastatin 20 mg tablet, metFORMIN hydrochloride 500 mg tablet, amLODIPine 5 mg tablet, rosuvastatin 20 mg tablet, metFORMIN hydrochloride 500 mg tablet, amLODIPine 5 mg tablet, rosuvastatin 20 mg tablet, metFORMIN hydrochloride 500 mg tablet, amLODIPine 5 mg tablet, rosuvastatin 20 mg tablet, rosuvastatin 20 mg tablet, rosuvastatin 20 mg tablet, rosuvastatin 20 mg tablet, rosuvastatin 20 mg tablet, rosuvastatin 20 mg tablet, rosuvastatin 20 mg tablet, rosuvastatin 20 mg tablet, metFORMIN hydrochloride 500 mg tablet, empagliflozin 10 mg tablet, metFORMIN hydrochloride 500 mg tablet, empagliflozin 10 mg tablet, metFORMIN hydrochloride 500 mg tablet, empagliflozin 10 mg tablet, metFORMIN hydrochloride 500 mg tablet, empagliflozin 10 mg tablet, metFORMIN hydrochloride 500 mg tablet, empagliflozin 10 mg tablet, metFORMIN hydrochloride 500 mg tablet, empagliflozin 10 mg tablet, metFORMIN hydrochloride 500 mg tablet, empagliflozin 10 mg tablet, SITagliptin 100 mg tablet, amLODIPine 5 mg tablet, SITagliptin 100 mg tablet, amLODIPine 5 mg tablet, SITagliptin 100 mg tablet, amLODIPine 5 mg tablet, SITagliptin 100 mg tablet, amLODIPine 5 mg tablet, SITagliptin 100 mg tablet, amLODIPine 5 mg tablet, SITagliptin 100 mg tablet, amLODIPine 5 mg tablet, SITagliptin 100 mg tablet, amLODIPine 5 mg tablet, amLODIPine 5 mg tablet, amLODIPine 5 mg tablet, amLODIPine 5 mg tablet, amLODIPine 5 mg tablet, amLODIPine 5 mg tablet, amLODIPine 5 mg tablet, amLODIPine 5 mg tablet, rosuvastatin 20 mg tablet, metFORMIN hydrochloride 500 mg tablet, rosuvastatin 20 mg tablet, metFORMIN hydrochloride 500 mg tablet, rosuvastatin 20 mg tablet, metFORMIN hydrochloride 500 mg tablet, rosuvastatin 20 mg tablet, metFORMIN hydrochloride 500 mg tablet, rosuvastatin 20 mg tablet, metFORMIN hydrochloride 500 mg tablet, rosuvastatin 20 mg tablet, metFORMIN hydrochloride 500 mg tablet, rosuvastatin 20 mg tablet, metFORMIN hydrochloride 500 mg tablet, empagliflozin 10 mg tablet, empagliflozin 10 mg tablet, empagliflozin 10 mg tablet, empagliflozin 10 mg tablet, empagliflozin 10 mg tablet, empagliflozin 10 mg tablet, empagliflozin 10 mg tablet, SITagliptin 100 mg tablet, SITagliptin 100 mg tablet, SITagliptin 100 mg tablet, SITagliptin 100 mg tablet, SITagliptin 100 mg tablet, SITagliptin 100 mg tablet, SITagliptin 100 mg tablet</t>
  </si>
  <si>
    <t>Diabetes, Dyslipidemia, Hypertension</t>
  </si>
  <si>
    <t>DM meds match; DLP meds match</t>
  </si>
  <si>
    <t>رناد علاءالدين يحى رواص</t>
  </si>
  <si>
    <t>محمد سالم احمد الجهني</t>
  </si>
  <si>
    <t>Unknown</t>
  </si>
  <si>
    <t>Low Burden</t>
  </si>
  <si>
    <t>metFORMIN hydrochloride, vitamin B complex (B, B, valsartan, SITagliptin</t>
  </si>
  <si>
    <t>metFORMIN hydrochloride 500 mg tablet, vitamin B complex (B1,B6,B12) 100,200,0.2 mg Film coated tablets [oral], valsartan 80 mg tablet, metFORMIN hydrochloride 500 mg tablet, vitamin B complex (B1,B6,B12) 100,200,0.2 mg Film coated tablets [oral], valsartan 80 mg tablet, metFORMIN hydrochloride 500 mg tablet, vitamin B complex (B1,B6,B12) 100,200,0.2 mg Film coated tablets [oral], valsartan 80 mg tablet, metFORMIN hydrochloride 500 mg tablet, vitamin B complex (B1,B6,B12) 100,200,0.2 mg Film coated tablets [oral], valsartan 80 mg tablet, SITagliptin 100 mg tablet, SITagliptin 100 mg tablet, SITagliptin 100 mg tablet, SITagliptin 100 mg tablet, valsartan 80 mg tablet, vitamin B complex (B1,B6,B12) 100,200,0.2 mg Film coated tablets [oral], metFORMIN hydrochloride 500 mg tablet, valsartan 80 mg tablet, vitamin B complex (B1,B6,B12) 100,200,0.2 mg Film coated tablets [oral], metFORMIN hydrochloride 500 mg tablet, valsartan 80 mg tablet, vitamin B complex (B1,B6,B12) 100,200,0.2 mg Film coated tablets [oral], metFORMIN hydrochloride 500 mg tablet, valsartan 80 mg tablet, vitamin B complex (B1,B6,B12) 100,200,0.2 mg Film coated tablets [oral], metFORMIN hydrochloride 500 mg tablet, SITagliptin 100 mg tablet, SITagliptin 100 mg tablet, SITagliptin 100 mg tablet, SITagliptin 100 mg tablet, 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SITagliptin 100 mg tablet, metFORMIN hydrochloride 500 mg tablet, SITagliptin 100 mg tablet, metFORMIN hydrochloride 500 mg tablet, SITagliptin 100 mg tablet, metFORMIN hydrochloride 500 mg tablet, SITagliptin 100 mg tablet, valsartan 80 mg tablet, valsartan 80 mg tablet, valsartan 80 mg tablet, valsartan 80 mg tablet</t>
  </si>
  <si>
    <t>Diabetes, Hypertension, Vitamins/Supplements</t>
  </si>
  <si>
    <t>Aligned</t>
  </si>
  <si>
    <t>Bi-Monthly</t>
  </si>
  <si>
    <t>حسينه حسين مطير المالكى</t>
  </si>
  <si>
    <t>baclofen, vitamin B complex (B, B</t>
  </si>
  <si>
    <t>baclofen 10 mg tablet, baclofen 10 mg tablet, baclofen 10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baclofen 10 mg tablet, baclofen 10 mg tablet, baclofen 10 mg tablet</t>
  </si>
  <si>
    <t>HTN meds needed</t>
  </si>
  <si>
    <t>حليمه محمد بن حسن العبسى</t>
  </si>
  <si>
    <t>Moderate Burden</t>
  </si>
  <si>
    <t>valsartan, amLODIPine</t>
  </si>
  <si>
    <t>valsartan 80 mg tablet, valsartan 80 mg tablet, valsartan 80 mg tablet, amLODIPine 10 mg capsule, amLODIPine 10 mg capsule, amLODIPine 10 mg capsule, amLODIPine 10 mg capsule, valsartan 80 mg tablet, amLODIPine 10 mg capsule, valsartan 80 mg tablet, amLODIPine 10 mg capsule, valsartan 80 mg tablet, valsartan 80 mg tablet, valsartan 80 mg tablet, valsartan 80 mg tablet, amLODIPine 10 mg capsule, amLODIPine 10 mg capsule, amLODIPine 10 mg capsule, valsartan 80 mg tablet, valsartan 80 mg tablet, valsartan 80 mg tablet, amLODIPine 10 mg capsule, amLODIPine 10 mg capsule, amLODIPine 10 mg capsule</t>
  </si>
  <si>
    <t>Hypertension</t>
  </si>
  <si>
    <t>HTN meds match</t>
  </si>
  <si>
    <t>اثير سالم صلاح السريحي</t>
  </si>
  <si>
    <t>ليلي فيصل عوض الله الردادي</t>
  </si>
  <si>
    <t>metFORMIN hydrochloride, valsartan, empagliflozin, colecalciferol, rosuvastatin, amLODIPine</t>
  </si>
  <si>
    <t>metFORMIN hydrochloride 750 mg tablet: modified release, valsartan 80 mg tablet, metFORMIN hydrochloride 750 mg tablet: modified release, valsartan 80 mg tablet, metFORMIN hydrochloride 750 mg tablet: modified release, valsartan 80 mg tablet, metFORMIN hydrochloride 750 mg tablet: modified release, valsartan 80 mg tablet, metFORMIN hydrochloride 750 mg tablet: modified release, valsartan 80 mg tablet, empagliflozin 10 mg tablet, colecalciferol 50 000 international units tablet, rosuvastatin 10 mg tablet, empagliflozin 10 mg tablet, colecalciferol 50 000 international units tablet, rosuvastatin 10 mg tablet, empagliflozin 10 mg tablet, colecalciferol 50 000 international units tablet, rosuvastatin 10 mg tablet, empagliflozin 10 mg tablet, colecalciferol 50 000 international units tablet, rosuvastatin 10 mg tablet, empagliflozin 10 mg tablet, colecalciferol 50 000 international units tablet, rosuvastatin 10 mg tablet, colecalciferol 50 000 international units tablet, metFORMIN hydrochloride 750 mg tablet: modified release, valsartan 80 mg tablet, colecalciferol 50 000 international units tablet, metFORMIN hydrochloride 750 mg tablet: modified release, valsartan 80 mg tablet, colecalciferol 50 000 international units tablet, metFORMIN hydrochloride 750 mg tablet: modified release, valsartan 80 mg tablet, colecalciferol 50 000 international units tablet, metFORMIN hydrochloride 750 mg tablet: modified release, valsartan 80 mg tablet, colecalciferol 50 000 international units tablet, metFORMIN hydrochloride 750 mg tablet: modified release, valsartan 80 mg tablet, amLODIPine 10 mg capsule, empagliflozin 10 mg tablet, rosuvastatin 10 mg tablet, amLODIPine 10 mg capsule, empagliflozin 10 mg tablet, rosuvastatin 10 mg tablet, amLODIPine 10 mg capsule, empagliflozin 10 mg tablet, rosuvastatin 10 mg tablet, amLODIPine 10 mg capsule, empagliflozin 10 mg tablet, rosuvastatin 10 mg tablet, amLODIPine 10 mg capsule, empagliflozin 10 mg tablet, rosuvastatin 10 mg tablet, rosuvastatin 10 mg tablet, colecalciferol 50 000 international units tablet, rosuvastatin 10 mg tablet, colecalciferol 50 000 international units tablet, rosuvastatin 10 mg tablet, colecalciferol 50 000 international units tablet, rosuvastatin 10 mg tablet, colecalciferol 50 000 international units tablet, rosuvastatin 10 mg tablet, colecalciferol 50 000 international units tablet, valsartan 80 mg tablet, empagliflozin 10 mg tablet, amLODIPine 10 mg capsule, valsartan 80 mg tablet, empagliflozin 10 mg tablet, amLODIPine 10 mg capsule, valsartan 80 mg tablet, empagliflozin 10 mg tablet, amLODIPine 10 mg capsule, valsartan 80 mg tablet, empagliflozin 10 mg tablet, amLODIPine 10 mg capsule, valsartan 80 mg tablet, empagliflozin 10 mg tablet, amLODIPine 10 mg capsule, metFORMIN hydrochloride 750 mg tablet: modified release, metFORMIN hydrochloride 750 mg tablet: modified release, metFORMIN hydrochloride 750 mg tablet: modified release, metFORMIN hydrochloride 750 mg tablet: modified release, metFORMIN hydrochloride 750 mg tablet: modified release, colecalciferol 50 000 international units tablet, colecalciferol 50 000 international units tablet, colecalciferol 50 000 international units tablet, colecalciferol 50 000 international units tablet, colecalciferol 50 000 international units tablet, empagliflozin 10 mg tablet, rosuvastatin 10 mg tablet, empagliflozin 10 mg tablet, rosuvastatin 10 mg tablet, empagliflozin 10 mg tablet, rosuvastatin 10 mg tablet, empagliflozin 10 mg tablet, rosuvastatin 10 mg tablet, empagliflozin 10 mg tablet, rosuvastatin 10 mg tablet, metFORMIN hydrochloride 750 mg tablet: modified release, valsartan 80 mg tablet, amLODIPine 10 mg capsule, metFORMIN hydrochloride 750 mg tablet: modified release, valsartan 80 mg tablet, amLODIPine 10 mg capsule, metFORMIN hydrochloride 750 mg tablet: modified release, valsartan 80 mg tablet, amLODIPine 10 mg capsule, metFORMIN hydrochloride 750 mg tablet: modified release, valsartan 80 mg tablet, amLODIPine 10 mg capsule, metFORMIN hydrochloride 750 mg tablet: modified release, valsartan 80 mg tablet, amLODIPine 10 mg capsule, colecalciferol 50 000 international units tablet, colecalciferol 50 000 international units tablet, colecalciferol 50 000 international units tablet, colecalciferol 50 000 international units tablet, colecalciferol 50 000 international units tablet, valsartan 80 mg tablet, empagliflozin 10 mg tablet, valsartan 80 mg tablet, empagliflozin 10 mg tablet, valsartan 80 mg tablet, empagliflozin 10 mg tablet, valsartan 80 mg tablet, empagliflozin 10 mg tablet, valsartan 80 mg tablet, empagliflozin 10 mg tablet, amLODIPine 10 mg capsule, metFORMIN hydrochloride 750 mg tablet: modified release, rosuvastatin 10 mg tablet, amLODIPine 10 mg capsule, metFORMIN hydrochloride 750 mg tablet: modified release, rosuvastatin 10 mg tablet, amLODIPine 10 mg capsule, metFORMIN hydrochloride 750 mg tablet: modified release, rosuvastatin 10 mg tablet, amLODIPine 10 mg capsule, metFORMIN hydrochloride 750 mg tablet: modified release, rosuvastatin 10 mg tablet, amLODIPine 10 mg capsule, metFORMIN hydrochloride 750 mg tablet: modified release, rosuvastatin 10 mg tablet, rosuvastatin 10 mg tablet, metFORMIN hydrochloride 750 mg tablet: modified release, valsartan 80 mg tablet, rosuvastatin 10 mg tablet, metFORMIN hydrochloride 750 mg tablet: modified release, valsartan 80 mg tablet, rosuvastatin 10 mg tablet, metFORMIN hydrochloride 750 mg tablet: modified release, valsartan 80 mg tablet, rosuvastatin 10 mg tablet, metFORMIN hydrochloride 750 mg tablet: modified release, valsartan 80 mg tablet, rosuvastatin 10 mg tablet, metFORMIN hydrochloride 750 mg tablet: modified release, valsartan 80 mg tablet, amLODIPine 10 mg capsule, colecalciferol 50 000 international units tablet, empagliflozin 10 mg tablet, amLODIPine 10 mg capsule, colecalciferol 50 000 international units tablet, empagliflozin 10 mg tablet, amLODIPine 10 mg capsule, colecalciferol 50 000 international units tablet, empagliflozin 10 mg tablet, amLODIPine 10 mg capsule, colecalciferol 50 000 international units tablet, empagliflozin 10 mg tablet, amLODIPine 10 mg capsule, colecalciferol 50 000 international units tablet, empagliflozin 10 mg tablet</t>
  </si>
  <si>
    <t>Diabetes, Dyslipidemia, Hypertension, Vitamins/Supplements</t>
  </si>
  <si>
    <t>DM meds match; HTN meds match; DLP meds match</t>
  </si>
  <si>
    <t>سعديه سعيد عتيق الغامدي</t>
  </si>
  <si>
    <t>غزواء بدار جحيش العتيبي</t>
  </si>
  <si>
    <t>vitamins (A, B, C, D</t>
  </si>
  <si>
    <t>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t>
  </si>
  <si>
    <t>ابتسام عبدالرحيم محمد بختاور</t>
  </si>
  <si>
    <t>bisoprolol fumarate, vitamin B complex (B, B, rosuvastatin, metFORMIN hydrochloride, paracetamol</t>
  </si>
  <si>
    <t>bisoprolol fumarate 5 mg tablet, bisoprolol fumarate 5 mg tablet, bisoprolol fumarate 5 mg tablet, bisoprolol fumarate 5 mg tablet, vitamin B complex (B1,B6,B12) 100,200,0.2 mg Film coated tablets [oral], rosuvastatin 20 mg tablet, vitamin B complex (B1,B6,B12) 100,200,0.2 mg Film coated tablets [oral], rosuvastatin 20 mg tablet, vitamin B complex (B1,B6,B12) 100,200,0.2 mg Film coated tablets [oral], rosuvastatin 20 mg tablet, vitamin B complex (B1,B6,B12) 100,200,0.2 mg Film coated tablets [oral], rosuvastatin 20 mg tablet, metFORMIN hydrochloride 500 mg tablet, paracetamol 500 mg tablet, metFORMIN hydrochloride 500 mg tablet, paracetamol 500 mg tablet, metFORMIN hydrochloride 500 mg tablet, paracetamol 500 mg tablet, metFORMIN hydrochloride 500 mg tablet, paracetamol 500 mg tablet, rosuvastatin 20 mg tablet, rosuvastatin 20 mg tablet, rosuvastatin 20 mg tablet, rosuvastatin 20 mg tablet, paracetamol 500 mg tablet, metFORMIN hydrochloride 500 mg tablet, paracetamol 500 mg tablet, metFORMIN hydrochloride 500 mg tablet, paracetamol 500 mg tablet, metFORMIN hydrochloride 500 mg tablet, paracetamol 500 mg tablet, metFORMIN hydrochloride 500 mg tablet, bisoprolol fumarate 5 mg tablet, vitamin B complex (B1,B6,B12) 100,200,0.2 mg Film coated tablets [oral], bisoprolol fumarate 5 mg tablet, vitamin B complex (B1,B6,B12) 100,200,0.2 mg Film coated tablets [oral], bisoprolol fumarate 5 mg tablet, vitamin B complex (B1,B6,B12) 100,200,0.2 mg Film coated tablets [oral], bisoprolol fumarate 5 mg tablet, vitamin B complex (B1,B6,B12) 100,200,0.2 mg Film coated tablets [oral]</t>
  </si>
  <si>
    <t>ريان عبدالباسط محمد مرزوقي</t>
  </si>
  <si>
    <t>يعقوب حربي محمد يوسف</t>
  </si>
  <si>
    <t>insulin glargine (lantus), perindopril arginine, indapamide</t>
  </si>
  <si>
    <t>insulin glargine (lantus) 100 international units/mL injection, 3 mL prefilled pen, perindopril arginine 5 mg tablet, insulin glargine (lantus) 100 international units/mL injection, 3 mL prefilled pen, perindopril arginine 5 mg tablet, insulin glargine (lantus) 100 international units/mL injection, 3 mL prefilled pen, perindopril arginine 5 mg tablet, indapamide 1.5 mg tablet: modified release, indapamide 1.5 mg tablet: modified release, indapamide 1.5 mg tablet: modified release, insulin glargine (lantus) 100 international units/mL injection, 3 mL prefilled pen, indapamide 1.5 mg tablet: modified release, perindopril arginine 5 mg tablet, insulin glargine (lantus) 100 international units/mL injection, 3 mL prefilled pen, indapamide 1.5 mg tablet: modified release, perindopril arginine 5 mg tablet, insulin glargine (lantus) 100 international units/mL injection, 3 mL prefilled pen, indapamide 1.5 mg tablet: modified release, perindopril arginine 5 mg tablet, indapamide 1.5 mg tablet: modified release, indapamide 1.5 mg tablet: modified release, indapamide 1.5 mg tablet: modified release, insulin glargine (lantus) 100 international units/mL injection, 3 mL prefilled pen, perindopril arginine 5 mg tablet, insulin glargine (lantus) 100 international units/mL injection, 3 mL prefilled pen, perindopril arginine 5 mg tablet, insulin glargine (lantus) 100 international units/mL injection, 3 mL prefilled pen, perindopril arginine 5 mg tablet,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indapamide 1.5 mg tablet: modified release, indapamide 1.5 mg tablet: modified release, indapamide 1.5 mg tablet: modified release, perindopril arginine 5 mg tablet, insulin glargine (lantus) 100 international units/mL injection, 3 mL prefilled pen, perindopril arginine 5 mg tablet, insulin glargine (lantus) 100 international units/mL injection, 3 mL prefilled pen, perindopril arginine 5 mg tablet, insulin glargine (lantus) 100 international units/mL injection, 3 mL prefilled pen</t>
  </si>
  <si>
    <t>Diabetes, Hypertension</t>
  </si>
  <si>
    <t>DM meds match; HTN meds match; DLP meds needed</t>
  </si>
  <si>
    <t>صفيه مبارك حميد الرحيلي</t>
  </si>
  <si>
    <t>مريم مقصود احمد خيال</t>
  </si>
  <si>
    <t>dextromethorphan hydrobromide, paracetamol, sodium chloride</t>
  </si>
  <si>
    <t>dextromethorphan hydrobromide 15 mg/5 mL oral liquid, paracetamol 500 mg tablet, dextromethorphan hydrobromide 15 mg/5 mL oral liquid, paracetamol 500 mg tablet, dextromethorphan hydrobromide 15 mg/5 mL oral liquid, paracetamol 500 mg tablet, dextromethorphan hydrobromide 15 mg/5 mL oral liquid, paracetamol 500 mg tablet, dextromethorphan hydrobromide 15 mg/5 mL oral liquid, paracetamol 500 mg tablet, dextromethorphan hydrobromide 15 mg/5 mL oral liquid, paracetamol 500 mg tablet, dextromethorphan hydrobromide 15 mg/5 mL oral liquid, paracetamol 500 mg tablet, dextromethorphan hydrobromide 15 mg/5 mL oral liquid, paracetamol 500 mg tablet, dextromethorphan hydrobromide 15 mg/5 mL oral liquid, paracetamol 500 mg tablet, dextromethorphan hydrobromide 15 mg/5 mL oral liquid, paracetamol 500 mg tablet,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paracetamol 500 mg tablet, dextromethorphan hydrobromide 15 mg/5 mL oral liquid, paracetamol 500 mg tablet, dextromethorphan hydrobromide 15 mg/5 mL oral liquid, paracetamol 500 mg tablet, dextromethorphan hydrobromide 15 mg/5 mL oral liquid, paracetamol 500 mg tablet, dextromethorphan hydrobromide 15 mg/5 mL oral liquid, paracetamol 500 mg tablet, dextromethorphan hydrobromide 15 mg/5 mL oral liquid, paracetamol 500 mg tablet, dextromethorphan hydrobromide 15 mg/5 mL oral liquid, paracetamol 500 mg tablet, dextromethorphan hydrobromide 15 mg/5 mL oral liquid, paracetamol 500 mg tablet, dextromethorphan hydrobromide 15 mg/5 mL oral liquid, paracetamol 500 mg tablet, dextromethorphan hydrobromide 15 mg/5 mL oral liquid, paracetamol 500 mg tablet,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paracetamol 500 mg tablet, 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t>
  </si>
  <si>
    <t>High</t>
  </si>
  <si>
    <t>DM meds needed; DLP meds needed</t>
  </si>
  <si>
    <t>ريهام احمد عائض المالكي</t>
  </si>
  <si>
    <t>سليمان عبدالله سليمان السحيم</t>
  </si>
  <si>
    <t>budesonide, acetylsalicylic acid, tiotropium, capsule, amLODIPine, empagliflozin, hydrocortisone, montelukast, atorvastatin, metFORMIN hydrochloride</t>
  </si>
  <si>
    <t>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acetylsalicylic acid 100 mg tablet: enteric coated, tiotropium 18 microgram inhalation: powder for, capsule, amLODIPine 10 mg capsule, acetylsalicylic acid 100 mg tablet: enteric coated, tiotropium 18 microgram inhalation: powder for, capsule, amLODIPine 10 mg capsule, acetylsalicylic acid 100 mg tablet: enteric coated, tiotropium 18 microgram inhalation: powder for, capsule, amLODIPine 10 mg capsule, empagliflozin 25 mg tablet, hydrocortisone 1% (10 mg/g) cream, montelukast 10 mg tablet, atorvastatin 20 mg tablet, metFORMIN hydrochloride 750 mg tablet: modified release, empagliflozin 25 mg tablet, hydrocortisone 1% (10 mg/g) cream, montelukast 10 mg tablet, atorvastatin 20 mg tablet, metFORMIN hydrochloride 750 mg tablet: modified release, empagliflozin 25 mg tablet, hydrocortisone 1% (10 mg/g) cream, montelukast 10 mg tablet, atorvastatin 20 mg tablet, metFORMIN hydrochloride 750 mg tablet: modified release, atorvastatin 20 mg tablet, budesonide 160 microgram/actuation + formoterol fumarate dihydrate 4.5 microgram/actuation inhalation: powder for, valsartan 80 mg tablet, hydrocortisone 1% (10 mg/g) cream, vitamin B complex (B1,B6,B12) 100,200,0.2 mg Film coated tablets [oral], atorvastatin 20 mg tablet, budesonide 160 microgram/actuation + formoterol fumarate dihydrate 4.5 microgram/actuation inhalation: powder for, valsartan 80 mg tablet, hydrocortisone 1% (10 mg/g) cream, vitamin B complex (B1,B6,B12) 100,200,0.2 mg Film coated tablets [oral], atorvastatin 20 mg tablet, budesonide 160 microgram/actuation + formoterol fumarate dihydrate 4.5 microgram/actuation inhalation: powder for, valsartan 80 mg tablet, hydrocortisone 1% (10 mg/g) cream, vitamin B complex (B1,B6,B12) 100,200,0.2 mg Film coated tablets [oral], amLODIPine 10 mg capsule, amLODIPine 10 mg capsule, amLODIPine 10 mg capsule, SITagliptin 100 mg tablet, tiotropium 18 microgram inhalation: powder for, capsule, SITagliptin 100 mg tablet, tiotropium 18 microgram inhalation: powder for, capsule, SITagliptin 100 mg tablet, tiotropium 18 microgram inhalation: powder for, capsule, bisoprolol fumarate 5 mg tablet, montelukast 10 mg tablet, Strips (Accu-Check) 1 box Strip [n/a], bisoprolol fumarate 5 mg tablet, montelukast 10 mg tablet, Strips (Accu-Check) 1 box Strip [n/a], bisoprolol fumarate 5 mg tablet, montelukast 10 mg tablet, Strips (Accu-Check) 1 box Strip [n/a], fenofibrate 145 mg tablet, empagliflozin 25 mg tablet, acetylsalicylic acid 100 mg tablet: enteric coated, metFORMIN hydrochloride 750 mg tablet: modified release, fenofibrate 145 mg tablet, empagliflozin 25 mg tablet, acetylsalicylic acid 100 mg tablet: enteric coated, metFORMIN hydrochloride 750 mg tablet: modified release, fenofibrate 145 mg tablet, empagliflozin 25 mg tablet, acetylsalicylic acid 100 mg tablet: enteric coated, metFORMIN hydrochloride 750 mg tablet: modified release, empagliflozin 25 mg tablet, SITagliptin 100 mg tablet, empagliflozin 25 mg tablet, SITagliptin 100 mg tablet, empagliflozin 25 mg tablet, SITagliptin 100 mg tablet, montelukast 10 mg tablet, montelukast 10 mg tablet, montelukast 10 mg tablet, Strips (Accu-Check) 1 box Strip [n/a], amLODIPine 10 mg capsule, acetylsalicylic acid 100 mg tablet: enteric coated, valsartan 80 mg tablet, tiotropium 18 microgram inhalation: powder for, capsule, Strips (Accu-Check) 1 box Strip [n/a], amLODIPine 10 mg capsule, acetylsalicylic acid 100 mg tablet: enteric coated, valsartan 80 mg tablet, tiotropium 18 microgram inhalation: powder for, capsule, Strips (Accu-Check) 1 box Strip [n/a], amLODIPine 10 mg capsule, acetylsalicylic acid 100 mg tablet: enteric coated, valsartan 80 mg tablet, tiotropium 18 microgram inhalation: powder for, capsule, hydrocortisone 1% (10 mg/g) cream, bisoprolol fumarate 5 mg tablet, vitamin B complex (B1,B6,B12) 100,200,0.2 mg Film coated tablets [oral], hydrocortisone 1% (10 mg/g) cream, bisoprolol fumarate 5 mg tablet, vitamin B complex (B1,B6,B12) 100,200,0.2 mg Film coated tablets [oral], hydrocortisone 1% (10 mg/g) cream, bisoprolol fumarate 5 mg tablet, vitamin B complex (B1,B6,B12) 100,200,0.2 mg Film coated tablets [oral], fenofibrate 145 mg tablet, metFORMIN hydrochloride 750 mg tablet: modified release, atorvastatin 20 mg tablet, budesonide 160 microgram/actuation + formoterol fumarate dihydrate 4.5 microgram/actuation inhalation: powder for, fenofibrate 145 mg tablet, metFORMIN hydrochloride 750 mg tablet: modified release, atorvastatin 20 mg tablet, budesonide 160 microgram/actuation + formoterol fumarate dihydrate 4.5 microgram/actuation inhalation: powder for, fenofibrate 145 mg tablet, metFORMIN hydrochloride 750 mg tablet: modified release, atorvastatin 20 mg tablet, budesonide 160 microgram/actuation + formoterol fumarate dihydrate 4.5 microgram/actuation inhalation: powder for, bisoprolol fumarate 5 mg tablet, acetylsalicylic acid 100 mg tablet: enteric coated, bisoprolol fumarate 5 mg tablet, acetylsalicylic acid 100 mg tablet: enteric coated, bisoprolol fumarate 5 mg tablet, acetylsalicylic acid 100 mg tablet: enteric coated, Strips (Accu-Check) 1 box Strip [n/a], fenofibrate 145 mg tablet, metFORMIN hydrochloride 750 mg tablet: modified release, budesonide 160 microgram/actuation + formoterol fumarate dihydrate 4.5 microgram/actuation inhalation: powder for, SITagliptin 100 mg tablet, atorvastatin 20 mg tablet, Strips (Accu-Check) 1 box Strip [n/a], fenofibrate 145 mg tablet, metFORMIN hydrochloride 750 mg tablet: modified release, budesonide 160 microgram/actuation + formoterol fumarate dihydrate 4.5 microgram/actuation inhalation: powder for, SITagliptin 100 mg tablet, atorvastatin 20 mg tablet, Strips (Accu-Check) 1 box Strip [n/a], fenofibrate 145 mg tablet, metFORMIN hydrochloride 750 mg tablet: modified release, budesonide 160 microgram/actuation + formoterol fumarate dihydrate 4.5 microgram/actuation inhalation: powder for, SITagliptin 100 mg tablet, atorvastatin 20 mg tablet, hydrocortisone 1% (10 mg/g) cream, valsartan 80 mg tablet, empagliflozin 25 mg tablet, amLODIPine 10 mg capsule, tiotropium 18 microgram inhalation: powder for, capsule, vitamin B complex (B1,B6,B12) 100,200,0.2 mg Film coated tablets [oral], montelukast 10 mg tablet, hydrocortisone 1% (10 mg/g) cream, valsartan 80 mg tablet, empagliflozin 25 mg tablet, amLODIPine 10 mg capsule, tiotropium 18 microgram inhalation: powder for, capsule, vitamin B complex (B1,B6,B12) 100,200,0.2 mg Film coated tablets [oral], montelukast 10 mg tablet, hydrocortisone 1% (10 mg/g) cream, valsartan 80 mg tablet, empagliflozin 25 mg tablet, amLODIPine 10 mg capsule, tiotropium 18 microgram inhalation: powder for, capsule, vitamin B complex (B1,B6,B12) 100,200,0.2 mg Film coated tablets [oral], montelukast 10 mg tablet</t>
  </si>
  <si>
    <t>Antiplatelet, Diabetes, Dyslipidemia, Hypertension, Vitamins/Supplements</t>
  </si>
  <si>
    <t>سميحه احمد خالد فلاته</t>
  </si>
  <si>
    <t>طه احمد سليمان طويلي</t>
  </si>
  <si>
    <t>celecoxib, baclofen, insulin glargine (lantus), chlorzoxazone, vitamin B complex (B, B, colecalciferol, Strips (Accu-Check)</t>
  </si>
  <si>
    <t>celecoxib 200 mg capsule, baclofen 10 mg tablet, celecoxib 200 mg capsule, baclofen 10 mg tablet, celecoxib 200 mg capsule, baclofen 10 mg tablet, celecoxib 200 mg capsule, baclofen 10 mg tablet, insulin glargine (lantus) 100 international units/mL injection, 3 mL prefilled pen, chlorzoxazone 250 mg + paracetamol 300 mg capsule, vitamin B complex (B1,B6,B12) 100,200,0.2 mg Film coated tablets [oral], insulin glargine (lantus) 100 international units/mL injection, 3 mL prefilled pen, chlorzoxazone 250 mg + paracetamol 300 mg capsule, vitamin B complex (B1,B6,B12) 100,200,0.2 mg Film coated tablets [oral], insulin glargine (lantus) 100 international units/mL injection, 3 mL prefilled pen, chlorzoxazone 250 mg + paracetamol 300 mg capsule, vitamin B complex (B1,B6,B12) 100,200,0.2 mg Film coated tablets [oral], insulin glargine (lantus) 100 international units/mL injection, 3 mL prefilled pen, chlorzoxazone 250 mg + paracetamol 300 mg capsule, vitamin B complex (B1,B6,B12) 100,200,0.2 mg Film coated tablets [oral], colecalciferol 1 000 international units capsule, colecalciferol 1 000 international units capsule, colecalciferol 1 000 international units capsule, colecalciferol 1 000 international units capsule, Strips (Accu-Check) 1 box Strip [n/a], Strips (Accu-Check) 1 box Strip [n/a], Strips (Accu-Check) 1 box Strip [n/a], Strips (Accu-Check) 1 box Strip [n/a], vitamin B complex (B1,B6,B12) 100,200,0.2 mg Film coated tablets [oral], vitamin B complex (B1,B6,B12) 100,200,0.2 mg Film coated tablets [oral], vitamin B complex (B1,B6,B12) 100,200,0.2 mg Film coated tablets [oral], vitamin B complex (B1,B6,B12) 100,200,0.2 mg Film coated tablets [oral], Strips (Accu-Check) 1 box Strip [n/a], baclofen 10 mg tablet, Strips (Accu-Check) 1 box Strip [n/a], baclofen 10 mg tablet, Strips (Accu-Check) 1 box Strip [n/a], baclofen 10 mg tablet, Strips (Accu-Check) 1 box Strip [n/a], baclofen 10 mg tablet, colecalciferol 1 000 international units capsule, colecalciferol 1 000 international units capsule, colecalciferol 1 000 international units capsule, colecalciferol 1 000 international units capsule, chlorzoxazone 250 mg + paracetamol 300 mg capsule, insulin glargine (lantus) 100 international units/mL injection, 3 mL prefilled pen, chlorzoxazone 250 mg + paracetamol 300 mg capsule, insulin glargine (lantus) 100 international units/mL injection, 3 mL prefilled pen, chlorzoxazone 250 mg + paracetamol 300 mg capsule, insulin glargine (lantus) 100 international units/mL injection, 3 mL prefilled pen, chlorzoxazone 250 mg + paracetamol 300 mg capsule, insulin glargine (lantus) 100 international units/mL injection, 3 mL prefilled pen, celecoxib 200 mg capsule, celecoxib 200 mg capsule, celecoxib 200 mg capsule, celecoxib 200 mg capsule, chlorzoxazone 250 mg + paracetamol 300 mg capsule, chlorzoxazone 250 mg + paracetamol 300 mg capsule, chlorzoxazone 250 mg + paracetamol 300 mg capsule, chlorzoxazone 250 mg + paracetamol 300 mg capsule, colecalciferol 1 000 international units capsule, baclofen 10 mg tablet, Strips (Accu-Check) 1 box Strip [n/a], insulin glargine (lantus) 100 international units/mL injection, 3 mL prefilled pen, colecalciferol 1 000 international units capsule, baclofen 10 mg tablet, Strips (Accu-Check) 1 box Strip [n/a], insulin glargine (lantus) 100 international units/mL injection, 3 mL prefilled pen, colecalciferol 1 000 international units capsule, baclofen 10 mg tablet, Strips (Accu-Check) 1 box Strip [n/a], insulin glargine (lantus) 100 international units/mL injection, 3 mL prefilled pen, colecalciferol 1 000 international units capsule, baclofen 10 mg tablet, Strips (Accu-Check) 1 box Strip [n/a], insulin glargine (lantus) 100 international units/mL injection, 3 mL prefilled pen, vitamin B complex (B1,B6,B12) 100,200,0.2 mg Film coated tablets [oral], celecoxib 200 mg capsule, vitamin B complex (B1,B6,B12) 100,200,0.2 mg Film coated tablets [oral], celecoxib 200 mg capsule, vitamin B complex (B1,B6,B12) 100,200,0.2 mg Film coated tablets [oral], celecoxib 200 mg capsule, vitamin B complex (B1,B6,B12) 100,200,0.2 mg Film coated tablets [oral], celecoxib 200 mg capsule</t>
  </si>
  <si>
    <t>Diabetes, Vitamins/Supplements</t>
  </si>
  <si>
    <t>DM meds match; HTN meds needed</t>
  </si>
  <si>
    <t>خالد فيصل عبدالله القحطاني</t>
  </si>
  <si>
    <t>كريمه عبدالعزيز مصطفى شعيشع</t>
  </si>
  <si>
    <t>paracetamol</t>
  </si>
  <si>
    <t>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t>
  </si>
  <si>
    <t>محمدسعيد مرزوق سعدى السلمى</t>
  </si>
  <si>
    <t>rosuvastatin</t>
  </si>
  <si>
    <t>rosuvastatin 10 mg tablet, rosuvastatin 10 mg tablet, rosuvastatin 10 mg tablet, rosuvastatin 10 mg tablet</t>
  </si>
  <si>
    <t>Dyslipidemia</t>
  </si>
  <si>
    <t>DM meds needed; DLP meds match</t>
  </si>
  <si>
    <t>نوره ابراهيم بن عبدالله الجنيدل</t>
  </si>
  <si>
    <t>valsartan, amLODIPine, metFORMIN hydrochloride</t>
  </si>
  <si>
    <t>valsartan 80 mg tablet, amLODIPine 5 mg tablet, valsartan 80 mg tablet, amLODIPine 5 mg tablet, valsartan 80 mg tablet, amLODIPine 5 mg tablet, metFORMIN hydrochloride 750 mg tablet: modified release, valsartan 80 mg tablet, metFORMIN hydrochloride 750 mg tablet: modified release, valsartan 80 mg tablet, metFORMIN hydrochloride 750 mg tablet: modified release, valsartan 80 mg tablet, amLODIPine 5 mg tablet, amLODIPine 5 mg tablet, amLODIPine 5 mg tablet, metFORMIN hydrochloride 750 mg tablet: modified release, metFORMIN hydrochloride 750 mg tablet: modified release, metFORMIN hydrochloride 750 mg tablet: modified release, metFORMIN hydrochloride 750 mg tablet: modified release, valsartan 80 mg tablet, amLODIPine 5 mg tablet, metFORMIN hydrochloride 750 mg tablet: modified release, valsartan 80 mg tablet, amLODIPine 5 mg tablet, metFORMIN hydrochloride 750 mg tablet: modified release, valsartan 80 mg tablet, amLODIPine 5 mg tablet</t>
  </si>
  <si>
    <t>DM meds match; HTN meds match</t>
  </si>
  <si>
    <t>عبدالله صالح محمد موسى</t>
  </si>
  <si>
    <t>Insulin Pen Needle, vitamin B complex (B, B, insulin glargine (lantus), empagliflozin, metFORMIN hydrochloride</t>
  </si>
  <si>
    <t>Insulin Pen Needle 4mm Needle [sc], Insulin Pen Needle 4mm Needle [sc], Insulin Pen Needle 4mm Needle [sc], vitamin B complex (B1,B6,B12) 100,200,0.2 mg Film coated tablets [oral], vitamin B complex (B1,B6,B12) 100,200,0.2 mg Film coated tablets [oral], vitamin B complex (B1,B6,B12) 100,200,0.2 mg Film coated tablets [oral], insulin glargine (lantus) 100 international units/mL injection, 3 mL prefilled pen, empagliflozin 25 mg tablet, metFORMIN hydrochloride 500 mg tablet, insulin glargine (lantus) 100 international units/mL injection, 3 mL prefilled pen, empagliflozin 25 mg tablet, metFORMIN hydrochloride 500 mg tablet, insulin glargine (lantus) 100 international units/mL injection, 3 mL prefilled pen, empagliflozin 25 mg tablet,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empagliflozin 25 mg tablet, empagliflozin 25 mg tablet, empagliflozin 25 mg tablet, insulin glargine (lantus) 100 international units/mL injection, 3 mL prefilled pen, Insulin Pen Needle 4mm Needle [sc], insulin glargine (lantus) 100 international units/mL injection, 3 mL prefilled pen, Insulin Pen Needle 4mm Needle [sc], insulin glargine (lantus) 100 international units/mL injection, 3 mL prefilled pen, Insulin Pen Needle 4mm Needle [sc]</t>
  </si>
  <si>
    <t>صهيب كمال نواوي فلمبان</t>
  </si>
  <si>
    <t>خيريه محمدعلى على ملاوى</t>
  </si>
  <si>
    <t>amLODIPine</t>
  </si>
  <si>
    <t>amLODIPine 5 mg tablet, amLODIPine 5 mg tablet, amLODIPine 5 mg tablet, amLODIPine 5 mg tablet, amLODIPine 5 mg tablet, amLODIPine 5 mg tablet, amLODIPine 5 mg tablet, amLODIPine 5 mg tablet, amLODIPine 5 mg tablet, amLODIPine 5 mg tablet, amLODIPine 5 mg tablet, amLODIPine 5 mg tablet</t>
  </si>
  <si>
    <t>DM meds needed; HTN meds match; DLP meds needed</t>
  </si>
  <si>
    <t>عائشه احمد عبدالله يحي</t>
  </si>
  <si>
    <t>amLODIPine, diclofenac sodium, paracetamol, paraffin soft white ointment, tube, chlorzoxazone</t>
  </si>
  <si>
    <t>amLODIPine 10 mg capsule, diclofenac sodium 1% (10 mg/g) gel, paracetamol 500 mg tablet, paraffin soft white ointment, tube, chlorzoxazone 250 mg + paracetamol 300 mg capsule, amLODIPine 10 mg capsule, diclofenac sodium 1% (10 mg/g) gel, paracetamol 500 mg tablet, paraffin soft white ointment, tube, chlorzoxazone 250 mg + paracetamol 300 mg capsule, amLODIPine 10 mg capsule, diclofenac sodium 1% (10 mg/g) gel, paracetamol 500 mg tablet, paraffin soft white ointment, tube, chlorzoxazone 250 mg + paracetamol 300 mg capsule, amLODIPine 10 mg capsule, diclofenac sodium 1% (10 mg/g) gel, paracetamol 500 mg tablet, paraffin soft white ointment, tube, chlorzoxazone 250 mg + paracetamol 300 mg capsule, chlorzoxazone 250 mg + paracetamol 300 mg capsule, diclofenac sodium 1% (10 mg/g) gel, amLODIPine 10 mg capsule, paracetamol 500 mg tablet, paraffin soft white ointment, tube, chlorzoxazone 250 mg + paracetamol 300 mg capsule, diclofenac sodium 1% (10 mg/g) gel, amLODIPine 10 mg capsule, paracetamol 500 mg tablet, paraffin soft white ointment, tube, chlorzoxazone 250 mg + paracetamol 300 mg capsule, diclofenac sodium 1% (10 mg/g) gel, amLODIPine 10 mg capsule, paracetamol 500 mg tablet, paraffin soft white ointment, tube, chlorzoxazone 250 mg + paracetamol 300 mg capsule, diclofenac sodium 1% (10 mg/g) gel, amLODIPine 10 mg capsule, paracetamol 500 mg tablet, paraffin soft white ointment, tube</t>
  </si>
  <si>
    <t>DM meds needed; HTN meds match</t>
  </si>
  <si>
    <t>نجلاء منيع بن سليمان الخليوي</t>
  </si>
  <si>
    <t>amLODIPine, colecalciferol, paracetamol, valsartan, atorvastatin</t>
  </si>
  <si>
    <t>amLODIPine 5 mg tablet, colecalciferol 50 000 international units tablet, paracetamol 500 mg tablet, valsartan 80 mg tablet, atorvastatin 10 mg tablet, amLODIPine 5 mg tablet, colecalciferol 50 000 international units tablet, paracetamol 500 mg tablet, valsartan 80 mg tablet, atorvastatin 10 mg tablet, amLODIPine 5 mg tablet, colecalciferol 50 000 international units tablet, paracetamol 500 mg tablet, valsartan 80 mg tablet, atorvastatin 10 mg tablet, amLODIPine 5 mg tablet, colecalciferol 50 000 international units tablet, paracetamol 500 mg tablet, valsartan 80 mg tablet, atorvastatin 10 mg tablet, amLODIPine 5 mg tablet, colecalciferol 50 000 international units tablet, paracetamol 500 mg tablet, valsartan 80 mg tablet, atorvastatin 10 mg tablet, valsartan 80 mg tablet, paracetamol 500 mg tablet, colecalciferol 50 000 international units tablet, valsartan 80 mg tablet, paracetamol 500 mg tablet, colecalciferol 50 000 international units tablet, valsartan 80 mg tablet, paracetamol 500 mg tablet, colecalciferol 50 000 international units tablet, valsartan 80 mg tablet, paracetamol 500 mg tablet, colecalciferol 50 000 international units tablet, valsartan 80 mg tablet, paracetamol 500 mg tablet, colecalciferol 50 000 international units tablet, atorvastatin 10 mg tablet, amLODIPine 5 mg tablet, atorvastatin 10 mg tablet, amLODIPine 5 mg tablet, atorvastatin 10 mg tablet, amLODIPine 5 mg tablet, atorvastatin 10 mg tablet, amLODIPine 5 mg tablet, atorvastatin 10 mg tablet, amLODIPine 5 mg tablet, atorvastatin 10 mg tablet, atorvastatin 10 mg tablet, atorvastatin 10 mg tablet, atorvastatin 10 mg tablet, atorvastatin 10 mg tablet, amLODIPine 5 mg tablet, amLODIPine 5 mg tablet, amLODIPine 5 mg tablet, amLODIPine 5 mg tablet, amLODIPine 5 mg tablet, colecalciferol 50 000 international units tablet, valsartan 80 mg tablet, colecalciferol 50 000 international units tablet, valsartan 80 mg tablet, colecalciferol 50 000 international units tablet, valsartan 80 mg tablet, colecalciferol 50 000 international units tablet, valsartan 80 mg tablet, colecalciferol 50 000 international units tablet, valsartan 80 mg tablet, paracetamol 500 mg tablet, paracetamol 500 mg tablet, paracetamol 500 mg tablet, paracetamol 500 mg tablet, paracetamol 500 mg tablet, amLODIPine 5 mg tablet, valsartan 80 mg tablet, colecalciferol 50 000 international units tablet, amLODIPine 5 mg tablet, valsartan 80 mg tablet, colecalciferol 50 000 international units tablet, amLODIPine 5 mg tablet, valsartan 80 mg tablet, colecalciferol 50 000 international units tablet, amLODIPine 5 mg tablet, valsartan 80 mg tablet, colecalciferol 50 000 international units tablet, amLODIPine 5 mg tablet, valsartan 80 mg tablet, colecalciferol 50 000 international units tablet, atorvastatin 10 mg tablet, atorvastatin 10 mg tablet, atorvastatin 10 mg tablet, atorvastatin 10 mg tablet, atorvastatin 10 mg tablet, paracetamol 500 mg tablet, paracetamol 500 mg tablet, paracetamol 500 mg tablet, paracetamol 500 mg tablet, paracetamol 500 mg tablet, valsartan 80 mg tablet, colecalciferol 50 000 international units tablet, valsartan 80 mg tablet, colecalciferol 50 000 international units tablet, valsartan 80 mg tablet, colecalciferol 50 000 international units tablet, valsartan 80 mg tablet, colecalciferol 50 000 international units tablet, valsartan 80 mg tablet, colecalciferol 50 000 international units tablet, amLODIPine 5 mg tablet, amLODIPine 5 mg tablet, amLODIPine 5 mg tablet, amLODIPine 5 mg tablet, amLODIPine 5 mg tablet, paracetamol 500 mg tablet, atorvastatin 10 mg tablet, paracetamol 500 mg tablet, atorvastatin 10 mg tablet, paracetamol 500 mg tablet, atorvastatin 10 mg tablet, paracetamol 500 mg tablet, atorvastatin 10 mg tablet, paracetamol 500 mg tablet, atorvastatin 10 mg tablet, atorvastatin 10 mg tablet, atorvastatin 10 mg tablet, atorvastatin 10 mg tablet, atorvastatin 10 mg tablet, atorvastatin 10 mg tablet, amLODIPine 5 mg tablet, colecalciferol 50 000 international units tablet, amLODIPine 5 mg tablet, colecalciferol 50 000 international units tablet, amLODIPine 5 mg tablet, colecalciferol 50 000 international units tablet, amLODIPine 5 mg tablet, colecalciferol 50 000 international units tablet, amLODIPine 5 mg tablet, colecalciferol 50 000 international units tablet, colecalciferol 50 000 international units tablet, paracetamol 500 mg tablet, colecalciferol 50 000 international units tablet, paracetamol 500 mg tablet, colecalciferol 50 000 international units tablet, paracetamol 500 mg tablet, colecalciferol 50 000 international units tablet, paracetamol 500 mg tablet, colecalciferol 50 000 international units tablet, paracetamol 500 mg tablet, amLODIPine 5 mg tablet, amLODIPine 5 mg tablet, amLODIPine 5 mg tablet, amLODIPine 5 mg tablet, amLODIPine 5 mg tablet, atorvastatin 10 mg tablet, atorvastatin 10 mg tablet, atorvastatin 10 mg tablet, atorvastatin 10 mg tablet, atorvastatin 10 mg tablet, valsartan 80 mg tablet, valsartan 80 mg tablet, valsartan 80 mg tablet, valsartan 80 mg tablet, valsartan 80 mg tablet</t>
  </si>
  <si>
    <t>Dyslipidemia, Hypertension, Vitamins/Supplements</t>
  </si>
  <si>
    <t>فاطمه حضيرم علي سلمان الحربي</t>
  </si>
  <si>
    <t>colecalciferol, rosuvastatin</t>
  </si>
  <si>
    <t>colecalciferol 50 000 international units tablet, colecalciferol 50 000 international units tablet, colecalciferol 50 000 international units tablet, colecalciferol 50 000 international units tablet, colecalciferol 50 000 international units tablet, rosuvastatin 10 mg tablet, colecalciferol 50 000 international units tablet, rosuvastatin 10 mg tablet, colecalciferol 50 000 international units tablet, rosuvastatin 10 mg tablet, colecalciferol 50 000 international units tablet, rosuvastatin 10 mg tablet, rosuvastatin 10 mg tablet, rosuvastatin 10 mg tablet, rosuvastatin 10 mg tablet, rosuvastatin 10 mg tablet, colecalciferol 50 000 international units tablet, colecalciferol 50 000 international units tablet, colecalciferol 50 000 international units tablet, colecalciferol 50 000 international units tablet, rosuvastatin 10 mg tablet, rosuvastatin 10 mg tablet, rosuvastatin 10 mg tablet, rosuvastatin 10 mg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rosuvastatin 10 mg tablet, rosuvastatin 10 mg tablet, rosuvastatin 10 mg tablet, rosuvastatin 10 mg tablet, colecalciferol 50 000 international units tablet, colecalciferol 50 000 international units tablet, colecalciferol 50 000 international units tablet, colecalciferol 50 000 international units tablet</t>
  </si>
  <si>
    <t>Dyslipidemia, Vitamins/Supplements</t>
  </si>
  <si>
    <t>DLP meds match</t>
  </si>
  <si>
    <t>خيريه صالح علي البهلولي</t>
  </si>
  <si>
    <t>paraffin soft white ointment, tube</t>
  </si>
  <si>
    <t>paraffin soft white ointment, tube, paraffin soft white ointment, tube, paraffin soft white ointment, tube, paraffin soft white ointment, tube, paraffin soft white ointment, tube, paraffin soft white ointment, tube, paraffin soft white ointment, tube, paraffin soft white ointment, tube, paraffin soft white ointment, tube</t>
  </si>
  <si>
    <t>DM meds needed; HTN meds needed</t>
  </si>
  <si>
    <t>منور صابر بازرباي الانديجاني</t>
  </si>
  <si>
    <t>diclofenac sodium</t>
  </si>
  <si>
    <t>diclofenac sodium 1% (10 mg/g) gel, diclofenac sodium 1% (10 mg/g) gel, diclofenac sodium 1% (10 mg/g) gel, diclofenac sodium 1% (10 mg/g) gel, diclofenac sodium 1% (10 mg/g) gel, diclofenac sodium 1% (10 mg/g) gel</t>
  </si>
  <si>
    <t>DM meds needed</t>
  </si>
  <si>
    <t>عفاف عوض بن مختار الماحي</t>
  </si>
  <si>
    <t>olopatadine</t>
  </si>
  <si>
    <t>olopatadine 0.2% (2 mg/mL) eye drops, olopatadine 0.2% (2 mg/mL) eye drops, olopatadine 0.2% (2 mg/mL) eye drops, olopatadine 0.2% (2 mg/mL) eye drops, olopatadine 0.2% (2 mg/mL) eye drops, olopatadine 0.2% (2 mg/mL) eye drops</t>
  </si>
  <si>
    <t>عائشه صالح سراج فران</t>
  </si>
  <si>
    <t>vitamin B complex (B, B, rosuvastatin, metFORMIN hydrochloride, insulin glargine, paracetamol, empagliflozin, omeprazole, valsartan, calcium carbonate</t>
  </si>
  <si>
    <t>vitamin B complex (B1,B6,B12) 100,200,0.2 mg Film coated tablets [oral], rosuvastatin 20 mg tablet, metFORMIN hydrochloride 500 mg tablet, insulin glargine 300 international units/mL injection, 1.5 mL prefilled pen, paracetamol 500 mg tablet, empagliflozin 25 mg tablet, vitamin B complex (B1,B6,B12) 100,200,0.2 mg Film coated tablets [oral], rosuvastatin 20 mg tablet, metFORMIN hydrochloride 500 mg tablet, insulin glargine 300 international units/mL injection, 1.5 mL prefilled pen, paracetamol 500 mg tablet, empagliflozin 25 mg tablet, vitamin B complex (B1,B6,B12) 100,200,0.2 mg Film coated tablets [oral], rosuvastatin 20 mg tablet, metFORMIN hydrochloride 500 mg tablet, insulin glargine 300 international units/mL injection, 1.5 mL prefilled pen, paracetamol 500 mg tablet, empagliflozin 25 mg tablet, vitamin B complex (B1,B6,B12) 100,200,0.2 mg Film coated tablets [oral], rosuvastatin 20 mg tablet, metFORMIN hydrochloride 500 mg tablet, insulin glargine 300 international units/mL injection, 1.5 mL prefilled pen, paracetamol 500 mg tablet, empagliflozin 25 mg tablet, vitamin B complex (B1,B6,B12) 100,200,0.2 mg Film coated tablets [oral], rosuvastatin 20 mg tablet, metFORMIN hydrochloride 500 mg tablet, insulin glargine 300 international units/mL injection, 1.5 mL prefilled pen, paracetamol 500 mg tablet, empagliflozin 25 mg tablet, vitamin B complex (B1,B6,B12) 100,200,0.2 mg Film coated tablets [oral], rosuvastatin 20 mg tablet, metFORMIN hydrochloride 500 mg tablet, insulin glargine 300 international units/mL injection, 1.5 mL prefilled pen, paracetamol 500 mg tablet, empagliflozin 25 mg tablet, omeprazole 20 mg tablet: enteric coated, omeprazole 20 mg tablet: enteric coated, omeprazole 20 mg tablet: enteric coated, omeprazole 20 mg tablet: enteric coated, omeprazole 20 mg tablet: enteric coated, omeprazole 20 mg tablet: enteric coated, valsartan 80 mg tablet, calcium carbonate 600 mg - colecalciferol 200 international units Film coated tablets [oral], valsartan 80 mg tablet, calcium carbonate 600 mg - colecalciferol 200 international units Film coated tablets [oral], valsartan 80 mg tablet, calcium carbonate 600 mg - colecalciferol 200 international units Film coated tablets [oral], valsartan 80 mg tablet, calcium carbonate 600 mg - colecalciferol 200 international units Film coated tablets [oral], valsartan 80 mg tablet, calcium carbonate 600 mg - colecalciferol 200 international units Film coated tablets [oral], valsartan 80 mg tablet, calcium carbonate 600 mg - colecalciferol 200 international units Film coated tablets [oral], indapamide 1.5 mg tablet: modified release, indapamide 1.5 mg tablet: modified release, indapamide 1.5 mg tablet: modified release, indapamide 1.5 mg tablet: modified release, indapamide 1.5 mg tablet: modified release, indapamide 1.5 mg tablet: modified release, amLODIPine 5 mg tablet, bisoprolol fumarate 5 mg tablet, gliclazide 60 mg tablet: modified release, amLODIPine 5 mg tablet, bisoprolol fumarate 5 mg tablet, gliclazide 60 mg tablet: modified release, amLODIPine 5 mg tablet, bisoprolol fumarate 5 mg tablet, gliclazide 60 mg tablet: modified release, amLODIPine 5 mg tablet, bisoprolol fumarate 5 mg tablet, gliclazide 60 mg tablet: modified release, amLODIPine 5 mg tablet, bisoprolol fumarate 5 mg tablet, gliclazide 60 mg tablet: modified release, amLODIPine 5 mg tablet, bisoprolol fumarate 5 mg tablet, gliclazide 60 mg tablet: modified release, amLODIPine 5 mg tablet, rosuvastatin 20 mg tablet, amLODIPine 5 mg tablet, rosuvastatin 20 mg tablet, amLODIPine 5 mg tablet, rosuvastatin 20 mg tablet, amLODIPine 5 mg tablet, rosuvastatin 20 mg tablet, amLODIPine 5 mg tablet, rosuvastatin 20 mg tablet, amLODIPine 5 mg tablet, rosuvastatin 20 mg tablet, vitamin B complex (B1,B6,B12) 100,200,0.2 mg Film coated tablets [oral], empagliflozin 25 mg tablet, omeprazole 20 mg tablet: enteric coated, metFORMIN hydrochloride 500 mg tablet, calcium carbonate 600 mg - colecalciferol 200 international units Film coated tablets [oral], paracetamol 500 mg tablet, vitamin B complex (B1,B6,B12) 100,200,0.2 mg Film coated tablets [oral], empagliflozin 25 mg tablet, omeprazole 20 mg tablet: enteric coated, metFORMIN hydrochloride 500 mg tablet, calcium carbonate 600 mg - colecalciferol 200 international units Film coated tablets [oral], paracetamol 500 mg tablet, vitamin B complex (B1,B6,B12) 100,200,0.2 mg Film coated tablets [oral], empagliflozin 25 mg tablet, omeprazole 20 mg tablet: enteric coated, metFORMIN hydrochloride 500 mg tablet, calcium carbonate 600 mg - colecalciferol 200 international units Film coated tablets [oral], paracetamol 500 mg tablet, vitamin B complex (B1,B6,B12) 100,200,0.2 mg Film coated tablets [oral], empagliflozin 25 mg tablet, omeprazole 20 mg tablet: enteric coated, metFORMIN hydrochloride 500 mg tablet, calcium carbonate 600 mg - colecalciferol 200 international units Film coated tablets [oral], paracetamol 500 mg tablet, vitamin B complex (B1,B6,B12) 100,200,0.2 mg Film coated tablets [oral], empagliflozin 25 mg tablet, omeprazole 20 mg tablet: enteric coated, metFORMIN hydrochloride 500 mg tablet, calcium carbonate 600 mg - colecalciferol 200 international units Film coated tablets [oral], paracetamol 500 mg tablet, vitamin B complex (B1,B6,B12) 100,200,0.2 mg Film coated tablets [oral], empagliflozin 25 mg tablet, omeprazole 20 mg tablet: enteric coated, metFORMIN hydrochloride 500 mg tablet, calcium carbonate 600 mg - colecalciferol 200 international units Film coated tablets [oral], paracetamol 500 mg tablet, gliclazide 60 mg tablet: modified release, gliclazide 60 mg tablet: modified release, gliclazide 60 mg tablet: modified release, gliclazide 60 mg tablet: modified release, gliclazide 60 mg tablet: modified release, gliclazide 60 mg tablet: modified release, insulin glargine 300 international units/mL injection, 1.5 mL prefilled pen, valsartan 80 mg tablet, insulin glargine 300 international units/mL injection, 1.5 mL prefilled pen, valsartan 80 mg tablet, insulin glargine 300 international units/mL injection, 1.5 mL prefilled pen, valsartan 80 mg tablet, insulin glargine 300 international units/mL injection, 1.5 mL prefilled pen, valsartan 80 mg tablet, insulin glargine 300 international units/mL injection, 1.5 mL prefilled pen, valsartan 80 mg tablet, insulin glargine 300 international units/mL injection, 1.5 mL prefilled pen, valsartan 80 mg tablet, bisoprolol fumarate 5 mg tablet, indapamide 1.5 mg tablet: modified release, bisoprolol fumarate 5 mg tablet, indapamide 1.5 mg tablet: modified release, bisoprolol fumarate 5 mg tablet, indapamide 1.5 mg tablet: modified release, bisoprolol fumarate 5 mg tablet, indapamide 1.5 mg tablet: modified release, bisoprolol fumarate 5 mg tablet, indapamide 1.5 mg tablet: modified release, bisoprolol fumarate 5 mg tablet, indapamide 1.5 mg tablet: modified release, amLODIPine 5 mg tablet, paracetamol 500 mg tablet, rosuvastatin 20 mg tablet, amLODIPine 5 mg tablet, paracetamol 500 mg tablet, rosuvastatin 20 mg tablet, amLODIPine 5 mg tablet, paracetamol 500 mg tablet, rosuvastatin 20 mg tablet, amLODIPine 5 mg tablet, paracetamol 500 mg tablet, rosuvastatin 20 mg tablet, amLODIPine 5 mg tablet, paracetamol 500 mg tablet, rosuvastatin 20 mg tablet, amLODIPine 5 mg tablet, paracetamol 500 mg tablet, rosuvastatin 20 mg tablet, bisoprolol fumarate 5 mg tablet, gliclazide 60 mg tablet: modified release, indapamide 1.5 mg tablet: modified release, bisoprolol fumarate 5 mg tablet, gliclazide 60 mg tablet: modified release, indapamide 1.5 mg tablet: modified release, bisoprolol fumarate 5 mg tablet, gliclazide 60 mg tablet: modified release, indapamide 1.5 mg tablet: modified release, bisoprolol fumarate 5 mg tablet, gliclazide 60 mg tablet: modified release, indapamide 1.5 mg tablet: modified release, bisoprolol fumarate 5 mg tablet, gliclazide 60 mg tablet: modified release, indapamide 1.5 mg tablet: modified release, bisoprolol fumarate 5 mg tablet, gliclazide 60 mg tablet: modified release, indapamide 1.5 mg tablet: modified release, empagliflozin 25 mg tablet, valsartan 80 mg tablet, empagliflozin 25 mg tablet, valsartan 80 mg tablet, empagliflozin 25 mg tablet, valsartan 80 mg tablet, empagliflozin 25 mg tablet, valsartan 80 mg tablet, empagliflozin 25 mg tablet, valsartan 80 mg tablet, empagliflozin 25 mg tablet, valsartan 80 mg tablet, insulin glargine 300 international units/mL injection, 1.5 mL prefilled pen, vitamin B complex (B1,B6,B12) 100,200,0.2 mg Film coated tablets [oral], insulin glargine 300 international units/mL injection, 1.5 mL prefilled pen, vitamin B complex (B1,B6,B12) 100,200,0.2 mg Film coated tablets [oral], insulin glargine 300 international units/mL injection, 1.5 mL prefilled pen, vitamin B complex (B1,B6,B12) 100,200,0.2 mg Film coated tablets [oral], insulin glargine 300 international units/mL injection, 1.5 mL prefilled pen, vitamin B complex (B1,B6,B12) 100,200,0.2 mg Film coated tablets [oral], insulin glargine 300 international units/mL injection, 1.5 mL prefilled pen, vitamin B complex (B1,B6,B12) 100,200,0.2 mg Film coated tablets [oral], insulin glargine 300 international units/mL injection, 1.5 mL prefilled pen, vitamin B complex (B1,B6,B12) 100,200,0.2 mg Film coated tablets [oral], metFORMIN hydrochloride 500 mg tablet, calcium carbonate 600 mg - colecalciferol 200 international units Film coated tablets [oral], metFORMIN hydrochloride 500 mg tablet, calcium carbonate 600 mg - colecalciferol 200 international units Film coated tablets [oral], metFORMIN hydrochloride 500 mg tablet, calcium carbonate 600 mg - colecalciferol 200 international units Film coated tablets [oral], metFORMIN hydrochloride 500 mg tablet, calcium carbonate 600 mg - colecalciferol 200 international units Film coated tablets [oral], metFORMIN hydrochloride 500 mg tablet, calcium carbonate 600 mg - colecalciferol 200 international units Film coated tablets [oral], metFORMIN hydrochloride 500 mg tablet, calcium carbonate 600 mg - colecalciferol 200 international units Film coated tablets [oral], omeprazole 20 mg tablet: enteric coated, omeprazole 20 mg tablet: enteric coated, omeprazole 20 mg tablet: enteric coated, omeprazole 20 mg tablet: enteric coated, omeprazole 20 mg tablet: enteric coated, omeprazole 20 mg tablet: enteric coated</t>
  </si>
  <si>
    <t>Diabetes, Dyslipidemia, GI/PPI, Hypertension, Vitamins/Supplements</t>
  </si>
  <si>
    <t>فريجه محمد عبدالله سويد</t>
  </si>
  <si>
    <t>ferrous sulfate</t>
  </si>
  <si>
    <t>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t>
  </si>
  <si>
    <t>عباس فيصل عباس حلواني</t>
  </si>
  <si>
    <t>metFORMIN hydrochloride, vitamin B complex (B, B, calcium (as carbonate), colecalciferol</t>
  </si>
  <si>
    <t>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calcium (as carbonate) 600 mg tablet, calcium (as carbonate) 600 mg tablet, calcium (as carbonate) 600 mg tablet, calcium (as carbonate) 600 mg tablet, colecalciferol 50 000 international units tablet, colecalciferol 50 000 international units tablet, colecalciferol 50 000 international units tablet, colecalciferol 50 000 international units tablet, metFORMIN hydrochloride 500 mg tablet, metFORMIN hydrochloride 500 mg tablet, metFORMIN hydrochloride 500 mg tablet, metFORMIN hydrochloride 500 mg tablet, colecalciferol 50 000 international units tablet, vitamin B complex (B1,B6,B12) 100,200,0.2 mg Film coated tablets [oral], colecalciferol 50 000 international units tablet, vitamin B complex (B1,B6,B12) 100,200,0.2 mg Film coated tablets [oral], colecalciferol 50 000 international units tablet, vitamin B complex (B1,B6,B12) 100,200,0.2 mg Film coated tablets [oral], colecalciferol 50 000 international units tablet, vitamin B complex (B1,B6,B12) 100,200,0.2 mg Film coated tablets [oral], calcium (as carbonate) 600 mg tablet, calcium (as carbonate) 600 mg tablet, calcium (as carbonate) 600 mg tablet, calcium (as carbonate) 600 mg tablet</t>
  </si>
  <si>
    <t>DM meds match</t>
  </si>
  <si>
    <t>بندر يحي مفرح الزهراني</t>
  </si>
  <si>
    <t>valsartan, amLODIPine, atorvastatin</t>
  </si>
  <si>
    <t>valsartan 80 mg tablet, valsartan 80 mg tablet, valsartan 80 mg tablet, valsartan 80 mg tablet, amLODIPine 10 mg capsule, amLODIPine 10 mg capsule, amLODIPine 10 mg capsule, amLODIPine 10 mg capsule, atorvastatin 20 mg tablet, atorvastatin 20 mg tablet, atorvastatin 20 mg tablet, atorvastatin 20 mg tablet, valsartan 80 mg tablet, valsartan 80 mg tablet, valsartan 80 mg tablet, valsartan 80 mg tablet, valsartan 80 mg tablet, valsartan 80 mg tablet, valsartan 80 mg tablet, valsartan 80 mg tablet, atorvastatin 20 mg tablet, amLODIPine 10 mg capsule, atorvastatin 20 mg tablet, amLODIPine 10 mg capsule, atorvastatin 20 mg tablet, amLODIPine 10 mg capsule, atorvastatin 20 mg tablet, amLODIPine 10 mg capsule, amLODIPine 10 mg capsule, valsartan 80 mg tablet, amLODIPine 10 mg capsule, valsartan 80 mg tablet, amLODIPine 10 mg capsule, valsartan 80 mg tablet, amLODIPine 10 mg capsule, valsartan 80 mg tablet, atorvastatin 20 mg tablet, atorvastatin 20 mg tablet, atorvastatin 20 mg tablet, atorvastatin 20 mg tablet, atorvastatin 20 mg tablet, atorvastatin 20 mg tablet, atorvastatin 20 mg tablet, atorvastatin 20 mg tablet, valsartan 80 mg tablet, amLODIPine 10 mg capsule, valsartan 80 mg tablet, amLODIPine 10 mg capsule, valsartan 80 mg tablet, amLODIPine 10 mg capsule, valsartan 80 mg tablet, amLODIPine 10 mg capsule, atorvastatin 20 mg tablet, atorvastatin 20 mg tablet, atorvastatin 20 mg tablet, atorvastatin 20 mg tablet, valsartan 80 mg tablet, amLODIPine 10 mg capsule, valsartan 80 mg tablet, amLODIPine 10 mg capsule, valsartan 80 mg tablet, amLODIPine 10 mg capsule, valsartan 80 mg tablet, amLODIPine 10 mg capsule, amLODIPine 10 mg capsule, amLODIPine 10 mg capsule, amLODIPine 10 mg capsule, amLODIPine 10 mg capsule, atorvastatin 20 mg tablet, atorvastatin 20 mg tablet, atorvastatin 20 mg tablet, atorvastatin 20 mg tablet, valsartan 80 mg tablet, valsartan 80 mg tablet, valsartan 80 mg tablet, valsartan 80 mg tablet, amLODIPine 10 mg capsule, amLODIPine 10 mg capsule, amLODIPine 10 mg capsule, amLODIPine 10 mg capsule, atorvastatin 20 mg tablet, valsartan 80 mg tablet, atorvastatin 20 mg tablet, valsartan 80 mg tablet, atorvastatin 20 mg tablet, valsartan 80 mg tablet, atorvastatin 20 mg tablet, valsartan 80 mg tablet, valsartan 80 mg tablet, valsartan 80 mg tablet, valsartan 80 mg tablet, valsartan 80 mg tablet</t>
  </si>
  <si>
    <t>Dyslipidemia, Hypertension</t>
  </si>
  <si>
    <t>عطيه عطيه حميد المالكي</t>
  </si>
  <si>
    <t>metFORMIN hydrochloride</t>
  </si>
  <si>
    <t>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t>
  </si>
  <si>
    <t>Diabetes</t>
  </si>
  <si>
    <t>DM meds match; HTN meds needed; DLP meds needed</t>
  </si>
  <si>
    <t>احمد بن موسى بن عبدالله المالكي</t>
  </si>
  <si>
    <t>chlorhexidine gluconate</t>
  </si>
  <si>
    <t>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t>
  </si>
  <si>
    <t>شريفه عضوان علي العسيري</t>
  </si>
  <si>
    <t>امينه احمد عبدالسميع محمد</t>
  </si>
  <si>
    <t>hyoscine butylbromide</t>
  </si>
  <si>
    <t>hyoscine butylbromide 10 mg tablet, hyoscine butylbromide 10 mg tablet, hyoscine butylbromide 10 mg tablet, hyoscine butylbromide 10 mg tablet, hyoscine butylbromide 10 mg tablet, hyoscine butylbromide 10 mg tablet</t>
  </si>
  <si>
    <t>نبيل عباس حسين مؤمنه</t>
  </si>
  <si>
    <t>empagliflozin, diclofenac sodium</t>
  </si>
  <si>
    <t>empagliflozin 10 mg tablet, empagliflozin 10 mg tablet, empagliflozin 10 mg tablet, empagliflozin 10 mg tablet, empagliflozin 10 mg tablet, empagliflozin 10 mg tablet, empagliflozin 10 mg tablet, empagliflozin 10 mg tablet,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empagliflozin 10 mg tablet, empagliflozin 10 mg tablet, empagliflozin 10 mg tablet, empagliflozin 10 mg tablet</t>
  </si>
  <si>
    <t>DM meds match; DLP meds needed</t>
  </si>
  <si>
    <t>اعتماد بنت عمر بن سالم ابوالخيور</t>
  </si>
  <si>
    <t>omeprazole</t>
  </si>
  <si>
    <t>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t>
  </si>
  <si>
    <t>GI/PPI</t>
  </si>
  <si>
    <t>محمد احمد محمد سندى</t>
  </si>
  <si>
    <t>amLODIPine, metFORMIN hydrochloride, valsartan</t>
  </si>
  <si>
    <t>amLODIPine 10 mg capsule, amLODIPine 10 mg capsule, amLODIPine 10 mg capsule, amLODIPine 10 mg capsule, amLODIPine 10 mg capsule, amLODIPine 10 mg capsule, metFORMIN hydrochloride 500 mg tablet, valsartan 80 mg tablet, metFORMIN hydrochloride 500 mg tablet, valsartan 80 mg tablet, metFORMIN hydrochloride 500 mg tablet, valsartan 80 mg tablet, metFORMIN hydrochloride 500 mg tablet, valsartan 80 mg tablet, metFORMIN hydrochloride 500 mg tablet, valsartan 80 mg tablet, metFORMIN hydrochloride 500 mg tablet, valsartan 80 mg tablet, metFORMIN hydrochloride 500 mg tablet, metFORMIN hydrochloride 500 mg tablet, metFORMIN hydrochloride 500 mg tablet, metFORMIN hydrochloride 500 mg tablet, metFORMIN hydrochloride 500 mg tablet, metFORMIN hydrochloride 500 mg tablet, amLODIPine 10 mg capsule, amLODIPine 10 mg capsule, amLODIPine 10 mg capsule, amLODIPine 10 mg capsule, amLODIPine 10 mg capsule, amLODIPine 10 mg capsule, valsartan 80 mg tablet, valsartan 80 mg tablet, valsartan 80 mg tablet, valsartan 80 mg tablet, valsartan 80 mg tablet, valsartan 80 mg tablet, metFORMIN hydrochloride 500 mg tablet, metFORMIN hydrochloride 500 mg tablet, metFORMIN hydrochloride 500 mg tablet, metFORMIN hydrochloride 500 mg tablet, metFORMIN hydrochloride 500 mg tablet, metFORMIN hydrochloride 500 mg tablet, amLODIPine 10 mg capsule, valsartan 80 mg tablet, amLODIPine 10 mg capsule, valsartan 80 mg tablet, amLODIPine 10 mg capsule, valsartan 80 mg tablet, amLODIPine 10 mg capsule, valsartan 80 mg tablet, amLODIPine 10 mg capsule, valsartan 80 mg tablet, amLODIPine 10 mg capsule, valsartan 80 mg tablet</t>
  </si>
  <si>
    <t>سعيد بن عطيه بن سعيد الغامدي</t>
  </si>
  <si>
    <t>valsartan, atorvastatin, meloxicam, tamsulosin hydrochloride, clopidogrel, diclofenac sodium</t>
  </si>
  <si>
    <t>valsartan 80 mg tablet, valsartan 80 mg tablet, valsartan 80 mg tablet, valsartan 80 mg tablet, valsartan 80 mg tablet, valsartan 80 mg tablet, valsartan 80 mg tablet, atorvastatin 20 mg tablet, atorvastatin 20 mg tablet, atorvastatin 20 mg tablet, atorvastatin 20 mg tablet, atorvastatin 20 mg tablet, atorvastatin 20 mg tablet, atorvastatin 20 mg tablet, meloxicam 15 mg tablet, tamsulosin hydrochloride 400 microgram tablet: modified release, meloxicam 15 mg tablet, tamsulosin hydrochloride 400 microgram tablet: modified release, meloxicam 15 mg tablet, tamsulosin hydrochloride 400 microgram tablet: modified release, meloxicam 15 mg tablet, tamsulosin hydrochloride 400 microgram tablet: modified release, meloxicam 15 mg tablet, tamsulosin hydrochloride 400 microgram tablet: modified release, meloxicam 15 mg tablet, tamsulosin hydrochloride 400 microgram tablet: modified release, meloxicam 15 mg tablet, tamsulosin hydrochloride 400 microgram tablet: modified release, atorvastatin 20 mg tablet, clopidogrel 75 mg tablet, diclofenac sodium 1% (10 mg/g) gel, atorvastatin 20 mg tablet, clopidogrel 75 mg tablet, diclofenac sodium 1% (10 mg/g) gel, atorvastatin 20 mg tablet, clopidogrel 75 mg tablet, diclofenac sodium 1% (10 mg/g) gel, atorvastatin 20 mg tablet, clopidogrel 75 mg tablet, diclofenac sodium 1% (10 mg/g) gel, atorvastatin 20 mg tablet, clopidogrel 75 mg tablet, diclofenac sodium 1% (10 mg/g) gel, atorvastatin 20 mg tablet, clopidogrel 75 mg tablet, diclofenac sodium 1% (10 mg/g) gel, atorvastatin 20 mg tablet, clopidogrel 75 mg tablet, diclofenac sodium 1% (10 mg/g) gel, meloxicam 15 mg tablet, meloxicam 15 mg tablet, meloxicam 15 mg tablet, meloxicam 15 mg tablet, meloxicam 15 mg tablet, meloxicam 15 mg tablet, meloxicam 15 mg tablet, tamsulosin hydrochloride 400 microgram tablet: modified release, tamsulosin hydrochloride 400 microgram tablet: modified release, tamsulosin hydrochloride 400 microgram tablet: modified release, tamsulosin hydrochloride 400 microgram tablet: modified release, tamsulosin hydrochloride 400 microgram tablet: modified release, tamsulosin hydrochloride 400 microgram tablet: modified release, tamsulosin hydrochloride 400 microgram tablet: modified release, valsartan 80 mg tablet, valsartan 80 mg tablet, valsartan 80 mg tablet, valsartan 80 mg tablet, valsartan 80 mg tablet, valsartan 80 mg tablet, valsartan 80 mg tablet, clopidogrel 75 mg tablet, clopidogrel 75 mg tablet, clopidogrel 75 mg tablet, clopidogrel 75 mg tablet, clopidogrel 75 mg tablet, clopidogrel 75 mg tablet, clopidogrel 75 mg tablet, meloxicam 15 mg tablet, atorvastatin 20 mg tablet, meloxicam 15 mg tablet, atorvastatin 20 mg tablet, meloxicam 15 mg tablet, atorvastatin 20 mg tablet, meloxicam 15 mg tablet, atorvastatin 20 mg tablet, meloxicam 15 mg tablet, atorvastatin 20 mg tablet, meloxicam 15 mg tablet, atorvastatin 20 mg tablet, meloxicam 15 mg tablet, atorvastatin 20 mg tablet, diclofenac sodium 1% (10 mg/g) gel, tamsulosin hydrochloride 400 microgram tablet: modified release, diclofenac sodium 1% (10 mg/g) gel, tamsulosin hydrochloride 400 microgram tablet: modified release, diclofenac sodium 1% (10 mg/g) gel, tamsulosin hydrochloride 400 microgram tablet: modified release, diclofenac sodium 1% (10 mg/g) gel, tamsulosin hydrochloride 400 microgram tablet: modified release, diclofenac sodium 1% (10 mg/g) gel, tamsulosin hydrochloride 400 microgram tablet: modified release, diclofenac sodium 1% (10 mg/g) gel, tamsulosin hydrochloride 400 microgram tablet: modified release, diclofenac sodium 1% (10 mg/g) gel, tamsulosin hydrochloride 400 microgram tablet: modified release, valsartan 80 mg tablet, valsartan 80 mg tablet, valsartan 80 mg tablet, valsartan 80 mg tablet, valsartan 80 mg tablet, valsartan 80 mg tablet, valsartan 80 mg tablet, diclofenac sodium 1% (10 mg/g) gel, diclofenac sodium 1% (10 mg/g) gel, diclofenac sodium 1% (10 mg/g) gel, diclofenac sodium 1% (10 mg/g) gel, diclofenac sodium 1% (10 mg/g) gel, diclofenac sodium 1% (10 mg/g) gel, diclofenac sodium 1% (10 mg/g) gel, clopidogrel 75 mg tablet, atorvastatin 20 mg tablet, clopidogrel 75 mg tablet, atorvastatin 20 mg tablet, clopidogrel 75 mg tablet, atorvastatin 20 mg tablet, clopidogrel 75 mg tablet, atorvastatin 20 mg tablet, clopidogrel 75 mg tablet, atorvastatin 20 mg tablet, clopidogrel 75 mg tablet, atorvastatin 20 mg tablet, clopidogrel 75 mg tablet, atorvastatin 20 mg tablet, valsartan 80 mg tablet, meloxicam 15 mg tablet, valsartan 80 mg tablet, meloxicam 15 mg tablet, valsartan 80 mg tablet, meloxicam 15 mg tablet, valsartan 80 mg tablet, meloxicam 15 mg tablet, valsartan 80 mg tablet, meloxicam 15 mg tablet, valsartan 80 mg tablet, meloxicam 15 mg tablet, valsartan 80 mg tablet, meloxicam 15 mg tablet, tamsulosin hydrochloride 400 microgram tablet: modified release, tamsulosin hydrochloride 400 microgram tablet: modified release, tamsulosin hydrochloride 400 microgram tablet: modified release, tamsulosin hydrochloride 400 microgram tablet: modified release, tamsulosin hydrochloride 400 microgram tablet: modified release, tamsulosin hydrochloride 400 microgram tablet: modified release, tamsulosin hydrochloride 400 microgram tablet: modified release, atorvastatin 20 mg tablet, atorvastatin 20 mg tablet, atorvastatin 20 mg tablet, atorvastatin 20 mg tablet, atorvastatin 20 mg tablet, atorvastatin 20 mg tablet, atorvastatin 20 mg tablet, clopidogrel 75 mg tablet, diclofenac sodium 1% (10 mg/g) gel, clopidogrel 75 mg tablet, diclofenac sodium 1% (10 mg/g) gel, clopidogrel 75 mg tablet, diclofenac sodium 1% (10 mg/g) gel, clopidogrel 75 mg tablet, diclofenac sodium 1% (10 mg/g) gel, clopidogrel 75 mg tablet, diclofenac sodium 1% (10 mg/g) gel, clopidogrel 75 mg tablet, diclofenac sodium 1% (10 mg/g) gel, clopidogrel 75 mg tablet, diclofenac sodium 1% (10 mg/g) gel, valsartan 80 mg tablet, tamsulosin hydrochloride 400 microgram tablet: modified release, meloxicam 15 mg tablet, valsartan 80 mg tablet, tamsulosin hydrochloride 400 microgram tablet: modified release, meloxicam 15 mg tablet, valsartan 80 mg tablet, tamsulosin hydrochloride 400 microgram tablet: modified release, meloxicam 15 mg tablet, valsartan 80 mg tablet, tamsulosin hydrochloride 400 microgram tablet: modified release, meloxicam 15 mg tablet, valsartan 80 mg tablet, tamsulosin hydrochloride 400 microgram tablet: modified release, meloxicam 15 mg tablet, valsartan 80 mg tablet, tamsulosin hydrochloride 400 microgram tablet: modified release, meloxicam 15 mg tablet, valsartan 80 mg tablet, tamsulosin hydrochloride 400 microgram tablet: modified release, meloxicam 15 mg tablet, clopidogrel 75 mg tablet, clopidogrel 75 mg tablet, clopidogrel 75 mg tablet, clopidogrel 75 mg tablet, clopidogrel 75 mg tablet, clopidogrel 75 mg tablet, clopidogrel 75 mg tablet, tamsulosin hydrochloride 400 microgram tablet: modified release, atorvastatin 20 mg tablet, meloxicam 15 mg tablet, diclofenac sodium 1% (10 mg/g) gel, tamsulosin hydrochloride 400 microgram tablet: modified release, atorvastatin 20 mg tablet, meloxicam 15 mg tablet, diclofenac sodium 1% (10 mg/g) gel, tamsulosin hydrochloride 400 microgram tablet: modified release, atorvastatin 20 mg tablet, meloxicam 15 mg tablet, diclofenac sodium 1% (10 mg/g) gel, tamsulosin hydrochloride 400 microgram tablet: modified release, atorvastatin 20 mg tablet, meloxicam 15 mg tablet, diclofenac sodium 1% (10 mg/g) gel, tamsulosin hydrochloride 400 microgram tablet: modified release, atorvastatin 20 mg tablet, meloxicam 15 mg tablet, diclofenac sodium 1% (10 mg/g) gel, tamsulosin hydrochloride 400 microgram tablet: modified release, atorvastatin 20 mg tablet, meloxicam 15 mg tablet, diclofenac sodium 1% (10 mg/g) gel, tamsulosin hydrochloride 400 microgram tablet: modified release, atorvastatin 20 mg tablet, meloxicam 15 mg tablet, diclofenac sodium 1% (10 mg/g) gel, valsartan 80 mg tablet, valsartan 80 mg tablet, valsartan 80 mg tablet, valsartan 80 mg tablet, valsartan 80 mg tablet, valsartan 80 mg tablet, valsartan 80 mg tablet, diclofenac sodium 1% (10 mg/g) gel, diclofenac sodium 1% (10 mg/g) gel, diclofenac sodium 1% (10 mg/g) gel, diclofenac sodium 1% (10 mg/g) gel, diclofenac sodium 1% (10 mg/g) gel, diclofenac sodium 1% (10 mg/g) gel, diclofenac sodium 1% (10 mg/g) gel, tamsulosin hydrochloride 400 microgram tablet: modified release, valsartan 80 mg tablet, atorvastatin 20 mg tablet, meloxicam 15 mg tablet, tamsulosin hydrochloride 400 microgram tablet: modified release, valsartan 80 mg tablet, atorvastatin 20 mg tablet, meloxicam 15 mg tablet, tamsulosin hydrochloride 400 microgram tablet: modified release, valsartan 80 mg tablet, atorvastatin 20 mg tablet, meloxicam 15 mg tablet, tamsulosin hydrochloride 400 microgram tablet: modified release, valsartan 80 mg tablet, atorvastatin 20 mg tablet, meloxicam 15 mg tablet, tamsulosin hydrochloride 400 microgram tablet: modified release, valsartan 80 mg tablet, atorvastatin 20 mg tablet, meloxicam 15 mg tablet, tamsulosin hydrochloride 400 microgram tablet: modified release, valsartan 80 mg tablet, atorvastatin 20 mg tablet, meloxicam 15 mg tablet, tamsulosin hydrochloride 400 microgram tablet: modified release, valsartan 80 mg tablet, atorvastatin 20 mg tablet, meloxicam 15 mg tablet, clopidogrel 75 mg tablet, clopidogrel 75 mg tablet, clopidogrel 75 mg tablet, clopidogrel 75 mg tablet, clopidogrel 75 mg tablet, clopidogrel 75 mg tablet, clopidogrel 75 mg tablet, diclofenac sodium 1% (10 mg/g) gel, diclofenac sodium 1% (10 mg/g) gel, diclofenac sodium 1% (10 mg/g) gel, diclofenac sodium 1% (10 mg/g) gel, diclofenac sodium 1% (10 mg/g) gel, diclofenac sodium 1% (10 mg/g) gel, diclofenac sodium 1% (10 mg/g) gel, tamsulosin hydrochloride 400 microgram tablet: modified release, atorvastatin 20 mg tablet, tamsulosin hydrochloride 400 microgram tablet: modified release, atorvastatin 20 mg tablet, tamsulosin hydrochloride 400 microgram tablet: modified release, atorvastatin 20 mg tablet, tamsulosin hydrochloride 400 microgram tablet: modified release, atorvastatin 20 mg tablet, tamsulosin hydrochloride 400 microgram tablet: modified release, atorvastatin 20 mg tablet, tamsulosin hydrochloride 400 microgram tablet: modified release, atorvastatin 20 mg tablet, tamsulosin hydrochloride 400 microgram tablet: modified release, atorvastatin 20 mg tablet, clopidogrel 75 mg tablet, clopidogrel 75 mg tablet, clopidogrel 75 mg tablet, clopidogrel 75 mg tablet, clopidogrel 75 mg tablet, clopidogrel 75 mg tablet, clopidogrel 75 mg tablet, valsartan 80 mg tablet, valsartan 80 mg tablet, valsartan 80 mg tablet, valsartan 80 mg tablet, valsartan 80 mg tablet, valsartan 80 mg tablet, valsartan 80 mg tablet, atorvastatin 20 mg tablet, atorvastatin 20 mg tablet, atorvastatin 20 mg tablet, atorvastatin 20 mg tablet, atorvastatin 20 mg tablet, atorvastatin 20 mg tablet, atorvastatin 20 mg tablet, meloxicam 15 mg tablet, tamsulosin hydrochloride 400 microgram tablet: modified release, meloxicam 15 mg tablet, tamsulosin hydrochloride 400 microgram tablet: modified release, meloxicam 15 mg tablet, tamsulosin hydrochloride 400 microgram tablet: modified release, meloxicam 15 mg tablet, tamsulosin hydrochloride 400 microgram tablet: modified release, meloxicam 15 mg tablet, tamsulosin hydrochloride 400 microgram tablet: modified release, meloxicam 15 mg tablet, tamsulosin hydrochloride 400 microgram tablet: modified release, meloxicam 15 mg tablet, tamsulosin hydrochloride 400 microgram tablet: modified release</t>
  </si>
  <si>
    <t>Antiplatelet, Dyslipidemia, Hypertension</t>
  </si>
  <si>
    <t>فوزيه توفيق علي الحلبي</t>
  </si>
  <si>
    <t>ibuprofen</t>
  </si>
  <si>
    <t>ibuprofen 400 mg tablet, ibuprofen 400 mg tablet, ibuprofen 400 mg tablet, ibuprofen 400 mg tablet, ibuprofen 400 mg tablet, ibuprofen 400 mg tablet, ibuprofen 400 mg tablet, ibuprofen 400 mg tablet, ibuprofen 400 mg tablet</t>
  </si>
  <si>
    <t>هدى عبدالرحمن حسين ابوزبيبه</t>
  </si>
  <si>
    <t>mometasone furoate, atorvastatin, vitamin B complex (B, B, empagliflozin, levothyroxine sodium, perindopril arginine, SITagliptin, cetirizine hydrochloride, metFORMIN hydrochloride</t>
  </si>
  <si>
    <t>mometasone furoate 0.05% nasal spray, atorvastatin 10 mg tablet, vitamin B complex (B1,B6,B12) 100,200,0.2 mg Film coated tablets [oral], empagliflozin 25 mg tablet, levothyroxine sodium 50 microgram tablet, mometasone furoate 0.05% nasal spray, atorvastatin 10 mg tablet, vitamin B complex (B1,B6,B12) 100,200,0.2 mg Film coated tablets [oral], empagliflozin 25 mg tablet, levothyroxine sodium 50 microgram tablet, mometasone furoate 0.05% nasal spray, atorvastatin 10 mg tablet, vitamin B complex (B1,B6,B12) 100,200,0.2 mg Film coated tablets [oral], empagliflozin 25 mg tablet, levothyroxine sodium 50 microgram tablet, perindopril arginine 5 mg tablet, levothyroxine sodium 25 microgram tablet, SITagliptin 100 mg tablet, cetirizine hydrochloride 10 mg tablet, metFORMIN hydrochloride 500 mg tablet, perindopril arginine 5 mg tablet, levothyroxine sodium 25 microgram tablet, SITagliptin 100 mg tablet, cetirizine hydrochloride 10 mg tablet, metFORMIN hydrochloride 500 mg tablet, perindopril arginine 5 mg tablet, levothyroxine sodium 25 microgram tablet, SITagliptin 100 mg tablet, cetirizine hydrochloride 10 mg tablet, metFORMIN hydrochloride 500 mg tablet, mometasone furoate 0.05% nasal spray, perindopril arginine 5 mg tablet, vitamin B complex (B1,B6,B12) 100,200,0.2 mg Film coated tablets [oral], mometasone furoate 0.05% nasal spray, perindopril arginine 5 mg tablet, vitamin B complex (B1,B6,B12) 100,200,0.2 mg Film coated tablets [oral], mometasone furoate 0.05% nasal spray, perindopril arginine 5 mg tablet, vitamin B complex (B1,B6,B12) 100,200,0.2 mg Film coated tablets [oral], atorvastatin 10 mg tablet, levothyroxine sodium 50 microgram tablet, levothyroxine sodium 25 microgram tablet, metFORMIN hydrochloride 500 mg tablet, cetirizine hydrochloride 10 mg tablet, atorvastatin 10 mg tablet, levothyroxine sodium 50 microgram tablet, levothyroxine sodium 25 microgram tablet, metFORMIN hydrochloride 500 mg tablet, cetirizine hydrochloride 10 mg tablet, atorvastatin 10 mg tablet, levothyroxine sodium 50 microgram tablet, levothyroxine sodium 25 microgram tablet, metFORMIN hydrochloride 500 mg tablet, cetirizine hydrochloride 10 mg tablet, empagliflozin 25 mg tablet, SITagliptin 100 mg tablet, empagliflozin 25 mg tablet, SITagliptin 100 mg tablet, empagliflozin 25 mg tablet, SITagliptin 100 mg tablet</t>
  </si>
  <si>
    <t>Diabetes, Dyslipidemia, Thyroid, Vitamins/Supplements</t>
  </si>
  <si>
    <t>DM meds match; HTN meds needed; DLP meds match</t>
  </si>
  <si>
    <t>محمد محمد حسن محمد غفورى</t>
  </si>
  <si>
    <t>metFORMIN hydrochloride, amLODIPine, atorvastatin, glimepiride, SITagliptin, perindopril arginine, vitamins (A, B, C, D</t>
  </si>
  <si>
    <t>metFORMIN hydrochloride 500 mg tablet, metFORMIN hydrochloride 500 mg tablet, metFORMIN hydrochloride 500 mg tablet, metFORMIN hydrochloride 500 mg tablet, amLODIPine 5 mg tablet, amLODIPine 5 mg tablet, amLODIPine 5 mg tablet, amLODIPine 5 mg tablet, atorvastatin 20 mg tablet, glimepiride 2 mg tablet, SITagliptin 100 mg tablet, atorvastatin 20 mg tablet, glimepiride 2 mg tablet, SITagliptin 100 mg tablet, atorvastatin 20 mg tablet, glimepiride 2 mg tablet, SITagliptin 100 mg tablet, atorvastatin 20 mg tablet, glimepiride 2 mg tablet, SITagliptin 100 mg tablet, perindopril arginine 5 mg tablet, perindopril arginine 5 mg tablet, perindopril arginine 5 mg tablet, perindopril arginine 5 mg tablet, vitamins (A, B1, B2, B3, C, D3) tablet, vitamins (A, B1, B2, B3, C, D3) tablet, vitamins (A, B1, B2, B3, C, D3) tablet, vitamins (A, B1, B2, B3, C, D3) tablet, 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metFORMIN hydrochloride 500 mg tablet, metFORMIN hydrochloride 500 mg tablet, metFORMIN hydrochloride 500 mg tablet, amLODIPine 5 mg tablet, SITagliptin 100 mg tablet, vitamin B complex (B1,B6,B12) 100,200,0.2 mg Film coated tablets [oral], glimepiride 2 mg tablet, amLODIPine 5 mg tablet, SITagliptin 100 mg tablet, vitamin B complex (B1,B6,B12) 100,200,0.2 mg Film coated tablets [oral], glimepiride 2 mg tablet, amLODIPine 5 mg tablet, SITagliptin 100 mg tablet, vitamin B complex (B1,B6,B12) 100,200,0.2 mg Film coated tablets [oral], glimepiride 2 mg tablet, amLODIPine 5 mg tablet, SITagliptin 100 mg tablet, vitamin B complex (B1,B6,B12) 100,200,0.2 mg Film coated tablets [oral], glimepiride 2 mg tablet, perindopril arginine 5 mg tablet, atorvastatin 20 mg tablet, perindopril arginine 5 mg tablet, atorvastatin 20 mg tablet, perindopril arginine 5 mg tablet, atorvastatin 20 mg tablet, perindopril arginine 5 mg tablet, atorvastatin 20 mg tablet, vitamins (A, B1, B2, B3, C, D3) tablet, vitamins (A, B1, B2, B3, C, D3) tablet, vitamins (A, B1, B2, B3, C, D3) tablet, vitamins (A, B1, B2, B3, C, D3) tablet, vitamin B complex (B1,B6,B12) 100,200,0.2 mg Film coated tablets [oral], perindopril arginine 5 mg tablet, glimepiride 2 mg tablet, vitamin B complex (B1,B6,B12) 100,200,0.2 mg Film coated tablets [oral], perindopril arginine 5 mg tablet, glimepiride 2 mg tablet, vitamin B complex (B1,B6,B12) 100,200,0.2 mg Film coated tablets [oral], perindopril arginine 5 mg tablet, glimepiride 2 mg tablet, vitamin B complex (B1,B6,B12) 100,200,0.2 mg Film coated tablets [oral], perindopril arginine 5 mg tablet, glimepiride 2 mg tablet, SITagliptin 100 mg tablet, SITagliptin 100 mg tablet, SITagliptin 100 mg tablet, SITagliptin 100 mg tablet, amLODIPine 5 mg tablet, amLODIPine 5 mg tablet, amLODIPine 5 mg tablet, amLODIPine 5 mg tablet, vitamins (A, B1, B2, B3, C, D3) tablet, metFORMIN hydrochloride 500 mg tablet, vitamins (A, B1, B2, B3, C, D3) tablet, metFORMIN hydrochloride 500 mg tablet, vitamins (A, B1, B2, B3, C, D3) tablet, metFORMIN hydrochloride 500 mg tablet, vitamins (A, B1, B2, B3, C, D3) tablet, metFORMIN hydrochloride 500 mg tablet, metFORMIN hydrochloride 500 mg tablet, glimepiride 2 mg tablet, perindopril arginine 5 mg tablet, SITagliptin 100 mg tablet, atorvastatin 20 mg tablet, vitamins (A, B1, B2, B3, C, D3) tablet, metFORMIN hydrochloride 500 mg tablet, glimepiride 2 mg tablet, perindopril arginine 5 mg tablet, SITagliptin 100 mg tablet, atorvastatin 20 mg tablet, vitamins (A, B1, B2, B3, C, D3) tablet, metFORMIN hydrochloride 500 mg tablet, glimepiride 2 mg tablet, perindopril arginine 5 mg tablet, SITagliptin 100 mg tablet, atorvastatin 20 mg tablet, vitamins (A, B1, B2, B3, C, D3) tablet, metFORMIN hydrochloride 500 mg tablet, glimepiride 2 mg tablet, perindopril arginine 5 mg tablet, SITagliptin 100 mg tablet, atorvastatin 20 mg tablet, vitamins (A, B1, B2, B3, C, D3) tablet, amLODIPine 5 mg tablet, amLODIPine 5 mg tablet, amLODIPine 5 mg tablet, amLODIPine 5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atorvastatin 20 mg tablet, amLODIPine 5 mg tablet, vitamin B complex (B1,B6,B12) 100,200,0.2 mg Film coated tablets [oral], atorvastatin 20 mg tablet, amLODIPine 5 mg tablet, vitamin B complex (B1,B6,B12) 100,200,0.2 mg Film coated tablets [oral], atorvastatin 20 mg tablet, amLODIPine 5 mg tablet, vitamin B complex (B1,B6,B12) 100,200,0.2 mg Film coated tablets [oral], atorvastatin 20 mg tablet, amLODIPine 5 mg tablet, perindopril arginine 5 mg tablet, perindopril arginine 5 mg tablet, perindopril arginine 5 mg tablet, perindopril arginine 5 mg tablet, vitamins (A, B1, B2, B3, C, D3) tablet, glimepiride 2 mg tablet, SITagliptin 100 mg tablet, metFORMIN hydrochloride 500 mg tablet, vitamins (A, B1, B2, B3, C, D3) tablet, glimepiride 2 mg tablet, SITagliptin 100 mg tablet, metFORMIN hydrochloride 500 mg tablet, vitamins (A, B1, B2, B3, C, D3) tablet, glimepiride 2 mg tablet, SITagliptin 100 mg tablet, metFORMIN hydrochloride 500 mg tablet, vitamins (A, B1, B2, B3, C, D3) tablet, glimepiride 2 mg tablet, SITagliptin 100 mg tablet, metFORMIN hydrochloride 500 mg tablet, metFORMIN hydrochloride 500 mg tablet, metFORMIN hydrochloride 500 mg tablet, metFORMIN hydrochloride 500 mg tablet, metFORMIN hydrochloride 500 mg tablet, amLODIPine 5 mg tablet, amLODIPine 5 mg tablet, amLODIPine 5 mg tablet, amLODIPine 5 mg tablet, vitamin B complex (B1,B6,B12) 100,200,0.2 mg Film coated tablets [oral], vitamin B complex (B1,B6,B12) 100,200,0.2 mg Film coated tablets [oral], vitamin B complex (B1,B6,B12) 100,200,0.2 mg Film coated tablets [oral], vitamin B complex (B1,B6,B12) 100,200,0.2 mg Film coated tablets [oral], perindopril arginine 5 mg tablet, perindopril arginine 5 mg tablet, perindopril arginine 5 mg tablet, perindopril arginine 5 mg tablet, vitamin B complex (B1,B6,B12) 100,200,0.2 mg Film coated tablets [oral], SITagliptin 100 mg tablet, vitamin B complex (B1,B6,B12) 100,200,0.2 mg Film coated tablets [oral], SITagliptin 100 mg tablet, vitamin B complex (B1,B6,B12) 100,200,0.2 mg Film coated tablets [oral], SITagliptin 100 mg tablet, vitamin B complex (B1,B6,B12) 100,200,0.2 mg Film coated tablets [oral], SITagliptin 100 mg tablet, atorvastatin 20 mg tablet, glimepiride 2 mg tablet, vitamins (A, B1, B2, B3, C, D3) tablet, atorvastatin 20 mg tablet, glimepiride 2 mg tablet, vitamins (A, B1, B2, B3, C, D3) tablet, atorvastatin 20 mg tablet, glimepiride 2 mg tablet, vitamins (A, B1, B2, B3, C, D3) tablet, atorvastatin 20 mg tablet, glimepiride 2 mg tablet, vitamins (A, B1, B2, B3, C, D3) tablet</t>
  </si>
  <si>
    <t>وجنات محمد حسن محمد غفورى</t>
  </si>
  <si>
    <t>perindopril arginine, metFORMIN hydrochloride, atorvastatin</t>
  </si>
  <si>
    <t>perindopril arginine 5 mg tablet, perindopril arginine 5 mg tablet, perindopril arginine 5 mg tablet, metFORMIN hydrochloride 500 mg tablet, atorvastatin 20 mg tablet, metFORMIN hydrochloride 500 mg tablet, atorvastatin 20 mg tablet, metFORMIN hydrochloride 500 mg tablet, atorvastatin 20 mg tablet, metFORMIN hydrochloride 500 mg tablet, metFORMIN hydrochloride 500 mg tablet, metFORMIN hydrochloride 500 mg tablet, perindopril arginine 5 mg tablet, perindopril arginine 5 mg tablet, perindopril arginine 5 mg tablet, atorvastatin 20 mg tablet, atorvastatin 20 mg tablet, atorvastatin 20 mg tablet, atorvastatin 20 mg tablet, atorvastatin 20 mg tablet, atorvastatin 20 mg tablet, perindopril arginine 5 mg tablet, perindopril arginine 5 mg tablet, perindopril arginine 5 mg tablet, metFORMIN hydrochloride 500 mg tablet, metFORMIN hydrochloride 500 mg tablet, metFORMIN hydrochloride 500 mg tablet, metFORMIN hydrochloride 500 mg tablet, metFORMIN hydrochloride 500 mg tablet, metFORMIN hydrochloride 500 mg tablet, perindopril arginine 5 mg tablet, perindopril arginine 5 mg tablet, perindopril arginine 5 mg tablet, atorvastatin 20 mg tablet, atorvastatin 20 mg tablet, atorvastatin 20 mg tablet, atorvastatin 20 mg tablet, atorvastatin 20 mg tablet, atorvastatin 20 mg tablet, metFORMIN hydrochloride 500 mg tablet, metFORMIN hydrochloride 500 mg tablet, metFORMIN hydrochloride 500 mg tablet, perindopril arginine 5 mg tablet, perindopril arginine 5 mg tablet, perindopril arginine 5 mg tablet</t>
  </si>
  <si>
    <t>Diabetes, Dyslipidemia</t>
  </si>
  <si>
    <t>HTN meds needed; DLP meds match</t>
  </si>
  <si>
    <t>احمد محمد سعيد محمدعبدالرحمن الشيباني</t>
  </si>
  <si>
    <t>SITagliptin, metFORMIN hydrochloride, acetylsalicylic acid, tamsulosin hydrochloride, vitamin B complex (B, B, atorvastatin, levothyroxine sodium, colecalciferol, omeprazole</t>
  </si>
  <si>
    <t>SITagliptin 100 mg tablet, metFORMIN hydrochloride 500 mg tablet, acetylsalicylic acid 100 mg tablet: enteric coated, tamsulosin hydrochloride 400 microgram tablet: modified release, SITagliptin 100 mg tablet, metFORMIN hydrochloride 500 mg tablet, acetylsalicylic acid 100 mg tablet: enteric coated, tamsulosin hydrochloride 400 microgram tablet: modified release, vitamin B complex (B1,B6,B12) 100,200,0.2 mg Film coated tablets [oral], atorvastatin 20 mg tablet, levothyroxine sodium 100 microgram tablet, vitamin B complex (B1,B6,B12) 100,200,0.2 mg Film coated tablets [oral], atorvastatin 20 mg tablet, levothyroxine sodium 100 microgram tablet, colecalciferol 1 000 international units capsule, colecalciferol 1 000 international units capsule, omeprazole 20 mg tablet: enteric coated, tamsulosin hydrochloride 400 microgram tablet: modified release, SITagliptin 100 mg tablet, omeprazole 20 mg tablet: enteric coated, tamsulosin hydrochloride 400 microgram tablet: modified release, SITagliptin 100 mg tablet, acetylsalicylic acid 100 mg tablet: enteric coated, acetylsalicylic acid 100 mg tablet: enteric coated, colecalciferol 1 000 international units capsule, atorvastatin 20 mg tablet, metFORMIN hydrochloride 500 mg tablet, colecalciferol 1 000 international units capsule, atorvastatin 20 mg tablet, metFORMIN hydrochloride 500 mg tablet, levothyroxine sodium 100 microgram tablet, vitamin B complex (B1,B6,B12) 100,200,0.2 mg Film coated tablets [oral], levothyroxine sodium 100 microgram tablet, vitamin B complex (B1,B6,B12) 100,200,0.2 mg Film coated tablets [oral], SITagliptin 100 mg tablet, acetylsalicylic acid 100 mg tablet: enteric coated, omeprazole 20 mg tablet: enteric coated, colecalciferol 1 000 international units capsule, SITagliptin 100 mg tablet, acetylsalicylic acid 100 mg tablet: enteric coated, omeprazole 20 mg tablet: enteric coated, colecalciferol 1 000 international units capsule, tamsulosin hydrochloride 400 microgram tablet: modified release, atorvastatin 20 mg tablet, tamsulosin hydrochloride 400 microgram tablet: modified release, atorvastatin 20 mg tablet, vitamin B complex (B1,B6,B12) 100,200,0.2 mg Film coated tablets [oral], metFORMIN hydrochloride 500 mg tablet, vitamin B complex (B1,B6,B12) 100,200,0.2 mg Film coated tablets [oral], metFORMIN hydrochloride 500 mg tablet, levothyroxine sodium 100 microgram tablet, levothyroxine sodium 100 microgram tablet, colecalciferol 1 000 international units capsule, tamsulosin hydrochloride 400 microgram tablet: modified release, omeprazole 20 mg tablet: enteric coated, levothyroxine sodium 100 microgram tablet, acetylsalicylic acid 100 mg tablet: enteric coated, metFORMIN hydrochloride 500 mg tablet, vitamin B complex (B1,B6,B12) 100,200,0.2 mg Film coated tablets [oral], SITagliptin 100 mg tablet, atorvastatin 20 mg tablet, colecalciferol 1 000 international units capsule, tamsulosin hydrochloride 400 microgram tablet: modified release, omeprazole 20 mg tablet: enteric coated, levothyroxine sodium 100 microgram tablet, acetylsalicylic acid 100 mg tablet: enteric coated, metFORMIN hydrochloride 500 mg tablet, vitamin B complex (B1,B6,B12) 100,200,0.2 mg Film coated tablets [oral], SITagliptin 100 mg tablet, atorvastatin 20 mg tablet, atorvastatin 20 mg tablet, levothyroxine sodium 100 microgram tablet, vitamin B complex (B1,B6,B12) 100,200,0.2 mg Film coated tablets [oral], atorvastatin 20 mg tablet, levothyroxine sodium 100 microgram tablet, vitamin B complex (B1,B6,B12) 100,200,0.2 mg Film coated tablets [oral], omeprazole 20 mg tablet: enteric coated, omeprazole 20 mg tablet: enteric coated, acetylsalicylic acid 100 mg tablet: enteric coated, SITagliptin 100 mg tablet, tamsulosin hydrochloride 400 microgram tablet: modified release, metFORMIN hydrochloride 500 mg tablet, colecalciferol 1 000 international units capsule, acetylsalicylic acid 100 mg tablet: enteric coated, SITagliptin 100 mg tablet, tamsulosin hydrochloride 400 microgram tablet: modified release, metFORMIN hydrochloride 500 mg tablet, colecalciferol 1 000 international units capsule, levothyroxine sodium 100 microgram tablet, vitamin B complex (B1,B6,B12) 100,200,0.2 mg Film coated tablets [oral], levothyroxine sodium 100 microgram tablet, vitamin B complex (B1,B6,B12) 100,200,0.2 mg Film coated tablets [oral], metFORMIN hydrochloride 500 mg tablet, omeprazole 20 mg tablet: enteric coated, acetylsalicylic acid 100 mg tablet: enteric coated, metFORMIN hydrochloride 500 mg tablet, omeprazole 20 mg tablet: enteric coated, acetylsalicylic acid 100 mg tablet: enteric coated</t>
  </si>
  <si>
    <t>Antiplatelet, Diabetes, Dyslipidemia, GI/PPI, Thyroid, Vitamins/Supplements</t>
  </si>
  <si>
    <t>نوره محمد عيد الشهري</t>
  </si>
  <si>
    <t>valsartan, omeprazole, rosuvastatin, ferrous sulfate, SITagliptin, amLODIPine, acetylsalicylic acid, mebeverine hydrochloride, gliclazide, metFORMIN hydrochloride</t>
  </si>
  <si>
    <t>valsartan 80 mg tablet, omeprazole 20 mg tablet: enteric coated, valsartan 80 mg tablet, omeprazole 20 mg tablet: enteric coated, valsartan 80 mg tablet, omeprazole 20 mg tablet: enteric coated, valsartan 80 mg tablet, omeprazole 20 mg tablet: enteric coated, valsartan 80 mg tablet, omeprazole 20 mg tablet: enteric coated, valsartan 80 mg tablet, omeprazole 20 mg tablet: enteric coated, rosuvastatin 20 mg tablet, ferrous sulfate 190 mg Tablets [oral], SITagliptin 100 mg tablet, rosuvastatin 20 mg tablet, ferrous sulfate 190 mg Tablets [oral], SITagliptin 100 mg tablet, rosuvastatin 20 mg tablet, ferrous sulfate 190 mg Tablets [oral], SITagliptin 100 mg tablet, rosuvastatin 20 mg tablet, ferrous sulfate 190 mg Tablets [oral], SITagliptin 100 mg tablet, rosuvastatin 20 mg tablet, ferrous sulfate 190 mg Tablets [oral], SITagliptin 100 mg tablet, rosuvastatin 20 mg tablet, ferrous sulfate 190 mg Tablets [oral], SITagliptin 100 mg tablet, amLODIPine 5 mg tablet, acetylsalicylic acid 100 mg tablet: enteric coated, mebeverine hydrochloride 200 mg capsule: modified release, amLODIPine 5 mg tablet, acetylsalicylic acid 100 mg tablet: enteric coated, mebeverine hydrochloride 200 mg capsule: modified release, amLODIPine 5 mg tablet, acetylsalicylic acid 100 mg tablet: enteric coated, mebeverine hydrochloride 200 mg capsule: modified release, amLODIPine 5 mg tablet, acetylsalicylic acid 100 mg tablet: enteric coated, mebeverine hydrochloride 200 mg capsule: modified release, amLODIPine 5 mg tablet, acetylsalicylic acid 100 mg tablet: enteric coated, mebeverine hydrochloride 200 mg capsule: modified release, amLODIPine 5 mg tablet, acetylsalicylic acid 100 mg tablet: enteric coated, mebeverine hydrochloride 200 mg capsule: modified release, gliclazide 30 mg tablet: modified release, metFORMIN hydrochloride 500 mg tablet, gliclazide 30 mg tablet: modified release, metFORMIN hydrochloride 500 mg tablet, gliclazide 30 mg tablet: modified release, metFORMIN hydrochloride 500 mg tablet, gliclazide 30 mg tablet: modified release, metFORMIN hydrochloride 500 mg tablet, gliclazide 30 mg tablet: modified release, metFORMIN hydrochloride 500 mg tablet, gliclazide 30 mg tablet: modified release, metFORMIN hydrochloride 500 mg tablet,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amLODIPine 5 mg tablet, SITagliptin 100 mg tablet, amLODIPine 5 mg tablet, SITagliptin 100 mg tablet, amLODIPine 5 mg tablet, SITagliptin 100 mg tablet, amLODIPine 5 mg tablet, SITagliptin 100 mg tablet, amLODIPine 5 mg tablet, SITagliptin 100 mg tablet, amLODIPine 5 mg tablet, SITagliptin 100 mg tablet, acetylsalicylic acid 100 mg tablet: enteric coated, valsartan 80 mg tablet, acetylsalicylic acid 100 mg tablet: enteric coated, valsartan 80 mg tablet, acetylsalicylic acid 100 mg tablet: enteric coated, valsartan 80 mg tablet, acetylsalicylic acid 100 mg tablet: enteric coated, valsartan 80 mg tablet, acetylsalicylic acid 100 mg tablet: enteric coated, valsartan 80 mg tablet, acetylsalicylic acid 100 mg tablet: enteric coated, valsartan 80 mg tablet, omeprazole 20 mg tablet: enteric coated, gliclazide 30 mg tablet: modified release, ferrous sulfate 190 mg Tablets [oral], metFORMIN hydrochloride 500 mg tablet, rosuvastatin 20 mg tablet, omeprazole 20 mg tablet: enteric coated, gliclazide 30 mg tablet: modified release, ferrous sulfate 190 mg Tablets [oral], metFORMIN hydrochloride 500 mg tablet, rosuvastatin 20 mg tablet, omeprazole 20 mg tablet: enteric coated, gliclazide 30 mg tablet: modified release, ferrous sulfate 190 mg Tablets [oral], metFORMIN hydrochloride 500 mg tablet, rosuvastatin 20 mg tablet, omeprazole 20 mg tablet: enteric coated, gliclazide 30 mg tablet: modified release, ferrous sulfate 190 mg Tablets [oral], metFORMIN hydrochloride 500 mg tablet, rosuvastatin 20 mg tablet, omeprazole 20 mg tablet: enteric coated, gliclazide 30 mg tablet: modified release, ferrous sulfate 190 mg Tablets [oral], metFORMIN hydrochloride 500 mg tablet, rosuvastatin 20 mg tablet, omeprazole 20 mg tablet: enteric coated, gliclazide 30 mg tablet: modified release, ferrous sulfate 190 mg Tablets [oral], metFORMIN hydrochloride 500 mg tablet, rosuvastatin 20 mg tablet, omeprazole 20 mg tablet: enteric coated, gliclazide 30 mg tablet: modified release, mebeverine hydrochloride 200 mg capsule: modified release, omeprazole 20 mg tablet: enteric coated, gliclazide 30 mg tablet: modified release, mebeverine hydrochloride 200 mg capsule: modified release, omeprazole 20 mg tablet: enteric coated, gliclazide 30 mg tablet: modified release, mebeverine hydrochloride 200 mg capsule: modified release, omeprazole 20 mg tablet: enteric coated, gliclazide 30 mg tablet: modified release, mebeverine hydrochloride 200 mg capsule: modified release, omeprazole 20 mg tablet: enteric coated, gliclazide 30 mg tablet: modified release, mebeverine hydrochloride 200 mg capsule: modified release, omeprazole 20 mg tablet: enteric coated, gliclazide 30 mg tablet: modified release, mebeverine hydrochloride 200 mg capsule: modified release, rosuvastatin 20 mg tablet, amLODIPine 5 mg tablet, acetylsalicylic acid 100 mg tablet: enteric coated, SITagliptin 100 mg tablet, valsartan 80 mg tablet, metFORMIN hydrochloride 500 mg tablet, rosuvastatin 20 mg tablet, amLODIPine 5 mg tablet, acetylsalicylic acid 100 mg tablet: enteric coated, SITagliptin 100 mg tablet, valsartan 80 mg tablet, metFORMIN hydrochloride 500 mg tablet, rosuvastatin 20 mg tablet, amLODIPine 5 mg tablet, acetylsalicylic acid 100 mg tablet: enteric coated, SITagliptin 100 mg tablet, valsartan 80 mg tablet, metFORMIN hydrochloride 500 mg tablet, rosuvastatin 20 mg tablet, amLODIPine 5 mg tablet, acetylsalicylic acid 100 mg tablet: enteric coated, SITagliptin 100 mg tablet, valsartan 80 mg tablet, metFORMIN hydrochloride 500 mg tablet, rosuvastatin 20 mg tablet, amLODIPine 5 mg tablet, acetylsalicylic acid 100 mg tablet: enteric coated, SITagliptin 100 mg tablet, valsartan 80 mg tablet, metFORMIN hydrochloride 500 mg tablet, rosuvastatin 20 mg tablet, amLODIPine 5 mg tablet, acetylsalicylic acid 100 mg tablet: enteric coated, SITagliptin 100 mg tablet, valsartan 80 mg tablet, metFORMIN hydrochloride 500 mg tablet, ferrous sulfate 190 mg Tablets [oral], ferrous sulfate 190 mg Tablets [oral], ferrous sulfate 190 mg Tablets [oral], ferrous sulfate 190 mg Tablets [oral], ferrous sulfate 190 mg Tablets [oral], ferrous sulfate 190 mg Tablets [oral], gliclazide 30 mg tablet: modified release, gliclazide 30 mg tablet: modified release, gliclazide 30 mg tablet: modified release, gliclazide 30 mg tablet: modified release, gliclazide 30 mg tablet: modified release, gliclazide 30 mg tablet: modified release, mebeverine hydrochloride 200 mg capsule: modified release, SITagliptin 100 mg tablet, omeprazole 20 mg tablet: enteric coated, acetylsalicylic acid 100 mg tablet: enteric coated, valsartan 80 mg tablet, metFORMIN hydrochloride 500 mg tablet, mebeverine hydrochloride 200 mg capsule: modified release, SITagliptin 100 mg tablet, omeprazole 20 mg tablet: enteric coated, acetylsalicylic acid 100 mg tablet: enteric coated, valsartan 80 mg tablet, metFORMIN hydrochloride 500 mg tablet, mebeverine hydrochloride 200 mg capsule: modified release, SITagliptin 100 mg tablet, omeprazole 20 mg tablet: enteric coated, acetylsalicylic acid 100 mg tablet: enteric coated, valsartan 80 mg tablet, metFORMIN hydrochloride 500 mg tablet, mebeverine hydrochloride 200 mg capsule: modified release, SITagliptin 100 mg tablet, omeprazole 20 mg tablet: enteric coated, acetylsalicylic acid 100 mg tablet: enteric coated, valsartan 80 mg tablet, metFORMIN hydrochloride 500 mg tablet, mebeverine hydrochloride 200 mg capsule: modified release, SITagliptin 100 mg tablet, omeprazole 20 mg tablet: enteric coated, acetylsalicylic acid 100 mg tablet: enteric coated, valsartan 80 mg tablet, metFORMIN hydrochloride 500 mg tablet, mebeverine hydrochloride 200 mg capsule: modified release, SITagliptin 100 mg tablet, omeprazole 20 mg tablet: enteric coated, acetylsalicylic acid 100 mg tablet: enteric coated, valsartan 80 mg tablet, metFORMIN hydrochloride 500 mg tablet, rosuvastatin 20 mg tablet, ferrous sulfate 190 mg Tablets [oral], amLODIPine 5 mg tablet, rosuvastatin 20 mg tablet, ferrous sulfate 190 mg Tablets [oral], amLODIPine 5 mg tablet, rosuvastatin 20 mg tablet, ferrous sulfate 190 mg Tablets [oral], amLODIPine 5 mg tablet, rosuvastatin 20 mg tablet, ferrous sulfate 190 mg Tablets [oral], amLODIPine 5 mg tablet, rosuvastatin 20 mg tablet, ferrous sulfate 190 mg Tablets [oral], amLODIPine 5 mg tablet, rosuvastatin 20 mg tablet, ferrous sulfate 190 mg Tablets [oral], amLODIPine 5 mg tablet, gliclazide 30 mg tablet: modified release, metFORMIN hydrochloride 500 mg tablet, gliclazide 30 mg tablet: modified release, metFORMIN hydrochloride 500 mg tablet, gliclazide 30 mg tablet: modified release, metFORMIN hydrochloride 500 mg tablet, gliclazide 30 mg tablet: modified release, metFORMIN hydrochloride 500 mg tablet, gliclazide 30 mg tablet: modified release, metFORMIN hydrochloride 500 mg tablet, gliclazide 30 mg tablet: modified release, metFORMIN hydrochloride 500 mg tablet, mebeverine hydrochloride 200 mg capsule: modified release, omeprazole 20 mg tablet: enteric coated, mebeverine hydrochloride 200 mg capsule: modified release, omeprazole 20 mg tablet: enteric coated, mebeverine hydrochloride 200 mg capsule: modified release, omeprazole 20 mg tablet: enteric coated, mebeverine hydrochloride 200 mg capsule: modified release, omeprazole 20 mg tablet: enteric coated, mebeverine hydrochloride 200 mg capsule: modified release, omeprazole 20 mg tablet: enteric coated, mebeverine hydrochloride 200 mg capsule: modified release, omeprazole 20 mg tablet: enteric coated</t>
  </si>
  <si>
    <t>Antiplatelet, Diabetes, Dyslipidemia, GI/PPI, Hypertension</t>
  </si>
  <si>
    <t>نوال محمد عبود باريان</t>
  </si>
  <si>
    <t>linagliptin, omeprazole, empagliflozin, metFORMIN hydrochloride</t>
  </si>
  <si>
    <t>linagliptin 5 mg tablet, linagliptin 5 mg tablet, linagliptin 5 mg tablet, omeprazole 20 mg tablet: enteric coated, empagliflozin 10 mg tablet, omeprazole 20 mg tablet: enteric coated, empagliflozin 10 mg tablet, omeprazole 20 mg tablet: enteric coated, empagliflozin 10 mg tablet, metFORMIN hydrochloride 500 mg tablet, metFORMIN hydrochloride 500 mg tablet, metFORMIN hydrochloride 500 mg tablet, metFORMIN hydrochloride 500 mg tablet, metFORMIN hydrochloride 500 mg tablet, metFORMIN hydrochloride 500 mg tablet, empagliflozin 10 mg tablet, linagliptin 5 mg tablet, empagliflozin 10 mg tablet, linagliptin 5 mg tablet, empagliflozin 10 mg tablet, linagliptin 5 mg tablet, omeprazole 20 mg tablet: enteric coated, omeprazole 20 mg tablet: enteric coated, omeprazole 20 mg tablet: enteric coated</t>
  </si>
  <si>
    <t>Diabetes, GI/PPI</t>
  </si>
  <si>
    <t>مرام عبدالقادر عبداللطيف سنان</t>
  </si>
  <si>
    <t>diclofenac sodium 1% (10 mg/g) gel, diclofenac sodium 1% (10 mg/g) gel, diclofenac sodium 1% (10 mg/g) gel, diclofenac sodium 1% (10 mg/g) gel, diclofenac sodium 1% (10 mg/g) gel, diclofenac sodium 50 mg tablet, diclofenac sodium 50 mg tablet, diclofenac sodium 50 mg tablet, diclofenac sodium 50 mg tablet, diclofenac sodium 50 mg tablet, diclofenac sodium 50 mg tablet, diclofenac sodium 1% (10 mg/g) gel, diclofenac sodium 50 mg tablet, diclofenac sodium 1% (10 mg/g) gel, diclofenac sodium 50 mg tablet, diclofenac sodium 1% (10 mg/g) gel, diclofenac sodium 50 mg tablet, diclofenac sodium 1% (10 mg/g) gel, diclofenac sodium 50 mg tablet, diclofenac sodium 1% (10 mg/g) gel, diclofenac sodium 1% (10 mg/g) gel, diclofenac sodium 1% (10 mg/g) gel, diclofenac sodium 1% (10 mg/g) gel, diclofenac sodium 1% (10 mg/g) gel, diclofenac sodium 1% (10 mg/g) gel, diclofenac sodium 50 mg tablet, diclofenac sodium 50 mg tablet, diclofenac sodium 50 mg tablet, diclofenac sodium 50 mg tablet, diclofenac sodium 50 mg tablet</t>
  </si>
  <si>
    <t>محمدسالم عبدالرزاق شاكر جمال</t>
  </si>
  <si>
    <t>zinc oxide, insulin glargine (lantus), Insulin Pen Needle, insulin aspart, Glucometer Device (Accu-Chek), fusidic acid, Strips (Accu-Check), Lancets (Accu-Check)</t>
  </si>
  <si>
    <t>zinc oxide 15% (150 mg/g) cream, insulin glargine (lantus) 100 international units/mL injection, 3 mL prefilled pen, zinc oxide 15% (150 mg/g) cream, insulin glargine (lantus) 100 international units/mL injection, 3 mL prefilled pen, zinc oxide 15% (150 mg/g) cream, insulin glargine (lantus) 100 international units/mL injection, 3 mL prefilled pen, zinc oxide 15% (150 mg/g) cream, insulin glargine (lantus) 100 international units/mL injection, 3 mL prefilled pen, zinc oxide 15% (150 mg/g) cream, insulin glargine (lantus) 100 international units/mL injection, 3 mL prefilled pen, zinc oxide 15% (150 mg/g) cream, insulin glargine (lantus) 100 international units/mL injection, 3 mL prefilled pen, Insulin Pen Needle 4mm Needle [sc], Insulin Pen Needle 4mm Needle [sc], Insulin Pen Needle 4mm Needle [sc], Insulin Pen Needle 4mm Needle [sc], Insulin Pen Needle 4mm Needle [sc], Insulin Pen Needle 4mm Needle [sc],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Glucometer Device (Accu-Chek) 1 device Device [n/a], insulin aspart 100 international units/mL injection, 3 mL prefilled pen, Glucometer Device (Accu-Chek) 1 device Device [n/a], insulin aspart 100 international units/mL injection, 3 mL prefilled pen, Glucometer Device (Accu-Chek) 1 device Device [n/a], insulin aspart 100 international units/mL injection, 3 mL prefilled pen, Glucometer Device (Accu-Chek) 1 device Device [n/a], insulin aspart 100 international units/mL injection, 3 mL prefilled pen, Glucometer Device (Accu-Chek) 1 device Device [n/a], insulin aspart 100 international units/mL injection, 3 mL prefilled pen, Glucometer Device (Accu-Chek) 1 device Device [n/a], insulin aspart 100 international units/mL injection, 3 mL prefilled pen, fusidic acid 2% (20 mg/g) cream, insulin glargine (lantus) 100 international units/mL injection, 3 mL prefilled pen, fusidic acid 2% (20 mg/g) cream, insulin glargine (lantus) 100 international units/mL injection, 3 mL prefilled pen, fusidic acid 2% (20 mg/g) cream, insulin glargine (lantus) 100 international units/mL injection, 3 mL prefilled pen, fusidic acid 2% (20 mg/g) cream, insulin glargine (lantus) 100 international units/mL injection, 3 mL prefilled pen, fusidic acid 2% (20 mg/g) cream, insulin glargine (lantus) 100 international units/mL injection, 3 mL prefilled pen, fusidic acid 2% (20 mg/g) cream, insulin glargine (lantus) 100 international units/mL injection, 3 mL prefilled pen, Strips (Accu-Check) 1 box Strip [n/a], Strips (Accu-Check) 1 box Strip [n/a], Strips (Accu-Check) 1 box Strip [n/a], Strips (Accu-Check) 1 box Strip [n/a], Strips (Accu-Check) 1 box Strip [n/a], Strips (Accu-Check) 1 box Strip [n/a], Insulin Pen Needle 4mm Needle [sc], Insulin Pen Needle 4mm Needle [sc], Insulin Pen Needle 4mm Needle [sc], Insulin Pen Needle 4mm Needle [sc], Insulin Pen Needle 4mm Needle [sc], Insulin Pen Needle 4mm Needle [sc], zinc oxide 15% (150 mg/g) cream, Lancets (Accu-Check) 1 box Lancets [n/a], zinc oxide 15% (150 mg/g) cream, Lancets (Accu-Check) 1 box Lancets [n/a], zinc oxide 15% (150 mg/g) cream, Lancets (Accu-Check) 1 box Lancets [n/a], zinc oxide 15% (150 mg/g) cream, Lancets (Accu-Check) 1 box Lancets [n/a], zinc oxide 15% (150 mg/g) cream, Lancets (Accu-Check) 1 box Lancets [n/a], zinc oxide 15% (150 mg/g) cream, Lancets (Accu-Check) 1 box Lancets [n/a], Lancets (Accu-Check) 1 box Lancets [n/a], Glucometer Device (Accu-Chek) 1 device Device [n/a], insulin aspart 100 international units/mL injection, 3 mL prefilled pen, Lancets (Accu-Check) 1 box Lancets [n/a], Glucometer Device (Accu-Chek) 1 device Device [n/a], insulin aspart 100 international units/mL injection, 3 mL prefilled pen, Lancets (Accu-Check) 1 box Lancets [n/a], Glucometer Device (Accu-Chek) 1 device Device [n/a], insulin aspart 100 international units/mL injection, 3 mL prefilled pen, Lancets (Accu-Check) 1 box Lancets [n/a], Glucometer Device (Accu-Chek) 1 device Device [n/a], insulin aspart 100 international units/mL injection, 3 mL prefilled pen, Lancets (Accu-Check) 1 box Lancets [n/a], Glucometer Device (Accu-Chek) 1 device Device [n/a], insulin aspart 100 international units/mL injection, 3 mL prefilled pen, Lancets (Accu-Check) 1 box Lancets [n/a], Glucometer Device (Accu-Chek) 1 device Device [n/a], insulin aspart 100 international units/mL injection, 3 mL prefilled pen, Insulin Pen Needle 4mm Needle [sc], zinc oxide 15% (150 mg/g) cream, Insulin Pen Needle 4mm Needle [sc], zinc oxide 15% (150 mg/g) cream, Insulin Pen Needle 4mm Needle [sc], zinc oxide 15% (150 mg/g) cream, Insulin Pen Needle 4mm Needle [sc], zinc oxide 15% (150 mg/g) cream, Insulin Pen Needle 4mm Needle [sc], zinc oxide 15% (150 mg/g) cream, Insulin Pen Needle 4mm Needle [sc], zinc oxide 15% (150 mg/g) cream, fusidic acid 2% (20 mg/g) cream, fusidic acid 2% (20 mg/g) cream, fusidic acid 2% (20 mg/g) cream, fusidic acid 2% (20 mg/g) cream, fusidic acid 2% (20 mg/g) cream, fusidic acid 2% (20 mg/g) cream, insulin glargine (lantus) 100 international units/mL injection, 3 mL prefilled pen, Strips (Accu-Check) 1 box Strip [n/a], insulin glargine (lantus) 100 international units/mL injection, 3 mL prefilled pen, Strips (Accu-Check) 1 box Strip [n/a], insulin glargine (lantus) 100 international units/mL injection, 3 mL prefilled pen, Strips (Accu-Check) 1 box Strip [n/a], insulin glargine (lantus) 100 international units/mL injection, 3 mL prefilled pen, Strips (Accu-Check) 1 box Strip [n/a], insulin glargine (lantus) 100 international units/mL injection, 3 mL prefilled pen, Strips (Accu-Check) 1 box Strip [n/a], insulin glargine (lantus) 100 international units/mL injection, 3 mL prefilled pen, Strips (Accu-Check) 1 box Strip [n/a], zinc oxide 15% (150 mg/g) cream, zinc oxide 15% (150 mg/g) cream, zinc oxide 15% (150 mg/g) cream, zinc oxide 15% (150 mg/g) cream, zinc oxide 15% (150 mg/g) cream, zinc oxide 15% (150 mg/g) cream, insulin glargine (lantus) 100 international units/mL injection, 3 mL prefilled pen, insulin aspart 100 international units/mL injection, 3 mL prefilled pen, Insulin Pen Needle 4mm Needle [sc], insulin glargine (lantus) 100 international units/mL injection, 3 mL prefilled pen, insulin aspart 100 international units/mL injection, 3 mL prefilled pen, Insulin Pen Needle 4mm Needle [sc], insulin glargine (lantus) 100 international units/mL injection, 3 mL prefilled pen, insulin aspart 100 international units/mL injection, 3 mL prefilled pen, Insulin Pen Needle 4mm Needle [sc], insulin glargine (lantus) 100 international units/mL injection, 3 mL prefilled pen, insulin aspart 100 international units/mL injection, 3 mL prefilled pen, Insulin Pen Needle 4mm Needle [sc], insulin glargine (lantus) 100 international units/mL injection, 3 mL prefilled pen, insulin aspart 100 international units/mL injection, 3 mL prefilled pen, Insulin Pen Needle 4mm Needle [sc], insulin glargine (lantus) 100 international units/mL injection, 3 mL prefilled pen, insulin aspart 100 international units/mL injection, 3 mL prefilled pen, Insulin Pen Needle 4mm Needle [sc], Lancets (Accu-Check) 1 box Lancets [n/a], Lancets (Accu-Check) 1 box Lancets [n/a], Lancets (Accu-Check) 1 box Lancets [n/a], Lancets (Accu-Check) 1 box Lancets [n/a], Lancets (Accu-Check) 1 box Lancets [n/a], Lancets (Accu-Check) 1 box Lancets [n/a], Glucometer Device (Accu-Chek) 1 device Device [n/a], insulin glargine (lantus) 100 international units/mL injection, 3 mL prefilled pen, Insulin Pen Needle 4mm Needle [sc], Glucometer Device (Accu-Chek) 1 device Device [n/a], insulin glargine (lantus) 100 international units/mL injection, 3 mL prefilled pen, Insulin Pen Needle 4mm Needle [sc], Glucometer Device (Accu-Chek) 1 device Device [n/a], insulin glargine (lantus) 100 international units/mL injection, 3 mL prefilled pen, Insulin Pen Needle 4mm Needle [sc], Glucometer Device (Accu-Chek) 1 device Device [n/a], insulin glargine (lantus) 100 international units/mL injection, 3 mL prefilled pen, Insulin Pen Needle 4mm Needle [sc], Glucometer Device (Accu-Chek) 1 device Device [n/a], insulin glargine (lantus) 100 international units/mL injection, 3 mL prefilled pen, Insulin Pen Needle 4mm Needle [sc], Glucometer Device (Accu-Chek) 1 device Device [n/a], insulin glargine (lantus) 100 international units/mL injection, 3 mL prefilled pen, Insulin Pen Needle 4mm Needle [sc], fusidic acid 2% (20 mg/g) cream, insulin aspart 100 international units/mL injection, 3 mL prefilled pen, zinc oxide 15% (150 mg/g) cream, Strips (Accu-Check) 1 box Strip [n/a], fusidic acid 2% (20 mg/g) cream, insulin aspart 100 international units/mL injection, 3 mL prefilled pen, zinc oxide 15% (150 mg/g) cream, Strips (Accu-Check) 1 box Strip [n/a], fusidic acid 2% (20 mg/g) cream, insulin aspart 100 international units/mL injection, 3 mL prefilled pen, zinc oxide 15% (150 mg/g) cream, Strips (Accu-Check) 1 box Strip [n/a], fusidic acid 2% (20 mg/g) cream, insulin aspart 100 international units/mL injection, 3 mL prefilled pen, zinc oxide 15% (150 mg/g) cream, Strips (Accu-Check) 1 box Strip [n/a], fusidic acid 2% (20 mg/g) cream, insulin aspart 100 international units/mL injection, 3 mL prefilled pen, zinc oxide 15% (150 mg/g) cream, Strips (Accu-Check) 1 box Strip [n/a], fusidic acid 2% (20 mg/g) cream, insulin aspart 100 international units/mL injection, 3 mL prefilled pen, zinc oxide 15% (150 mg/g) cream, Strips (Accu-Check) 1 box Strip [n/a]</t>
  </si>
  <si>
    <t>بندر محمدسالم عبدالرزاق جمال</t>
  </si>
  <si>
    <t>cetirizine hydrochloride, metFORMIN hydrochloride, gliclazide, vitamin B complex (B, B, dextromethorphan hydrobromide</t>
  </si>
  <si>
    <t>cetirizine hydrochloride 10 mg tablet, cetirizine hydrochloride 10 mg tablet, cetirizine hydrochloride 10 mg tablet, cetirizine hydrochloride 10 mg tablet, cetirizine hydrochloride 10 mg tablet, cetirizine hydrochloride 10 mg tablet, metFORMIN hydrochloride 500 mg tablet, metFORMIN hydrochloride 500 mg tablet, metFORMIN hydrochloride 500 mg tablet, metFORMIN hydrochloride 500 mg tablet, metFORMIN hydrochloride 500 mg tablet, metFORMIN hydrochloride 500 mg tablet, gliclazide 30 mg tablet: modified release, vitamin B complex (B1,B6,B12) 100,200,0.2 mg Film coated tablets [oral], gliclazide 30 mg tablet: modified release, vitamin B complex (B1,B6,B12) 100,200,0.2 mg Film coated tablets [oral], gliclazide 30 mg tablet: modified release, vitamin B complex (B1,B6,B12) 100,200,0.2 mg Film coated tablets [oral], gliclazide 30 mg tablet: modified release, vitamin B complex (B1,B6,B12) 100,200,0.2 mg Film coated tablets [oral], gliclazide 30 mg tablet: modified release, vitamin B complex (B1,B6,B12) 100,200,0.2 mg Film coated tablets [oral], gliclazide 30 mg tablet: modified release, vitamin B complex (B1,B6,B12) 100,200,0.2 mg Film coated tablets [oral],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metFORMIN hydrochloride 500 mg tablet, gliclazide 30 mg tablet: modified release, metFORMIN hydrochloride 500 mg tablet, gliclazide 30 mg tablet: modified release, metFORMIN hydrochloride 500 mg tablet, gliclazide 30 mg tablet: modified release, metFORMIN hydrochloride 500 mg tablet, gliclazide 30 mg tablet: modified release, metFORMIN hydrochloride 500 mg tablet, gliclazide 30 mg tablet: modified release, metFORMIN hydrochloride 500 mg tablet, gliclazide 30 mg tablet: modified release, cetirizine hydrochloride 10 mg tablet, dextromethorphan hydrobromide 15 mg/5 mL oral liquid, cetirizine hydrochloride 10 mg tablet, dextromethorphan hydrobromide 15 mg/5 mL oral liquid, cetirizine hydrochloride 10 mg tablet, dextromethorphan hydrobromide 15 mg/5 mL oral liquid, cetirizine hydrochloride 10 mg tablet, dextromethorphan hydrobromide 15 mg/5 mL oral liquid, cetirizine hydrochloride 10 mg tablet, dextromethorphan hydrobromide 15 mg/5 mL oral liquid, cetirizine hydrochloride 10 mg tablet, dextromethorphan hydrobromide 15 mg/5 mL oral liquid,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cetirizine hydrochloride 10 mg tablet, cetirizine hydrochloride 10 mg tablet, cetirizine hydrochloride 10 mg tablet, cetirizine hydrochloride 10 mg tablet, cetirizine hydrochloride 10 mg tablet, cetirizine hydrochloride 10 mg tablet, metFORMIN hydrochloride 500 mg tablet, metFORMIN hydrochloride 500 mg tablet, metFORMIN hydrochloride 500 mg tablet, metFORMIN hydrochloride 500 mg tablet, metFORMIN hydrochloride 500 mg tablet, metFORMIN hydrochloride 500 mg tablet, gliclazide 30 mg tablet: modified release, gliclazide 30 mg tablet: modified release, gliclazide 30 mg tablet: modified release, gliclazide 30 mg tablet: modified release, gliclazide 30 mg tablet: modified release, gliclazide 30 mg tablet: modified release, vitamin B complex (B1,B6,B12) 100,200,0.2 mg Film coated tablets [oral], dextromethorphan hydrobromide 15 mg/5 mL oral liquid, vitamin B complex (B1,B6,B12) 100,200,0.2 mg Film coated tablets [oral], dextromethorphan hydrobromide 15 mg/5 mL oral liquid, vitamin B complex (B1,B6,B12) 100,200,0.2 mg Film coated tablets [oral], dextromethorphan hydrobromide 15 mg/5 mL oral liquid, vitamin B complex (B1,B6,B12) 100,200,0.2 mg Film coated tablets [oral], dextromethorphan hydrobromide 15 mg/5 mL oral liquid, vitamin B complex (B1,B6,B12) 100,200,0.2 mg Film coated tablets [oral], dextromethorphan hydrobromide 15 mg/5 mL oral liquid, vitamin B complex (B1,B6,B12) 100,200,0.2 mg Film coated tablets [oral], dextromethorphan hydrobromide 15 mg/5 mL oral liquid</t>
  </si>
  <si>
    <t>روان رجاءالله سليمان الجهنى</t>
  </si>
  <si>
    <t>خديجه عبدالله عبدالصمد ابصر مياه</t>
  </si>
  <si>
    <t>gliclazide, rosuvastatin, vitamin B complex (B, B, empagliflozin, metFORMIN hydrochloride</t>
  </si>
  <si>
    <t>gliclazide 60 mg tablet: modified release, gliclazide 60 mg tablet: modified release, gliclazide 60 mg tablet: modified release, gliclazide 60 mg tablet: modified release, rosuvastatin 20 mg tablet, rosuvastatin 20 mg tablet, rosuvastatin 20 mg tablet, rosuvastatin 20 mg tablet, vitamin B complex (B1,B6,B12) 100,200,0.2 mg Film coated tablets [oral], empagliflozin 10 mg tablet, vitamin B complex (B1,B6,B12) 100,200,0.2 mg Film coated tablets [oral], empagliflozin 10 mg tablet, vitamin B complex (B1,B6,B12) 100,200,0.2 mg Film coated tablets [oral], empagliflozin 10 mg tablet, vitamin B complex (B1,B6,B12) 100,200,0.2 mg Film coated tablets [oral], empagliflozin 10 mg tablet, metFORMIN hydrochloride 500 mg tablet, metFORMIN hydrochloride 500 mg tablet, metFORMIN hydrochloride 500 mg tablet, metFORMIN hydrochloride 500 mg tablet, 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metFORMIN hydrochloride 500 mg tablet, metFORMIN hydrochloride 500 mg tablet, metFORMIN hydrochloride 500 mg tablet, gliclazide 60 mg tablet: modified release, rosuvastatin 20 mg tablet, empagliflozin 10 mg tablet, gliclazide 60 mg tablet: modified release, rosuvastatin 20 mg tablet, empagliflozin 10 mg tablet, gliclazide 60 mg tablet: modified release, rosuvastatin 20 mg tablet, empagliflozin 10 mg tablet, gliclazide 60 mg tablet: modified release, rosuvastatin 20 mg tablet, empagliflozin 10 mg tablet, gliclazide 60 mg tablet: modified release, vitamin B complex (B1,B6,B12) 100,200,0.2 mg Film coated tablets [oral], gliclazide 60 mg tablet: modified release, vitamin B complex (B1,B6,B12) 100,200,0.2 mg Film coated tablets [oral], gliclazide 60 mg tablet: modified release, vitamin B complex (B1,B6,B12) 100,200,0.2 mg Film coated tablets [oral], gliclazide 60 mg tablet: modified release, vitamin B complex (B1,B6,B12) 100,200,0.2 mg Film coated tablets [oral], gliclazide 60 mg tablet: modified release, empagliflozin 10 mg tablet, gliclazide 60 mg tablet: modified release, empagliflozin 10 mg tablet, gliclazide 60 mg tablet: modified release, empagliflozin 10 mg tablet, gliclazide 60 mg tablet: modified release, empagliflozin 10 mg tablet, vitamin B complex (B1,B6,B12) 100,200,0.2 mg Film coated tablets [oral], vitamin B complex (B1,B6,B12) 100,200,0.2 mg Film coated tablets [oral], vitamin B complex (B1,B6,B12) 100,200,0.2 mg Film coated tablets [oral], vitamin B complex (B1,B6,B12) 100,200,0.2 mg Film coated tablets [oral]</t>
  </si>
  <si>
    <t>Diabetes, Dyslipidemia, Vitamins/Supplements</t>
  </si>
  <si>
    <t>عبدالله علي عبدالله باطرفي</t>
  </si>
  <si>
    <t>paracetamol, ibuprofen, amoxicillin</t>
  </si>
  <si>
    <t>paracetamol 500 mg tablet, paracetamol 500 mg tablet, paracetamol 500 mg tablet, paracetamol 500 mg tablet, paracetamol 500 mg tablet, ibuprofen 400 mg tablet, amoxicillin 500 mg + clavulanic acid 125 mg tablet, ibuprofen 400 mg tablet, amoxicillin 500 mg + clavulanic acid 125 mg tablet, ibuprofen 400 mg tablet, amoxicillin 500 mg + clavulanic acid 125 mg tablet, ibuprofen 400 mg tablet, amoxicillin 500 mg + clavulanic acid 125 mg tablet, ibuprofen 400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ibuprofen 400 mg tablet, paracetamol 500 mg tablet, ibuprofen 400 mg tablet, paracetamol 500 mg tablet, ibuprofen 400 mg tablet, paracetamol 500 mg tablet, ibuprofen 400 mg tablet, paracetamol 500 mg tablet, ibuprofen 400 mg tablet, paracetamol 500 mg tablet, amoxicillin 500 mg + clavulanic acid 125 mg tablet, ibuprofen 400 mg tablet, paracetamol 500 mg tablet, amoxicillin 500 mg + clavulanic acid 125 mg tablet, ibuprofen 400 mg tablet, paracetamol 500 mg tablet, amoxicillin 500 mg + clavulanic acid 125 mg tablet, ibuprofen 400 mg tablet, paracetamol 500 mg tablet, amoxicillin 500 mg + clavulanic acid 125 mg tablet, ibuprofen 400 mg tablet, paracetamol 500 mg tablet, amoxicillin 500 mg + clavulanic acid 125 mg tablet, ibuprofen 400 mg tablet, paracetamol 500 mg tablet</t>
  </si>
  <si>
    <t>فهد عبدالله مسفر الحارثي</t>
  </si>
  <si>
    <t>vitamin B complex (B, B, empagliflozin, atorvastatin, linagliptin, metFORMIN hydrochloride</t>
  </si>
  <si>
    <t>vitamin B complex (B1,B6,B12) 100,200,0.2 mg Film coated tablets [oral], empagliflozin 25 mg tablet, atorvastatin 20 mg tablet, linagliptin 5 mg tablet, metFORMIN hydrochloride 500 mg tablet, vitamin B complex (B1,B6,B12) 100,200,0.2 mg Film coated tablets [oral], empagliflozin 25 mg tablet, atorvastatin 20 mg tablet, linagliptin 5 mg tablet, metFORMIN hydrochloride 500 mg tablet, vitamin B complex (B1,B6,B12) 100,200,0.2 mg Film coated tablets [oral], empagliflozin 25 mg tablet, atorvastatin 20 mg tablet, linagliptin 5 mg tablet, metFORMIN hydrochloride 500 mg tablet, vitamin B complex (B1,B6,B12) 100,200,0.2 mg Film coated tablets [oral], empagliflozin 25 mg tablet, atorvastatin 20 mg tablet, linagliptin 5 mg tablet, metFORMIN hydrochloride 500 mg tablet, linagliptin 5 mg tablet, atorvastatin 20 mg tablet, vitamin B complex (B1,B6,B12) 100,200,0.2 mg Film coated tablets [oral], empagliflozin 25 mg tablet, metFORMIN hydrochloride 500 mg tablet, linagliptin 5 mg tablet, atorvastatin 20 mg tablet, vitamin B complex (B1,B6,B12) 100,200,0.2 mg Film coated tablets [oral], empagliflozin 25 mg tablet, metFORMIN hydrochloride 500 mg tablet, linagliptin 5 mg tablet, atorvastatin 20 mg tablet, vitamin B complex (B1,B6,B12) 100,200,0.2 mg Film coated tablets [oral], empagliflozin 25 mg tablet, metFORMIN hydrochloride 500 mg tablet, linagliptin 5 mg tablet, atorvastatin 20 mg tablet, vitamin B complex (B1,B6,B12) 100,200,0.2 mg Film coated tablets [oral], empagliflozin 25 mg tablet, metFORMIN hydrochloride 500 mg tablet, vitamin B complex (B1,B6,B12) 100,200,0.2 mg Film coated tablets [oral], empagliflozin 25 mg tablet, metFORMIN hydrochloride 500 mg tablet, linagliptin 5 mg tablet, atorvastatin 20 mg tablet, vitamin B complex (B1,B6,B12) 100,200,0.2 mg Film coated tablets [oral], empagliflozin 25 mg tablet, metFORMIN hydrochloride 500 mg tablet, linagliptin 5 mg tablet, atorvastatin 20 mg tablet, vitamin B complex (B1,B6,B12) 100,200,0.2 mg Film coated tablets [oral], empagliflozin 25 mg tablet, metFORMIN hydrochloride 500 mg tablet, linagliptin 5 mg tablet, atorvastatin 20 mg tablet, vitamin B complex (B1,B6,B12) 100,200,0.2 mg Film coated tablets [oral], empagliflozin 25 mg tablet, metFORMIN hydrochloride 500 mg tablet, linagliptin 5 mg tablet, atorvastatin 20 mg tablet</t>
  </si>
  <si>
    <t>اسامه جمال توفيق قربان</t>
  </si>
  <si>
    <t>tamsulosin hydrochloride, acetylsalicylic acid, empagliflozin, gliclazide, metFORMIN hydrochloride, vitamin B complex (B, B</t>
  </si>
  <si>
    <t>tamsulosin hydrochloride 400 microgram tablet: modified release, tamsulosin hydrochloride 400 microgram tablet: modified release, tamsulosin hydrochloride 400 microgram tablet: modified release, acetylsalicylic acid 100 mg tablet: enteric coated, empagliflozin 10 mg tablet, acetylsalicylic acid 100 mg tablet: enteric coated, empagliflozin 10 mg tablet, acetylsalicylic acid 100 mg tablet: enteric coated, empagliflozin 10 mg tablet, gliclazide 60 mg tablet: modified release, metFORMIN hydrochloride 750 mg tablet: modified release, gliclazide 60 mg tablet: modified release, metFORMIN hydrochloride 750 mg tablet: modified release, gliclazide 60 mg tablet: modified release, metFORMIN hydrochloride 750 mg tablet: modified release, vitamin B complex (B1,B6,B12) 100,200,0.2 mg Film coated tablets [oral], vitamin B complex (B1,B6,B12) 100,200,0.2 mg Film coated tablets [oral], vitamin B complex (B1,B6,B12) 100,200,0.2 mg Film coated tablets [oral], tamsulosin hydrochloride 400 microgram tablet: modified release, tamsulosin hydrochloride 400 microgram tablet: modified release, tamsulosin hydrochloride 400 microgram tablet: modified release, acetylsalicylic acid 100 mg tablet: enteric coated, metFORMIN hydrochloride 750 mg tablet: modified release, acetylsalicylic acid 100 mg tablet: enteric coated, metFORMIN hydrochloride 750 mg tablet: modified release, acetylsalicylic acid 100 mg tablet: enteric coated, metFORMIN hydrochloride 750 mg tablet: modified release, empagliflozin 10 mg tablet, empagliflozin 10 mg tablet, empagliflozin 10 mg tablet, vitamin B complex (B1,B6,B12) 100,200,0.2 mg Film coated tablets [oral], vitamin B complex (B1,B6,B12) 100,200,0.2 mg Film coated tablets [oral], vitamin B complex (B1,B6,B12) 100,200,0.2 mg Film coated tablets [oral], gliclazide 60 mg tablet: modified release, gliclazide 60 mg tablet: modified release, gliclazide 60 mg tablet: modified release</t>
  </si>
  <si>
    <t>Antiplatelet, Diabetes, Vitamins/Supplements</t>
  </si>
  <si>
    <t>سالم صالح سالم باجابر</t>
  </si>
  <si>
    <t>هيفاء عبدالله محمود سلطان</t>
  </si>
  <si>
    <t>apixaban</t>
  </si>
  <si>
    <t>apixaban 5 mg tablet, apixaban 5 mg tablet, apixaban 5 mg tablet, apixaban 5 mg tablet, apixaban 5 mg tablet, apixaban 5 mg tablet, apixaban 5 mg tablet, apixaban 5 mg tablet, apixaban 5 mg tablet</t>
  </si>
  <si>
    <t>هدي علي عبدالله عسيري</t>
  </si>
  <si>
    <t>colecalciferol, metFORMIN hydrochloride, valsartan, amLODIPine</t>
  </si>
  <si>
    <t>colecalciferol 1 000 international units capsule, metFORMIN hydrochloride 750 mg tablet: modified release, colecalciferol 1 000 international units capsule, metFORMIN hydrochloride 750 mg tablet: modified release, colecalciferol 1 000 international units capsule, metFORMIN hydrochloride 750 mg tablet: modified release, colecalciferol 1 000 international units capsule, metFORMIN hydrochloride 750 mg tablet: modified release, valsartan 80 mg tablet, valsartan 80 mg tablet, valsartan 80 mg tablet, valsartan 80 mg tablet, amLODIPine 5 mg tablet, amLODIPine 5 mg tablet, amLODIPine 5 mg tablet, amLODIPine 5 mg tablet, colecalciferol 1 000 international units capsule, metFORMIN hydrochloride 750 mg tablet: modified release, valsartan 80 mg tablet, amLODIPine 5 mg tablet, colecalciferol 1 000 international units capsule, metFORMIN hydrochloride 750 mg tablet: modified release, valsartan 80 mg tablet, amLODIPine 5 mg tablet, colecalciferol 1 000 international units capsule, metFORMIN hydrochloride 750 mg tablet: modified release, valsartan 80 mg tablet, amLODIPine 5 mg tablet, colecalciferol 1 000 international units capsule, metFORMIN hydrochloride 750 mg tablet: modified release, valsartan 80 mg tablet, amLODIPine 5 mg tablet, colecalciferol 1 000 international units capsule, colecalciferol 1 000 international units capsule, colecalciferol 1 000 international units capsule, colecalciferol 1 000 international units capsule, amLODIPine 5 mg tablet, amLODIPine 5 mg tablet, amLODIPine 5 mg tablet, amLODIPine 5 mg tablet, amLODIPine 5 mg tablet, amLODIPine 5 mg tablet, amLODIPine 5 mg tablet, amLODIPine 5 mg tablet, valsartan 80 mg tablet, colecalciferol 1 000 international units capsule, valsartan 80 mg tablet, colecalciferol 1 000 international units capsule, valsartan 80 mg tablet, colecalciferol 1 000 international units capsule, valsartan 80 mg tablet, colecalciferol 1 000 international units capsule, metFORMIN hydrochloride 750 mg tablet: modified release, metFORMIN hydrochloride 750 mg tablet: modified release, metFORMIN hydrochloride 750 mg tablet: modified release, metFORMIN hydrochloride 750 mg tablet: modified release, colecalciferol 1 000 international units capsule, metFORMIN hydrochloride 750 mg tablet: modified release, colecalciferol 1 000 international units capsule, metFORMIN hydrochloride 750 mg tablet: modified release, colecalciferol 1 000 international units capsule, metFORMIN hydrochloride 750 mg tablet: modified release, colecalciferol 1 000 international units capsule, metFORMIN hydrochloride 750 mg tablet: modified release, valsartan 80 mg tablet, amLODIPine 5 mg tablet, valsartan 80 mg tablet, amLODIPine 5 mg tablet, valsartan 80 mg tablet, amLODIPine 5 mg tablet, valsartan 80 mg tablet, amLODIPine 5 mg tablet</t>
  </si>
  <si>
    <t>فاطمه احمد بكر احمد</t>
  </si>
  <si>
    <t>colecalciferol</t>
  </si>
  <si>
    <t>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t>
  </si>
  <si>
    <t>سناء محمد على بوصى</t>
  </si>
  <si>
    <t>paraffin soft white ointment, tube, glucagon hydrochloride, vial + diluent syringe, diclofenac sodium, omeprazole, metFORMIN hydrochloride, Glucometer Device (Accu-Chek), atorvastatin, Strips (Accu-Check)</t>
  </si>
  <si>
    <t>paraffin soft white ointment, tube, glucagon hydrochloride 1 mg injection: powder for, vial + diluent syringe, diclofenac sodium 1% (10 mg/g) gel, omeprazole 20 mg tablet: enteric coated, paraffin soft white ointment, tube, glucagon hydrochloride 1 mg injection: powder for, vial + diluent syringe, diclofenac sodium 1% (10 mg/g) gel, omeprazole 20 mg tablet: enteric coated, paraffin soft white ointment, tube, glucagon hydrochloride 1 mg injection: powder for, vial + diluent syringe, diclofenac sodium 1% (10 mg/g) gel, omeprazole 20 mg tablet: enteric coated, paraffin soft white ointment, tube, glucagon hydrochloride 1 mg injection: powder for, vial + diluent syringe, diclofenac sodium 1% (10 mg/g) gel, omeprazole 20 mg tablet: enteric coated, paraffin soft white ointment, tube, glucagon hydrochloride 1 mg injection: powder for, vial + diluent syringe, diclofenac sodium 1% (10 mg/g) gel, omeprazole 20 mg tablet: enteric coated, metFORMIN hydrochloride 500 mg tablet, Glucometer Device (Accu-Chek) 1 device Device [n/a], atorvastatin 20 mg tablet, Strips (Accu-Check) 1 box Strip [n/a], Lancets (Accu-Check) 1 box Lancets [n/a], metFORMIN hydrochloride 500 mg tablet, Glucometer Device (Accu-Chek) 1 device Device [n/a], atorvastatin 20 mg tablet, Strips (Accu-Check) 1 box Strip [n/a], Lancets (Accu-Check) 1 box Lancets [n/a], metFORMIN hydrochloride 500 mg tablet, Glucometer Device (Accu-Chek) 1 device Device [n/a], atorvastatin 20 mg tablet, Strips (Accu-Check) 1 box Strip [n/a], Lancets (Accu-Check) 1 box Lancets [n/a], metFORMIN hydrochloride 500 mg tablet, Glucometer Device (Accu-Chek) 1 device Device [n/a], atorvastatin 20 mg tablet, Strips (Accu-Check) 1 box Strip [n/a], Lancets (Accu-Check) 1 box Lancets [n/a], metFORMIN hydrochloride 500 mg tablet, Glucometer Device (Accu-Chek) 1 device Device [n/a], atorvastatin 20 mg tablet, Strips (Accu-Check) 1 box Strip [n/a], Lancets (Accu-Check) 1 box Lancets [n/a], metFORMIN hydrochloride 500 mg tablet, chlorzoxazone 250 mg + paracetamol 300 mg capsule, metFORMIN hydrochloride 500 mg tablet, chlorzoxazone 250 mg + paracetamol 300 mg capsule, metFORMIN hydrochloride 500 mg tablet, chlorzoxazone 250 mg + paracetamol 300 mg capsule, metFORMIN hydrochloride 500 mg tablet, chlorzoxazone 250 mg + paracetamol 300 mg capsule, metFORMIN hydrochloride 500 mg tablet, chlorzoxazone 250 mg + paracetamol 300 mg capsule, glucagon hydrochloride 1 mg injection: powder for, vial + diluent syringe, Glucometer Device (Accu-Chek) 1 device Device [n/a], glucagon hydrochloride 1 mg injection: powder for, vial + diluent syringe, Glucometer Device (Accu-Chek) 1 device Device [n/a], glucagon hydrochloride 1 mg injection: powder for, vial + diluent syringe, Glucometer Device (Accu-Chek) 1 device Device [n/a], glucagon hydrochloride 1 mg injection: powder for, vial + diluent syringe, Glucometer Device (Accu-Chek) 1 device Device [n/a], glucagon hydrochloride 1 mg injection: powder for, vial + diluent syringe, Glucometer Device (Accu-Chek) 1 device Device [n/a], chlorzoxazone 250 mg + paracetamol 300 mg capsule, chlorzoxazone 250 mg + paracetamol 300 mg capsule, chlorzoxazone 250 mg + paracetamol 300 mg capsule, chlorzoxazone 250 mg + paracetamol 300 mg capsule, chlorzoxazone 250 mg + paracetamol 300 mg capsule, Lancets (Accu-Check) 1 box Lancets [n/a], Lancets (Accu-Check) 1 box Lancets [n/a], Lancets (Accu-Check) 1 box Lancets [n/a], Lancets (Accu-Check) 1 box Lancets [n/a], Lancets (Accu-Check) 1 box Lancets [n/a], glucagon hydrochloride 1 mg injection: powder for, vial + diluent syringe, glucagon hydrochloride 1 mg injection: powder for, vial + diluent syringe, glucagon hydrochloride 1 mg injection: powder for, vial + diluent syringe, glucagon hydrochloride 1 mg injection: powder for, vial + diluent syringe, glucagon hydrochloride 1 mg injection: powder for, vial + diluent syringe, omeprazole 20 mg tablet: enteric coated, atorvastatin 20 mg tablet, metFORMIN hydrochloride 500 mg tablet, omeprazole 20 mg tablet: enteric coated, atorvastatin 20 mg tablet, metFORMIN hydrochloride 500 mg tablet, omeprazole 20 mg tablet: enteric coated, atorvastatin 20 mg tablet, metFORMIN hydrochloride 500 mg tablet, omeprazole 20 mg tablet: enteric coated, atorvastatin 20 mg tablet, metFORMIN hydrochloride 500 mg tablet, omeprazole 20 mg tablet: enteric coated, atorvastatin 20 mg tablet, metFORMIN hydrochloride 500 mg tablet, Strips (Accu-Check) 1 box Strip [n/a], diclofenac sodium 1% (10 mg/g) gel, glucagon hydrochloride 1 mg injection: powder for, vial + diluent syringe, Strips (Accu-Check) 1 box Strip [n/a], diclofenac sodium 1% (10 mg/g) gel, glucagon hydrochloride 1 mg injection: powder for, vial + diluent syringe, Strips (Accu-Check) 1 box Strip [n/a], diclofenac sodium 1% (10 mg/g) gel, glucagon hydrochloride 1 mg injection: powder for, vial + diluent syringe, Strips (Accu-Check) 1 box Strip [n/a], diclofenac sodium 1% (10 mg/g) gel, glucagon hydrochloride 1 mg injection: powder for, vial + diluent syringe, Strips (Accu-Check) 1 box Strip [n/a], diclofenac sodium 1% (10 mg/g) gel, glucagon hydrochloride 1 mg injection: powder for, vial + diluent syringe, Glucometer Device (Accu-Chek) 1 device Device [n/a], chlorzoxazone 250 mg + paracetamol 300 mg capsule, paraffin soft white ointment, tube, Glucometer Device (Accu-Chek) 1 device Device [n/a], chlorzoxazone 250 mg + paracetamol 300 mg capsule, paraffin soft white ointment, tube, Glucometer Device (Accu-Chek) 1 device Device [n/a], chlorzoxazone 250 mg + paracetamol 300 mg capsule, paraffin soft white ointment, tube, Glucometer Device (Accu-Chek) 1 device Device [n/a], chlorzoxazone 250 mg + paracetamol 300 mg capsule, paraffin soft white ointment, tube, Glucometer Device (Accu-Chek) 1 device Device [n/a], chlorzoxazone 250 mg + paracetamol 300 mg capsule, paraffin soft white ointment, tube, Lancets (Accu-Check) 1 box Lancets [n/a], Lancets (Accu-Check) 1 box Lancets [n/a], Lancets (Accu-Check) 1 box Lancets [n/a], Lancets (Accu-Check) 1 box Lancets [n/a], Lancets (Accu-Check) 1 box Lancets [n/a], chlorzoxazone 250 mg + paracetamol 300 mg capsule, chlorzoxazone 250 mg + paracetamol 300 mg capsule, chlorzoxazone 250 mg + paracetamol 300 mg capsule, chlorzoxazone 250 mg + paracetamol 300 mg capsule, chlorzoxazone 250 mg + paracetamol 300 mg capsule, paraffin soft white ointment, tube, paraffin soft white ointment, tube, paraffin soft white ointment, tube, paraffin soft white ointment, tube, paraffin soft white ointment, tube, Strips (Accu-Check) 1 box Strip [n/a], Strips (Accu-Check) 1 box Strip [n/a], Strips (Accu-Check) 1 box Strip [n/a], Strips (Accu-Check) 1 box Strip [n/a], Strips (Accu-Check) 1 box Strip [n/a], metFORMIN hydrochloride 500 mg tablet, metFORMIN hydrochloride 500 mg tablet, metFORMIN hydrochloride 500 mg tablet, metFORMIN hydrochloride 500 mg tablet, metFORMIN hydrochloride 500 mg tablet, glucagon hydrochloride 1 mg injection: powder for, vial + diluent syringe, metFORMIN hydrochloride 500 mg tablet, glucagon hydrochloride 1 mg injection: powder for, vial + diluent syringe, metFORMIN hydrochloride 500 mg tablet, glucagon hydrochloride 1 mg injection: powder for, vial + diluent syringe, metFORMIN hydrochloride 500 mg tablet, glucagon hydrochloride 1 mg injection: powder for, vial + diluent syringe, metFORMIN hydrochloride 500 mg tablet, glucagon hydrochloride 1 mg injection: powder for, vial + diluent syringe, metFORMIN hydrochloride 500 mg tablet, paraffin soft white ointment, tube, diclofenac sodium 1% (10 mg/g) gel, Strips (Accu-Check) 1 box Strip [n/a], Glucometer Device (Accu-Chek) 1 device Device [n/a], paraffin soft white ointment, tube, diclofenac sodium 1% (10 mg/g) gel, Strips (Accu-Check) 1 box Strip [n/a], Glucometer Device (Accu-Chek) 1 device Device [n/a], paraffin soft white ointment, tube, diclofenac sodium 1% (10 mg/g) gel, Strips (Accu-Check) 1 box Strip [n/a], Glucometer Device (Accu-Chek) 1 device Device [n/a], paraffin soft white ointment, tube, diclofenac sodium 1% (10 mg/g) gel, Strips (Accu-Check) 1 box Strip [n/a], Glucometer Device (Accu-Chek) 1 device Device [n/a], paraffin soft white ointment, tube, diclofenac sodium 1% (10 mg/g) gel, Strips (Accu-Check) 1 box Strip [n/a], Glucometer Device (Accu-Chek) 1 device Device [n/a], atorvastatin 20 mg tablet, atorvastatin 20 mg tablet, atorvastatin 20 mg tablet, atorvastatin 20 mg tablet, atorvastatin 20 mg tablet, Lancets (Accu-Check) 1 box Lancets [n/a], omeprazole 20 mg tablet: enteric coated, Lancets (Accu-Check) 1 box Lancets [n/a], omeprazole 20 mg tablet: enteric coated, Lancets (Accu-Check) 1 box Lancets [n/a], omeprazole 20 mg tablet: enteric coated, Lancets (Accu-Check) 1 box Lancets [n/a], omeprazole 20 mg tablet: enteric coated, Lancets (Accu-Check) 1 box Lancets [n/a], omeprazole 20 mg tablet: enteric coated, chlorzoxazone 250 mg + paracetamol 300 mg capsule, chlorzoxazone 250 mg + paracetamol 300 mg capsule, chlorzoxazone 250 mg + paracetamol 300 mg capsule, chlorzoxazone 250 mg + paracetamol 300 mg capsule, chlorzoxazone 250 mg + paracetamol 300 mg capsule, Strips (Accu-Check) 1 box Strip [n/a], paraffin soft white ointment, tube, glucagon hydrochloride 1 mg injection: powder for, vial + diluent syringe, Lancets (Accu-Check) 1 box Lancets [n/a], Strips (Accu-Check) 1 box Strip [n/a], paraffin soft white ointment, tube, glucagon hydrochloride 1 mg injection: powder for, vial + diluent syringe, Lancets (Accu-Check) 1 box Lancets [n/a], Strips (Accu-Check) 1 box Strip [n/a], paraffin soft white ointment, tube, glucagon hydrochloride 1 mg injection: powder for, vial + diluent syringe, Lancets (Accu-Check) 1 box Lancets [n/a], Strips (Accu-Check) 1 box Strip [n/a], paraffin soft white ointment, tube, glucagon hydrochloride 1 mg injection: powder for, vial + diluent syringe, Lancets (Accu-Check) 1 box Lancets [n/a], Strips (Accu-Check) 1 box Strip [n/a], paraffin soft white ointment, tube, glucagon hydrochloride 1 mg injection: powder for, vial + diluent syringe, Lancets (Accu-Check) 1 box Lancets [n/a], Glucometer Device (Accu-Chek) 1 device Device [n/a], diclofenac sodium 1% (10 mg/g) gel, chlorzoxazone 250 mg + paracetamol 300 mg capsule, metFORMIN hydrochloride 500 mg tablet, atorvastatin 20 mg tablet, omeprazole 20 mg tablet: enteric coated, Glucometer Device (Accu-Chek) 1 device Device [n/a], diclofenac sodium 1% (10 mg/g) gel, chlorzoxazone 250 mg + paracetamol 300 mg capsule, metFORMIN hydrochloride 500 mg tablet, atorvastatin 20 mg tablet, omeprazole 20 mg tablet: enteric coated, Glucometer Device (Accu-Chek) 1 device Device [n/a], diclofenac sodium 1% (10 mg/g) gel, chlorzoxazone 250 mg + paracetamol 300 mg capsule, metFORMIN hydrochloride 500 mg tablet, atorvastatin 20 mg tablet, omeprazole 20 mg tablet: enteric coated, Glucometer Device (Accu-Chek) 1 device Device [n/a], diclofenac sodium 1% (10 mg/g) gel, chlorzoxazone 250 mg + paracetamol 300 mg capsule, metFORMIN hydrochloride 500 mg tablet, atorvastatin 20 mg tablet, omeprazole 20 mg tablet: enteric coated, Glucometer Device (Accu-Chek) 1 device Device [n/a], diclofenac sodium 1% (10 mg/g) gel, chlorzoxazone 250 mg + paracetamol 300 mg capsule, metFORMIN hydrochloride 500 mg tablet, atorvastatin 20 mg tablet, omeprazole 20 mg tablet: enteric coated, metFORMIN hydrochloride 500 mg tablet, atorvastatin 20 mg tablet, metFORMIN hydrochloride 500 mg tablet, atorvastatin 20 mg tablet, metFORMIN hydrochloride 500 mg tablet, atorvastatin 20 mg tablet, metFORMIN hydrochloride 500 mg tablet, atorvastatin 20 mg tablet, metFORMIN hydrochloride 500 mg tablet, atorvastatin 20 mg tablet, diclofenac sodium 1% (10 mg/g) gel, diclofenac sodium 1% (10 mg/g) gel, diclofenac sodium 1% (10 mg/g) gel, diclofenac sodium 1% (10 mg/g) gel, diclofenac sodium 1% (10 mg/g) gel, omeprazole 20 mg tablet: enteric coated, Glucometer Device (Accu-Chek) 1 device Device [n/a], omeprazole 20 mg tablet: enteric coated, Glucometer Device (Accu-Chek) 1 device Device [n/a], omeprazole 20 mg tablet: enteric coated, Glucometer Device (Accu-Chek) 1 device Device [n/a], omeprazole 20 mg tablet: enteric coated, Glucometer Device (Accu-Chek) 1 device Device [n/a], omeprazole 20 mg tablet: enteric coated, Glucometer Device (Accu-Chek) 1 device Device [n/a], Strips (Accu-Check) 1 box Strip [n/a], glucagon hydrochloride 1 mg injection: powder for, vial + diluent syringe, Strips (Accu-Check) 1 box Strip [n/a], glucagon hydrochloride 1 mg injection: powder for, vial + diluent syringe, Strips (Accu-Check) 1 box Strip [n/a], glucagon hydrochloride 1 mg injection: powder for, vial + diluent syringe, Strips (Accu-Check) 1 box Strip [n/a], glucagon hydrochloride 1 mg injection: powder for, vial + diluent syringe, Strips (Accu-Check) 1 box Strip [n/a], glucagon hydrochloride 1 mg injection: powder for, vial + diluent syringe, Lancets (Accu-Check) 1 box Lancets [n/a], paraffin soft white ointment, tube, chlorzoxazone 250 mg + paracetamol 300 mg capsule, Lancets (Accu-Check) 1 box Lancets [n/a], paraffin soft white ointment, tube, chlorzoxazone 250 mg + paracetamol 300 mg capsule, Lancets (Accu-Check) 1 box Lancets [n/a], paraffin soft white ointment, tube, chlorzoxazone 250 mg + paracetamol 300 mg capsule, Lancets (Accu-Check) 1 box Lancets [n/a], paraffin soft white ointment, tube, chlorzoxazone 250 mg + paracetamol 300 mg capsule, Lancets (Accu-Check) 1 box Lancets [n/a], paraffin soft white ointment, tube, chlorzoxazone 250 mg + paracetamol 300 mg capsule, metFORMIN hydrochloride 500 mg tablet, chlorzoxazone 250 mg + paracetamol 300 mg capsule, metFORMIN hydrochloride 500 mg tablet, chlorzoxazone 250 mg + paracetamol 300 mg capsule, metFORMIN hydrochloride 500 mg tablet, chlorzoxazone 250 mg + paracetamol 300 mg capsule, metFORMIN hydrochloride 500 mg tablet, chlorzoxazone 250 mg + paracetamol 300 mg capsule, metFORMIN hydrochloride 500 mg tablet, chlorzoxazone 250 mg + paracetamol 300 mg capsule, glucagon hydrochloride 1 mg injection: powder for, vial + diluent syringe, Glucometer Device (Accu-Chek) 1 device Device [n/a], glucagon hydrochloride 1 mg injection: powder for, vial + diluent syringe, Glucometer Device (Accu-Chek) 1 device Device [n/a], glucagon hydrochloride 1 mg injection: powder for, vial + diluent syringe, Glucometer Device (Accu-Chek) 1 device Device [n/a], glucagon hydrochloride 1 mg injection: powder for, vial + diluent syringe, Glucometer Device (Accu-Chek) 1 device Device [n/a], glucagon hydrochloride 1 mg injection: powder for, vial + diluent syringe, Glucometer Device (Accu-Chek) 1 device Device [n/a], omeprazole 20 mg tablet: enteric coated, atorvastatin 20 mg tablet, omeprazole 20 mg tablet: enteric coated, atorvastatin 20 mg tablet, omeprazole 20 mg tablet: enteric coated, atorvastatin 20 mg tablet, omeprazole 20 mg tablet: enteric coated, atorvastatin 20 mg tablet, omeprazole 20 mg tablet: enteric coated, atorvastatin 20 mg tablet, metFORMIN hydrochloride 500 mg tablet, metFORMIN hydrochloride 500 mg tablet, metFORMIN hydrochloride 500 mg tablet, metFORMIN hydrochloride 500 mg tablet, metFORMIN hydrochloride 500 mg tablet, chlorzoxazone 250 mg + paracetamol 300 mg capsule, diclofenac sodium 1% (10 mg/g) gel, Strips (Accu-Check) 1 box Strip [n/a], Glucometer Device (Accu-Chek) 1 device Device [n/a], chlorzoxazone 250 mg + paracetamol 300 mg capsule, diclofenac sodium 1% (10 mg/g) gel, Strips (Accu-Check) 1 box Strip [n/a], Glucometer Device (Accu-Chek) 1 device Device [n/a], chlorzoxazone 250 mg + paracetamol 300 mg capsule, diclofenac sodium 1% (10 mg/g) gel, Strips (Accu-Check) 1 box Strip [n/a], Glucometer Device (Accu-Chek) 1 device Device [n/a], chlorzoxazone 250 mg + paracetamol 300 mg capsule, diclofenac sodium 1% (10 mg/g) gel, Strips (Accu-Check) 1 box Strip [n/a], Glucometer Device (Accu-Chek) 1 device Device [n/a], chlorzoxazone 250 mg + paracetamol 300 mg capsule, diclofenac sodium 1% (10 mg/g) gel, Strips (Accu-Check) 1 box Strip [n/a], Glucometer Device (Accu-Chek) 1 device Device [n/a], glucagon hydrochloride 1 mg injection: powder for, vial + diluent syringe, glucagon hydrochloride 1 mg injection: powder for, vial + diluent syringe, glucagon hydrochloride 1 mg injection: powder for, vial + diluent syringe, glucagon hydrochloride 1 mg injection: powder for, vial + diluent syringe, glucagon hydrochloride 1 mg injection: powder for, vial + diluent syringe, paraffin soft white ointment, tube, Lancets (Accu-Check) 1 box Lancets [n/a], paraffin soft white ointment, tube, Lancets (Accu-Check) 1 box Lancets [n/a], paraffin soft white ointment, tube, Lancets (Accu-Check) 1 box Lancets [n/a], paraffin soft white ointment, tube, Lancets (Accu-Check) 1 box Lancets [n/a], paraffin soft white ointment, tube, Lancets (Accu-Check) 1 box Lancets [n/a]</t>
  </si>
  <si>
    <t>Diabetes, Dyslipidemia, GI/PPI</t>
  </si>
  <si>
    <t>دلال جميل علي فلمبان</t>
  </si>
  <si>
    <t>diclofenac sodium, paracetamol</t>
  </si>
  <si>
    <t>diclofenac sodium 1% (10 mg/g) gel, diclofenac sodium 1% (10 mg/g) gel, diclofenac sodium 1% (10 mg/g) gel, diclofenac sodium 1% (10 mg/g) gel, diclofenac sodium 1% (10 mg/g) gel, paracetamol 500 mg tablet, paracetamol 500 mg tablet, paracetamol 500 mg tablet, paracetamol 500 mg tablet, paracetamol 500 mg tablet, diclofenac sodium 1% (10 mg/g) gel, paracetamol 500 mg tablet, diclofenac sodium 1% (10 mg/g) gel, paracetamol 500 mg tablet, diclofenac sodium 1% (10 mg/g) gel, paracetamol 500 mg tablet, diclofenac sodium 1% (10 mg/g) gel, paracetamol 500 mg tablet, diclofenac sodium 1% (10 mg/g) gel, paracetamol 500 mg tablet,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paracetamol 500 mg tablet, paracetamol 500 mg tablet, paracetamol 500 mg tablet, paracetamol 500 mg tablet, paracetamol 500 mg tablet,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paracetamol 500 mg tablet, paracetamol 500 mg tablet, paracetamol 500 mg tablet, paracetamol 500 mg tablet, paracetamol 500 mg tablet, diclofenac sodium 1% (10 mg/g) gel, diclofenac sodium 1% (10 mg/g) gel, diclofenac sodium 1% (10 mg/g) gel, diclofenac sodium 1% (10 mg/g) gel, diclofenac sodium 1% (10 mg/g) gel</t>
  </si>
  <si>
    <t>منار علي عبدالله القحطاني</t>
  </si>
  <si>
    <t>عبدالمجيد عبيدالله بطيان السلمي</t>
  </si>
  <si>
    <t>metroNIDAZOLE, ibuprofen, amoxicillin</t>
  </si>
  <si>
    <t>metroNIDAZOLE 500 mg tablet, metroNIDAZOLE 500 mg tablet, metroNIDAZOLE 500 mg tablet, ibuprofen 400 mg tablet, ibuprofen 400 mg tablet, ibuprofen 400 mg tablet, amoxicillin 500 mg + clavulanic acid 125 mg tablet, amoxicillin 500 mg + clavulanic acid 125 mg tablet, amoxicillin 500 mg + clavulanic acid 125 mg tablet, metroNIDAZOLE 500 mg tablet, ibuprofen 400 mg tablet, metroNIDAZOLE 500 mg tablet, ibuprofen 400 mg tablet, metroNIDAZOLE 500 mg tablet, ibuprofen 400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metroNIDAZOLE 500 mg tablet, ibuprofen 400 mg tablet, metroNIDAZOLE 500 mg tablet, ibuprofen 400 mg tablet, metroNIDAZOLE 500 mg tablet, ibuprofen 400 mg tablet</t>
  </si>
  <si>
    <t>طارق عبدالله ثابت الحازمي</t>
  </si>
  <si>
    <t>acetylsalicylic acid, vitamin B complex (B, B, metFORMIN hydrochloride, atorvastatin, vitamins (A, C, D</t>
  </si>
  <si>
    <t>acetylsalicylic acid 100 mg tablet: enteric coated, vitamin B complex (B1,B6,B12) 100,200,0.2 mg Film coated tablets [oral], metFORMIN hydrochloride 500 mg tablet, atorvastatin 10 mg tablet, acetylsalicylic acid 100 mg tablet: enteric coated, vitamin B complex (B1,B6,B12) 100,200,0.2 mg Film coated tablets [oral], metFORMIN hydrochloride 500 mg tablet, atorvastatin 10 mg tablet, acetylsalicylic acid 100 mg tablet: enteric coated, vitamin B complex (B1,B6,B12) 100,200,0.2 mg Film coated tablets [oral], metFORMIN hydrochloride 500 mg tablet, atorvastatin 10 mg tablet, acetylsalicylic acid 100 mg tablet: enteric coated, vitamin B complex (B1,B6,B12) 100,200,0.2 mg Film coated tablets [oral], metFORMIN hydrochloride 500 mg tablet, atorvastatin 10 mg tablet, acetylsalicylic acid 100 mg tablet: enteric coated, vitamin B complex (B1,B6,B12) 100,200,0.2 mg Film coated tablets [oral], metFORMIN hydrochloride 500 mg tablet, atorvastatin 10 mg tablet, vitamins (A, B1, B2, B3, C, D3) tablet, vitamins (A, B1, B2, B3, C, D3) tablet, vitamins (A, B1, B2, B3, C, D3) tablet, vitamins (A, B1, B2, B3, C, D3) tablet, vitamins (A, B1, B2, B3, C, D3) tablet, acetylsalicylic acid 100 mg tablet: enteric coated, acetylsalicylic acid 100 mg tablet: enteric coated, acetylsalicylic acid 100 mg tablet: enteric coated, acetylsalicylic acid 100 mg tablet: enteric coated, acetylsalicylic acid 100 mg tablet: enteric coated, atorvastatin 10 mg tablet, vitamins (A, B1, B2, B3, C, D3) tablet, atorvastatin 10 mg tablet, vitamins (A, B1, B2, B3, C, D3) tablet, atorvastatin 10 mg tablet, vitamins (A, B1, B2, B3, C, D3) tablet, atorvastatin 10 mg tablet, vitamins (A, B1, B2, B3, C, D3) tablet, atorvastatin 10 mg tablet, vitamins (A, B1, B2, B3, C, D3) tablet,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atorvastatin 10 mg tablet, atorvastatin 10 mg tablet, atorvastatin 10 mg tablet, atorvastatin 10 mg tablet, atorvastatin 10 mg tablet, vitamin B complex (B1,B6,B12) 100,200,0.2 mg Film coated tablets [oral], acetylsalicylic acid 100 mg tablet: enteric coated, metFORMIN hydrochloride 500 mg tablet, vitamin B complex (B1,B6,B12) 100,200,0.2 mg Film coated tablets [oral], acetylsalicylic acid 100 mg tablet: enteric coated, metFORMIN hydrochloride 500 mg tablet, vitamin B complex (B1,B6,B12) 100,200,0.2 mg Film coated tablets [oral], acetylsalicylic acid 100 mg tablet: enteric coated, metFORMIN hydrochloride 500 mg tablet, vitamin B complex (B1,B6,B12) 100,200,0.2 mg Film coated tablets [oral], acetylsalicylic acid 100 mg tablet: enteric coated, metFORMIN hydrochloride 500 mg tablet, vitamin B complex (B1,B6,B12) 100,200,0.2 mg Film coated tablets [oral], acetylsalicylic acid 100 mg tablet: enteric coated, metFORMIN hydrochloride 500 mg tablet, vitamins (A, B1, B2, B3, C, D3) tablet, vitamin B complex (B1,B6,B12) 100,200,0.2 mg Film coated tablets [oral], vitamins (A, B1, B2, B3, C, D3) tablet, vitamin B complex (B1,B6,B12) 100,200,0.2 mg Film coated tablets [oral], vitamins (A, B1, B2, B3, C, D3) tablet, vitamin B complex (B1,B6,B12) 100,200,0.2 mg Film coated tablets [oral], vitamins (A, B1, B2, B3, C, D3) tablet, vitamin B complex (B1,B6,B12) 100,200,0.2 mg Film coated tablets [oral], vitamins (A, B1, B2, B3, C, D3) tablet, vitamin B complex (B1,B6,B12) 100,200,0.2 mg Film coated tablets [oral], acetylsalicylic acid 100 mg tablet: enteric coated, acetylsalicylic acid 100 mg tablet: enteric coated, acetylsalicylic acid 100 mg tablet: enteric coated, acetylsalicylic acid 100 mg tablet: enteric coated, acetylsalicylic acid 100 mg tablet: enteric coated, metFORMIN hydrochloride 500 mg tablet, atorvastatin 10 mg tablet, metFORMIN hydrochloride 500 mg tablet, atorvastatin 10 mg tablet, metFORMIN hydrochloride 500 mg tablet, atorvastatin 10 mg tablet, metFORMIN hydrochloride 500 mg tablet, atorvastatin 10 mg tablet, metFORMIN hydrochloride 500 mg tablet, atorvastatin 10 mg tablet, vitamins (A, B1, B2, B3, C, D3) tablet, vitamins (A, B1, B2, B3, C, D3) tablet, vitamins (A, B1, B2, B3, C, D3) tablet, vitamins (A, B1, B2, B3, C, D3) tablet, vitamins (A, B1, B2, B3, C, D3) tablet</t>
  </si>
  <si>
    <t>Antiplatelet, Diabetes, Dyslipidemia, Vitamins/Supplements</t>
  </si>
  <si>
    <t>عبدالله محمد حمدان الغامدي</t>
  </si>
  <si>
    <t>carbomer, amLODIPine, chlorzoxazone</t>
  </si>
  <si>
    <t>carbomer 0.2% (2 mg/g) eye gel, carbomer 0.2% (2 mg/g) eye gel, carbomer 0.2% (2 mg/g) eye gel, carbomer 0.2% (2 mg/g) eye gel, amLODIPine 5 mg tablet, chlorzoxazone 250 mg + paracetamol 300 mg capsule, amLODIPine 5 mg tablet, chlorzoxazone 250 mg + paracetamol 300 mg capsule, amLODIPine 5 mg tablet, chlorzoxazone 250 mg + paracetamol 300 mg capsule, amLODIPine 5 mg tablet, chlorzoxazone 250 mg + paracetamol 300 mg capsule, chlorzoxazone 250 mg + paracetamol 300 mg capsule, chlorzoxazone 250 mg + paracetamol 300 mg capsule, chlorzoxazone 250 mg + paracetamol 300 mg capsule, chlorzoxazone 250 mg + paracetamol 300 mg capsule, amLODIPine 5 mg tablet, carbomer 0.2% (2 mg/g) eye gel, amLODIPine 5 mg tablet, carbomer 0.2% (2 mg/g) eye gel, amLODIPine 5 mg tablet, carbomer 0.2% (2 mg/g) eye gel, amLODIPine 5 mg tablet, carbomer 0.2% (2 mg/g) eye gel, chlorzoxazone 250 mg + paracetamol 300 mg capsule, amLODIPine 5 mg tablet, chlorzoxazone 250 mg + paracetamol 300 mg capsule, amLODIPine 5 mg tablet, chlorzoxazone 250 mg + paracetamol 300 mg capsule, amLODIPine 5 mg tablet, chlorzoxazone 250 mg + paracetamol 300 mg capsule, amLODIPine 5 mg tablet, carbomer 0.2% (2 mg/g) eye gel, carbomer 0.2% (2 mg/g) eye gel, carbomer 0.2% (2 mg/g) eye gel, carbomer 0.2% (2 mg/g) eye gel</t>
  </si>
  <si>
    <t>اشواق ازهرى بن شعيا بنجر</t>
  </si>
  <si>
    <t>عطيه عبدالمعطي عطيه الله الجحدلي</t>
  </si>
  <si>
    <t>atorvastatin, empagliflozin</t>
  </si>
  <si>
    <t>atorvastatin 10 mg tablet, atorvastatin 10 mg tablet, atorvastatin 10 mg tablet, atorvastatin 10 mg tablet, empagliflozin 10 mg tablet, empagliflozin 10 mg tablet, empagliflozin 10 mg tablet, empagliflozin 10 mg tablet, atorvastatin 10 mg tablet, atorvastatin 10 mg tablet, atorvastatin 10 mg tablet, atorvastatin 10 mg tablet, empagliflozin 10 mg tablet, empagliflozin 10 mg tablet, empagliflozin 10 mg tablet, empagliflozin 10 mg tablet, atorvastatin 10 mg tablet, atorvastatin 10 mg tablet, atorvastatin 10 mg tablet, atorvastatin 10 mg tablet, empagliflozin 10 mg tablet, empagliflozin 10 mg tablet, empagliflozin 10 mg tablet, empagliflozin 10 mg tablet</t>
  </si>
  <si>
    <t>محمد احمد عبدالله المهدلي</t>
  </si>
  <si>
    <t>gliclazide</t>
  </si>
  <si>
    <t>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t>
  </si>
  <si>
    <t>حمزه سعيد صدقه العوفي</t>
  </si>
  <si>
    <t>metFORMIN hydrochloride, indapamide, tamsulosin hydrochloride, atorvastatin, allopurinol, valsartan, vitamin B complex (B, B</t>
  </si>
  <si>
    <t>metFORMIN hydrochloride 750 mg tablet: modified release, metFORMIN hydrochloride 750 mg tablet: modified release, metFORMIN hydrochloride 750 mg tablet: modified release, indapamide 1.5 mg tablet: modified release, indapamide 1.5 mg tablet: modified release, indapamide 1.5 mg tablet: modified release, tamsulosin hydrochloride 400 microgram tablet: modified release, atorvastatin 20 mg tablet, allopurinol 100 mg tablet, valsartan 80 mg tablet, tamsulosin hydrochloride 400 microgram tablet: modified release, atorvastatin 20 mg tablet, allopurinol 100 mg tablet, valsartan 80 mg tablet, tamsulosin hydrochloride 400 microgram tablet: modified release, atorvastatin 20 mg tablet, allopurinol 100 mg tablet, valsartan 80 mg tablet, vitamin B complex (B1,B6,B12) 100,200,0.2 mg Film coated tablets [oral], vitamin B complex (B1,B6,B12) 100,200,0.2 mg Film coated tablets [oral], vitamin B complex (B1,B6,B12) 100,200,0.2 mg Film coated tablets [oral], atorvastatin 20 mg tablet, allopurinol 100 mg tablet, vitamin B complex (B1,B6,B12) 100,200,0.2 mg Film coated tablets [oral], atorvastatin 20 mg tablet, allopurinol 100 mg tablet, vitamin B complex (B1,B6,B12) 100,200,0.2 mg Film coated tablets [oral], atorvastatin 20 mg tablet, allopurinol 100 mg tablet, vitamin B complex (B1,B6,B12) 100,200,0.2 mg Film coated tablets [oral], tamsulosin hydrochloride 400 microgram tablet: modified release, valsartan 80 mg tablet, metFORMIN hydrochloride 750 mg tablet: modified release, tamsulosin hydrochloride 400 microgram tablet: modified release, valsartan 80 mg tablet, metFORMIN hydrochloride 750 mg tablet: modified release, tamsulosin hydrochloride 400 microgram tablet: modified release, valsartan 80 mg tablet, metFORMIN hydrochloride 750 mg tablet: modified release, indapamide 1.5 mg tablet: modified release, indapamide 1.5 mg tablet: modified release, indapamide 1.5 mg tablet: modified release</t>
  </si>
  <si>
    <t>سعود سعد عيضه المالكي</t>
  </si>
  <si>
    <t>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t>
  </si>
  <si>
    <t>سعيد محمد صالح الشهري</t>
  </si>
  <si>
    <t>furosemide, vitamin B complex (B, B, spironolactone, bisoprolol fumarate, atorvastatin, colecalciferol</t>
  </si>
  <si>
    <t>furosemide 40 mg tablet, vitamin B complex (B1,B6,B12) 100,100,0.15 mg Film coated tablets [oral], furosemide 40 mg tablet, vitamin B complex (B1,B6,B12) 100,100,0.15 mg Film coated tablets [oral], furosemide 40 mg tablet, vitamin B complex (B1,B6,B12) 100,100,0.15 mg Film coated tablets [oral], spironolactone 25 mg tablet, spironolactone 25 mg tablet, spironolactone 25 mg tablet, bisoprolol fumarate 5 mg tablet, bisoprolol fumarate 5 mg tablet, bisoprolol fumarate 5 mg tablet, spironolactone 25 mg tablet, atorvastatin 20 mg tablet, furosemide 40 mg tablet, spironolactone 25 mg tablet, atorvastatin 20 mg tablet, furosemide 40 mg tablet, spironolactone 25 mg tablet, atorvastatin 20 mg tablet, furosemide 40 mg tablet, vitamin B complex (B1,B6,B12) 100,100,0.15 mg Film coated tablets [oral], bisoprolol fumarate 5 mg tablet, vitamin B complex (B1,B6,B12) 100,100,0.15 mg Film coated tablets [oral], bisoprolol fumarate 5 mg tablet, vitamin B complex (B1,B6,B12) 100,100,0.15 mg Film coated tablets [oral], bisoprolol fumarate 5 mg tablet, colecalciferol 50 000 international units tablet, colecalciferol 50 000 international units tablet, colecalciferol 50 000 international units tablet, spironolactone 25 mg tablet, atorvastatin 20 mg tablet, furosemide 40 mg tablet, vitamin B complex (B1,B6,B12) 100,100,0.15 mg Film coated tablets [oral], spironolactone 25 mg tablet, atorvastatin 20 mg tablet, furosemide 40 mg tablet, vitamin B complex (B1,B6,B12) 100,100,0.15 mg Film coated tablets [oral], spironolactone 25 mg tablet, atorvastatin 20 mg tablet, furosemide 40 mg tablet, vitamin B complex (B1,B6,B12) 100,100,0.15 mg Film coated tablets [oral], bisoprolol fumarate 5 mg tablet, bisoprolol fumarate 5 mg tablet, bisoprolol fumarate 5 mg tablet, colecalciferol 50 000 international units tablet, colecalciferol 50 000 international units tablet, colecalciferol 50 000 international units tablet, furosemide 40 mg tablet, furosemide 40 mg tablet, furosemide 40 mg tablet, vitamin B complex (B1,B6,B12) 100,100,0.15 mg Film coated tablets [oral], spironolactone 25 mg tablet, vitamin B complex (B1,B6,B12) 100,100,0.15 mg Film coated tablets [oral], spironolactone 25 mg tablet, vitamin B complex (B1,B6,B12) 100,100,0.15 mg Film coated tablets [oral], spironolactone 25 mg tablet, colecalciferol 50 000 international units tablet, colecalciferol 50 000 international units tablet, colecalciferol 50 000 international units tablet, atorvastatin 20 mg tablet, bisoprolol fumarate 5 mg tablet, atorvastatin 20 mg tablet, bisoprolol fumarate 5 mg tablet, atorvastatin 20 mg tablet, bisoprolol fumarate 5 mg tablet, vitamin B complex (B1,B6,B12) 100,100,0.15 mg Film coated tablets [oral], furosemide 40 mg tablet, vitamin B complex (B1,B6,B12) 100,100,0.15 mg Film coated tablets [oral], furosemide 40 mg tablet, vitamin B complex (B1,B6,B12) 100,100,0.15 mg Film coated tablets [oral], furosemide 40 mg tablet, colecalciferol 50 000 international units tablet, colecalciferol 50 000 international units tablet, colecalciferol 50 000 international units tablet, bisoprolol fumarate 5 mg tablet, furosemide 40 mg tablet, atorvastatin 20 mg tablet, bisoprolol fumarate 5 mg tablet, furosemide 40 mg tablet, atorvastatin 20 mg tablet, bisoprolol fumarate 5 mg tablet, furosemide 40 mg tablet, atorvastatin 20 mg tablet, spironolactone 25 mg tablet, spironolactone 25 mg tablet, spironolactone 25 mg tablet, vitamin B complex (B1,B6,B12) 100,100,0.15 mg Film coated tablets [oral], vitamin B complex (B1,B6,B12) 100,100,0.15 mg Film coated tablets [oral], vitamin B complex (B1,B6,B12) 100,100,0.15 mg Film coated tablets [oral], spironolactone 25 mg tablet, colecalciferol 50 000 international units tablet, spironolactone 25 mg tablet, colecalciferol 50 000 international units tablet, spironolactone 25 mg tablet, colecalciferol 50 000 international units tablet, bisoprolol fumarate 5 mg tablet, bisoprolol fumarate 5 mg tablet, bisoprolol fumarate 5 mg tablet, furosemide 40 mg tablet, vitamin B complex (B1,B6,B12) 100,100,0.15 mg Film coated tablets [oral], furosemide 40 mg tablet, vitamin B complex (B1,B6,B12) 100,100,0.15 mg Film coated tablets [oral], furosemide 40 mg tablet, vitamin B complex (B1,B6,B12) 100,100,0.15 mg Film coated tablets [oral], atorvastatin 20 mg tablet, atorvastatin 20 mg tablet, atorvastatin 20 mg tablet, bisoprolol fumarate 5 mg tablet, bisoprolol fumarate 5 mg tablet, bisoprolol fumarate 5 mg tablet, spironolactone 25 mg tablet, spironolactone 25 mg tablet, spironolactone 25 mg tablet</t>
  </si>
  <si>
    <t>سعود عايض عبدالرحمن الحربي</t>
  </si>
  <si>
    <t>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t>
  </si>
  <si>
    <t>صالح عبدالحميد مير بهادر</t>
  </si>
  <si>
    <t>colecalciferol, gliclazide, SITagliptin, metFORMIN hydrochloride, vitamin B complex (B, B, valsartan, omeprazole, mebeverine hydrochloride, empagliflozin</t>
  </si>
  <si>
    <t>colecalciferol 50 000 international units tablet, gliclazide 60 mg tablet: modified release, SITagliptin 100 mg tablet, metFORMIN hydrochloride 500 mg tablet, vitamin B complex (B1,B6,B12) 100,200,0.2 mg Film coated tablets [oral], valsartan 80 mg tablet, omeprazole 20 mg tablet: enteric coated, colecalciferol 50 000 international units tablet, gliclazide 60 mg tablet: modified release, SITagliptin 100 mg tablet, metFORMIN hydrochloride 500 mg tablet, vitamin B complex (B1,B6,B12) 100,200,0.2 mg Film coated tablets [oral], valsartan 80 mg tablet, omeprazole 20 mg tablet: enteric coated, colecalciferol 50 000 international units tablet, gliclazide 60 mg tablet: modified release, SITagliptin 100 mg tablet, metFORMIN hydrochloride 500 mg tablet, vitamin B complex (B1,B6,B12) 100,200,0.2 mg Film coated tablets [oral], valsartan 80 mg tablet, omeprazole 20 mg tablet: enteric coated, colecalciferol 50 000 international units tablet, gliclazide 60 mg tablet: modified release, SITagliptin 100 mg tablet, metFORMIN hydrochloride 500 mg tablet, vitamin B complex (B1,B6,B12) 100,200,0.2 mg Film coated tablets [oral], valsartan 80 mg tablet, omeprazole 20 mg tablet: enteric coated, colecalciferol 50 000 international units tablet, gliclazide 60 mg tablet: modified release, SITagliptin 100 mg tablet, metFORMIN hydrochloride 500 mg tablet, vitamin B complex (B1,B6,B12) 100,200,0.2 mg Film coated tablets [oral], valsartan 80 mg tablet, omeprazole 20 mg tablet: enteric coated, mebeverine hydrochloride 200 mg capsule: modified release, empagliflozin 25 mg tablet, mebeverine hydrochloride 200 mg capsule: modified release, empagliflozin 25 mg tablet, mebeverine hydrochloride 200 mg capsule: modified release, empagliflozin 25 mg tablet, mebeverine hydrochloride 200 mg capsule: modified release, empagliflozin 25 mg tablet, mebeverine hydrochloride 200 mg capsule: modified release, empagliflozin 25 mg tablet, rosuvastatin 10 mg tablet, rosuvastatin 10 mg tablet, rosuvastatin 10 mg tablet, rosuvastatin 10 mg tablet, rosuvastatin 10 mg tablet, valsartan 80 mg tablet, omeprazole 20 mg tablet: enteric coated, colecalciferol 50 000 international units tablet, valsartan 80 mg tablet, omeprazole 20 mg tablet: enteric coated, colecalciferol 50 000 international units tablet, valsartan 80 mg tablet, omeprazole 20 mg tablet: enteric coated, colecalciferol 50 000 international units tablet, valsartan 80 mg tablet, omeprazole 20 mg tablet: enteric coated, colecalciferol 50 000 international units tablet, valsartan 80 mg tablet, omeprazole 20 mg tablet: enteric coated, colecalciferol 50 000 international units tablet,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rosuvastatin 10 mg tablet, gliclazide 60 mg tablet: modified release, rosuvastatin 10 mg tablet, gliclazide 60 mg tablet: modified release, rosuvastatin 10 mg tablet, gliclazide 60 mg tablet: modified release, rosuvastatin 10 mg tablet, gliclazide 60 mg tablet: modified release, rosuvastatin 10 mg tablet, gliclazide 60 mg tablet: modified release, vitamin B complex (B1,B6,B12) 100,200,0.2 mg Film coated tablets [oral], SITagliptin 100 mg tablet, vitamin B complex (B1,B6,B12) 100,200,0.2 mg Film coated tablets [oral], SITagliptin 100 mg tablet, vitamin B complex (B1,B6,B12) 100,200,0.2 mg Film coated tablets [oral], SITagliptin 100 mg tablet, vitamin B complex (B1,B6,B12) 100,200,0.2 mg Film coated tablets [oral], SITagliptin 100 mg tablet, vitamin B complex (B1,B6,B12) 100,200,0.2 mg Film coated tablets [oral], SITagliptin 100 mg tablet, empagliflozin 25 mg tablet, metFORMIN hydrochloride 500 mg tablet, empagliflozin 25 mg tablet, metFORMIN hydrochloride 500 mg tablet, empagliflozin 25 mg tablet, metFORMIN hydrochloride 500 mg tablet, empagliflozin 25 mg tablet, metFORMIN hydrochloride 500 mg tablet, empagliflozin 25 mg tablet, metFORMIN hydrochloride 500 mg tablet, metFORMIN hydrochloride 500 mg tablet, metFORMIN hydrochloride 500 mg tablet, metFORMIN hydrochloride 500 mg tablet, metFORMIN hydrochloride 500 mg tablet, metFORMIN hydrochloride 500 mg tablet, SITagliptin 100 mg tablet, valsartan 80 mg tablet, vitamin B complex (B1,B6,B12) 100,200,0.2 mg Film coated tablets [oral], rosuvastatin 10 mg tablet, SITagliptin 100 mg tablet, valsartan 80 mg tablet, vitamin B complex (B1,B6,B12) 100,200,0.2 mg Film coated tablets [oral], rosuvastatin 10 mg tablet, SITagliptin 100 mg tablet, valsartan 80 mg tablet, vitamin B complex (B1,B6,B12) 100,200,0.2 mg Film coated tablets [oral], rosuvastatin 10 mg tablet, SITagliptin 100 mg tablet, valsartan 80 mg tablet, vitamin B complex (B1,B6,B12) 100,200,0.2 mg Film coated tablets [oral], rosuvastatin 10 mg tablet, SITagliptin 100 mg tablet, valsartan 80 mg tablet, vitamin B complex (B1,B6,B12) 100,200,0.2 mg Film coated tablets [oral], rosuvastatin 10 mg tablet, omeprazole 20 mg tablet: enteric coated, gliclazide 60 mg tablet: modified release, mebeverine hydrochloride 200 mg capsule: modified release, colecalciferol 50 000 international units tablet, omeprazole 20 mg tablet: enteric coated, gliclazide 60 mg tablet: modified release, mebeverine hydrochloride 200 mg capsule: modified release, colecalciferol 50 000 international units tablet, omeprazole 20 mg tablet: enteric coated, gliclazide 60 mg tablet: modified release, mebeverine hydrochloride 200 mg capsule: modified release, colecalciferol 50 000 international units tablet, omeprazole 20 mg tablet: enteric coated, gliclazide 60 mg tablet: modified release, mebeverine hydrochloride 200 mg capsule: modified release, colecalciferol 50 000 international units tablet, omeprazole 20 mg tablet: enteric coated, gliclazide 60 mg tablet: modified release, mebeverine hydrochloride 200 mg capsule: modified release, colecalciferol 50 000 international units tablet, empagliflozin 25 mg tablet, empagliflozin 25 mg tablet, empagliflozin 25 mg tablet, empagliflozin 25 mg tablet, empagliflozin 25 mg tablet</t>
  </si>
  <si>
    <t>وازنه عتيق عفنان الجهني</t>
  </si>
  <si>
    <t>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t>
  </si>
  <si>
    <t>جابره منصور ناصر القايدي</t>
  </si>
  <si>
    <t>fusidic acid</t>
  </si>
  <si>
    <t>fusidic acid 2% (20 mg/g) cream, fusidic acid 2% (20 mg/g) cream, fusidic acid 2% (20 mg/g) cream, fusidic acid 2% (20 mg/g) cream, fusidic acid 2% (20 mg/g) cream, fusidic acid 2% (20 mg/g) cream, fusidic acid 2% (20 mg/g) cream, fusidic acid 2% (20 mg/g) cream, fusidic acid 2% (20 mg/g) cream, fusidic acid 2% (20 mg/g) cream, fusidic acid 2% (20 mg/g) cream, fusidic acid 2% (20 mg/g) cream, fusidic acid 2% (20 mg/g) cream, fusidic acid 2% (20 mg/g) cream, fusidic acid 2% (20 mg/g) cream, fusidic acid 2% (20 mg/g) cream, fusidic acid 2% (20 mg/g) cream, fusidic acid 2% (20 mg/g) cream</t>
  </si>
  <si>
    <t>عبدالرحمن شاكر عيضه الحارثي</t>
  </si>
  <si>
    <t>Glucometer Device (Accu-Chek)</t>
  </si>
  <si>
    <t>Glucometer Device (Accu-Chek) 1 device Device [n/a], Glucometer Device (Accu-Chek) 1 device Device [n/a], Glucometer Device (Accu-Chek) 1 device Device [n/a], Glucometer Device (Accu-Chek) 1 device Device [n/a], Glucometer Device (Accu-Chek) 1 device Device [n/a], Glucometer Device (Accu-Chek) 1 device Device [n/a]</t>
  </si>
  <si>
    <t>حسن عبده ابراهيم مباركي</t>
  </si>
  <si>
    <t>carbomer</t>
  </si>
  <si>
    <t>carbomer 0.2% (2 mg/g) eye gel, carbomer 0.2% (2 mg/g) eye gel, carbomer 0.2% (2 mg/g) eye gel, carbomer 0.2% (2 mg/g) eye gel, carbomer 0.2% (2 mg/g) eye gel, carbomer 0.2% (2 mg/g) eye gel, carbomer 0.2% (2 mg/g) eye gel, carbomer 0.2% (2 mg/g) eye gel, carbomer 0.2% (2 mg/g) eye gel, carbomer 0.2% (2 mg/g) eye gel, carbomer 0.2% (2 mg/g) eye gel, carbomer 0.2% (2 mg/g) eye gel, carbomer 0.2% (2 mg/g) eye gel, carbomer 0.2% (2 mg/g) eye gel, carbomer 0.2% (2 mg/g) eye gel, carbomer 0.2% (2 mg/g) eye gel, carbomer 0.2% (2 mg/g) eye gel, carbomer 0.2% (2 mg/g) eye gel, carbomer 0.2% (2 mg/g) eye gel, carbomer 0.2% (2 mg/g) eye gel, carbomer 0.2% (2 mg/g) eye gel, carbomer 0.2% (2 mg/g) eye gel, carbomer 0.2% (2 mg/g) eye gel, carbomer 0.2% (2 mg/g) eye gel, carbomer 0.2% (2 mg/g) eye gel, carbomer 0.2% (2 mg/g) eye gel, carbomer 0.2% (2 mg/g) eye gel, carbomer 0.2% (2 mg/g) eye gel</t>
  </si>
  <si>
    <t>عدنان بن امين بن حسين خوج</t>
  </si>
  <si>
    <t>metFORMIN hydrochloride, atorvastatin, valsartan, diclofenac sodium, acetylsalicylic acid, vitamin B complex (B, B, indapamide</t>
  </si>
  <si>
    <t>metFORMIN hydrochloride 500 mg tablet, atorvastatin 20 mg tablet, metFORMIN hydrochloride 500 mg tablet, atorvastatin 20 mg tablet, metFORMIN hydrochloride 500 mg tablet, atorvastatin 20 mg tablet, metFORMIN hydrochloride 500 mg tablet, atorvastatin 20 mg tablet, valsartan 80 mg tablet, valsartan 80 mg tablet, valsartan 80 mg tablet, valsartan 80 mg tablet, diclofenac sodium 1% (10 mg/g) gel, acetylsalicylic acid 100 mg tablet: enteric coated, vitamin B complex (B1,B6,B12) 100,200,0.2 mg Film coated tablets [oral], diclofenac sodium 1% (10 mg/g) gel, acetylsalicylic acid 100 mg tablet: enteric coated, vitamin B complex (B1,B6,B12) 100,200,0.2 mg Film coated tablets [oral], diclofenac sodium 1% (10 mg/g) gel, acetylsalicylic acid 100 mg tablet: enteric coated, vitamin B complex (B1,B6,B12) 100,200,0.2 mg Film coated tablets [oral], diclofenac sodium 1% (10 mg/g) gel, acetylsalicylic acid 100 mg tablet: enteric coated, vitamin B complex (B1,B6,B12) 100,200,0.2 mg Film coated tablets [oral], indapamide 1.5 mg tablet: modified release, indapamide 1.5 mg tablet: modified release, indapamide 1.5 mg tablet: modified release, indapamide 1.5 mg tablet: modified release, acetylsalicylic acid 100 mg tablet: enteric coated, vitamin B complex (B1,B6,B12) 100,200,0.2 mg Film coated tablets [oral], acetylsalicylic acid 100 mg tablet: enteric coated, vitamin B complex (B1,B6,B12) 100,200,0.2 mg Film coated tablets [oral], acetylsalicylic acid 100 mg tablet: enteric coated, vitamin B complex (B1,B6,B12) 100,200,0.2 mg Film coated tablets [oral], acetylsalicylic acid 100 mg tablet: enteric coated, vitamin B complex (B1,B6,B12) 100,200,0.2 mg Film coated tablets [oral], metFORMIN hydrochloride 500 mg tablet, metFORMIN hydrochloride 500 mg tablet, metFORMIN hydrochloride 500 mg tablet, metFORMIN hydrochloride 500 mg tablet, valsartan 80 mg tablet, indapamide 1.5 mg tablet: modified release, valsartan 80 mg tablet, indapamide 1.5 mg tablet: modified release, valsartan 80 mg tablet, indapamide 1.5 mg tablet: modified release, valsartan 80 mg tablet, indapamide 1.5 mg tablet: modified release, diclofenac sodium 1% (10 mg/g) gel, atorvastatin 20 mg tablet, diclofenac sodium 1% (10 mg/g) gel, atorvastatin 20 mg tablet, diclofenac sodium 1% (10 mg/g) gel, atorvastatin 20 mg tablet, diclofenac sodium 1% (10 mg/g) gel, atorvastatin 20 mg tablet</t>
  </si>
  <si>
    <t>فهد محمد سعيد مسفر الرفاعي</t>
  </si>
  <si>
    <t>diclofenac sodium 50 mg tablet, diclofenac sodium 50 mg tablet, diclofenac sodium 50 mg tablet, paracetamol 500 mg tablet, paracetamol 500 mg tablet, paracetamol 500 mg tablet, paracetamol 500 mg tablet, diclofenac sodium 50 mg tablet, paracetamol 500 mg tablet, diclofenac sodium 50 mg tablet, paracetamol 500 mg tablet, diclofenac sodium 50 mg tablet, diclofenac sodium 50 mg tablet, paracetamol 500 mg tablet, diclofenac sodium 50 mg tablet, paracetamol 500 mg tablet, diclofenac sodium 50 mg tablet, paracetamol 500 mg tablet, diclofenac sodium 50 mg tablet, diclofenac sodium 50 mg tablet, diclofenac sodium 50 mg tablet, paracetamol 500 mg tablet, paracetamol 500 mg tablet, paracetamol 500 mg tablet</t>
  </si>
  <si>
    <t>عبدالله حسن أحمد القرني</t>
  </si>
  <si>
    <t>شريفه احمد حامد المالكي</t>
  </si>
  <si>
    <t>hydroCHLOROthiazide, valsartan, carbomer</t>
  </si>
  <si>
    <t>hydroCHLOROthiazide 25 mg tablet: scored, valsartan 80 mg tablet, hydroCHLOROthiazide 25 mg tablet: scored, valsartan 80 mg tablet, hydroCHLOROthiazide 25 mg tablet: scored, valsartan 80 mg tablet, hydroCHLOROthiazide 25 mg tablet: scored, hydroCHLOROthiazide 25 mg tablet: scored, hydroCHLOROthiazide 25 mg tablet: scored, valsartan 80 mg tablet, valsartan 80 mg tablet, valsartan 80 mg tablet, carbomer 0.2% (2 mg/g) eye gel, carbomer 0.2% (2 mg/g) eye gel, carbomer 0.2% (2 mg/g) eye gel, hydroCHLOROthiazide 25 mg tablet: scored, carbomer 0.2% (2 mg/g) eye gel, hydroCHLOROthiazide 25 mg tablet: scored, carbomer 0.2% (2 mg/g) eye gel, hydroCHLOROthiazide 25 mg tablet: scored, carbomer 0.2% (2 mg/g) eye gel, valsartan 80 mg tablet, valsartan 80 mg tablet, valsartan 80 mg tablet, carbomer 0.2% (2 mg/g) eye gel, carbomer 0.2% (2 mg/g) eye gel, carbomer 0.2% (2 mg/g) eye gel, valsartan 80 mg tablet, valsartan 80 mg tablet, valsartan 80 mg tablet, hydroCHLOROthiazide 25 mg tablet: scored, hydroCHLOROthiazide 25 mg tablet: scored, hydroCHLOROthiazide 25 mg tablet: scored</t>
  </si>
  <si>
    <t>ساره ضيف الله ابن دغيليب العتيبي</t>
  </si>
  <si>
    <t>سراج عمر محمدزين بقلين</t>
  </si>
  <si>
    <t>bisoprolol fumarate, metFORMIN hydrochloride, fenofibrate, acetylsalicylic acid, empagliflozin, insulin glargine, Insulin Pen Needle</t>
  </si>
  <si>
    <t>bisoprolol fumarate 5 mg tablet, metFORMIN hydrochloride 500 mg tablet, fenofibrate 145 mg tablet, bisoprolol fumarate 5 mg tablet, metFORMIN hydrochloride 500 mg tablet, fenofibrate 145 mg tablet, bisoprolol fumarate 5 mg tablet, metFORMIN hydrochloride 500 mg tablet, fenofibrate 145 mg tablet, bisoprolol fumarate 5 mg tablet, metFORMIN hydrochloride 500 mg tablet, fenofibrate 145 mg tablet, bisoprolol fumarate 5 mg tablet, metFORMIN hydrochloride 500 mg tablet, fenofibrate 145 mg tablet, bisoprolol fumarate 5 mg tablet, metFORMIN hydrochloride 500 mg tablet, fenofibrate 145 mg tablet, bisoprolol fumarate 5 mg tablet, metFORMIN hydrochloride 500 mg tablet, fenofibrate 145 mg tablet, bisoprolol fumarate 5 mg tablet, metFORMIN hydrochloride 500 mg tablet, fenofibrate 145 mg tablet, acetylsalicylic acid 100 mg tablet: enteric coated, empagliflozin 10 mg tablet, acetylsalicylic acid 100 mg tablet: enteric coated, empagliflozin 10 mg tablet, acetylsalicylic acid 100 mg tablet: enteric coated, empagliflozin 10 mg tablet, acetylsalicylic acid 100 mg tablet: enteric coated, empagliflozin 10 mg tablet, acetylsalicylic acid 100 mg tablet: enteric coated, empagliflozin 10 mg tablet, acetylsalicylic acid 100 mg tablet: enteric coated, empagliflozin 10 mg tablet, acetylsalicylic acid 100 mg tablet: enteric coated, empagliflozin 10 mg tablet, acetylsalicylic acid 100 mg tablet: enteric coated, empagliflozin 10 mg tablet, empagliflozin 10 mg tablet, empagliflozin 10 mg tablet, empagliflozin 10 mg tablet, empagliflozin 10 mg tablet, empagliflozin 10 mg tablet, empagliflozin 10 mg tablet, empagliflozin 10 mg tablet, empagliflozin 10 mg tablet, fenofibrate 145 mg tablet, insulin glargine 300 international units/mL injection, 1.5 mL prefilled pen, Insulin Pen Needle 4mm Needle [sc], fenofibrate 145 mg tablet, insulin glargine 300 international units/mL injection, 1.5 mL prefilled pen, Insulin Pen Needle 4mm Needle [sc], fenofibrate 145 mg tablet, insulin glargine 300 international units/mL injection, 1.5 mL prefilled pen, Insulin Pen Needle 4mm Needle [sc], fenofibrate 145 mg tablet, insulin glargine 300 international units/mL injection, 1.5 mL prefilled pen, Insulin Pen Needle 4mm Needle [sc], fenofibrate 145 mg tablet, insulin glargine 300 international units/mL injection, 1.5 mL prefilled pen, Insulin Pen Needle 4mm Needle [sc], fenofibrate 145 mg tablet, insulin glargine 300 international units/mL injection, 1.5 mL prefilled pen, Insulin Pen Needle 4mm Needle [sc], fenofibrate 145 mg tablet, insulin glargine 300 international units/mL injection, 1.5 mL prefilled pen, Insulin Pen Needle 4mm Needle [sc], fenofibrate 145 mg tablet, insulin glargine 300 international units/mL injection, 1.5 mL prefilled pen, Insulin Pen Needle 4mm Needle [sc], metFORMIN hydrochloride 500 mg tablet, acetylsalicylic acid 100 mg tablet: enteric coated, metFORMIN hydrochloride 500 mg tablet, acetylsalicylic acid 100 mg tablet: enteric coated, metFORMIN hydrochloride 500 mg tablet, acetylsalicylic acid 100 mg tablet: enteric coated, metFORMIN hydrochloride 500 mg tablet, acetylsalicylic acid 100 mg tablet: enteric coated, metFORMIN hydrochloride 500 mg tablet, acetylsalicylic acid 100 mg tablet: enteric coated, metFORMIN hydrochloride 500 mg tablet, acetylsalicylic acid 100 mg tablet: enteric coated, metFORMIN hydrochloride 500 mg tablet, acetylsalicylic acid 100 mg tablet: enteric coated, metFORMIN hydrochloride 500 mg tablet, acetylsalicylic acid 100 mg tablet: enteric coated, bisoprolol fumarate 5 mg tablet, bisoprolol fumarate 5 mg tablet, bisoprolol fumarate 5 mg tablet, bisoprolol fumarate 5 mg tablet, bisoprolol fumarate 5 mg tablet, bisoprolol fumarate 5 mg tablet, bisoprolol fumarate 5 mg tablet, bisoprolol fumarate 5 mg tablet, metFORMIN hydrochloride 500 mg tablet, fenofibrate 145 mg tablet, metFORMIN hydrochloride 500 mg tablet, fenofibrate 145 mg tablet, metFORMIN hydrochloride 500 mg tablet, fenofibrate 145 mg tablet, metFORMIN hydrochloride 500 mg tablet, fenofibrate 145 mg tablet, metFORMIN hydrochloride 500 mg tablet, fenofibrate 145 mg tablet, metFORMIN hydrochloride 500 mg tablet, fenofibrate 145 mg tablet, metFORMIN hydrochloride 500 mg tablet, fenofibrate 145 mg tablet, metFORMIN hydrochloride 500 mg tablet, fenofibrate 145 mg tablet, bisoprolol fumarate 5 mg tablet, bisoprolol fumarate 5 mg tablet, bisoprolol fumarate 5 mg tablet, bisoprolol fumarate 5 mg tablet, bisoprolol fumarate 5 mg tablet, bisoprolol fumarate 5 mg tablet, bisoprolol fumarate 5 mg tablet, bisoprolol fumarate 5 mg tablet, empagliflozin 10 mg tablet, Insulin Pen Needle 4mm Needle [sc], acetylsalicylic acid 100 mg tablet: enteric coated, empagliflozin 10 mg tablet, Insulin Pen Needle 4mm Needle [sc], acetylsalicylic acid 100 mg tablet: enteric coated, empagliflozin 10 mg tablet, Insulin Pen Needle 4mm Needle [sc], acetylsalicylic acid 100 mg tablet: enteric coated, empagliflozin 10 mg tablet, Insulin Pen Needle 4mm Needle [sc], acetylsalicylic acid 100 mg tablet: enteric coated, empagliflozin 10 mg tablet, Insulin Pen Needle 4mm Needle [sc], acetylsalicylic acid 100 mg tablet: enteric coated, empagliflozin 10 mg tablet, Insulin Pen Needle 4mm Needle [sc], acetylsalicylic acid 100 mg tablet: enteric coated, empagliflozin 10 mg tablet, Insulin Pen Needle 4mm Needle [sc], acetylsalicylic acid 100 mg tablet: enteric coated, empagliflozin 10 mg tablet, Insulin Pen Needle 4mm Needle [sc], acetylsalicylic acid 100 mg tablet: enteric coated,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fenofibrate 145 mg tablet, acetylsalicylic acid 100 mg tablet: enteric coated, fenofibrate 145 mg tablet, acetylsalicylic acid 100 mg tablet: enteric coated, fenofibrate 145 mg tablet, acetylsalicylic acid 100 mg tablet: enteric coated, fenofibrate 145 mg tablet, acetylsalicylic acid 100 mg tablet: enteric coated, fenofibrate 145 mg tablet, acetylsalicylic acid 100 mg tablet: enteric coated, fenofibrate 145 mg tablet, acetylsalicylic acid 100 mg tablet: enteric coated, fenofibrate 145 mg tablet, acetylsalicylic acid 100 mg tablet: enteric coated, fenofibrate 145 mg tablet, acetylsalicylic acid 100 mg tablet: enteric coated, metFORMIN hydrochloride 500 mg tablet, empagliflozin 10 mg tablet, insulin glargine 300 international units/mL injection, 1.5 mL prefilled pen, metFORMIN hydrochloride 500 mg tablet, empagliflozin 10 mg tablet, insulin glargine 300 international units/mL injection, 1.5 mL prefilled pen, metFORMIN hydrochloride 500 mg tablet, empagliflozin 10 mg tablet, insulin glargine 300 international units/mL injection, 1.5 mL prefilled pen, metFORMIN hydrochloride 500 mg tablet, empagliflozin 10 mg tablet, insulin glargine 300 international units/mL injection, 1.5 mL prefilled pen, metFORMIN hydrochloride 500 mg tablet, empagliflozin 10 mg tablet, insulin glargine 300 international units/mL injection, 1.5 mL prefilled pen, metFORMIN hydrochloride 500 mg tablet, empagliflozin 10 mg tablet, insulin glargine 300 international units/mL injection, 1.5 mL prefilled pen, metFORMIN hydrochloride 500 mg tablet, empagliflozin 10 mg tablet, insulin glargine 300 international units/mL injection, 1.5 mL prefilled pen, metFORMIN hydrochloride 500 mg tablet, empagliflozin 10 mg tablet, insulin glargine 300 international units/mL injection, 1.5 mL prefilled pen, Insulin Pen Needle 4mm Needle [sc], bisoprolol fumarate 5 mg tablet, Insulin Pen Needle 4mm Needle [sc], bisoprolol fumarate 5 mg tablet, Insulin Pen Needle 4mm Needle [sc], bisoprolol fumarate 5 mg tablet, Insulin Pen Needle 4mm Needle [sc], bisoprolol fumarate 5 mg tablet, Insulin Pen Needle 4mm Needle [sc], bisoprolol fumarate 5 mg tablet, Insulin Pen Needle 4mm Needle [sc], bisoprolol fumarate 5 mg tablet, Insulin Pen Needle 4mm Needle [sc], bisoprolol fumarate 5 mg tablet, Insulin Pen Needle 4mm Needle [sc], bisoprolol fumarate 5 mg tablet, acetylsalicylic acid 100 mg tablet: enteric coated, fenofibrate 145 mg tablet, acetylsalicylic acid 100 mg tablet: enteric coated, fenofibrate 145 mg tablet, acetylsalicylic acid 100 mg tablet: enteric coated, fenofibrate 145 mg tablet, acetylsalicylic acid 100 mg tablet: enteric coated, fenofibrate 145 mg tablet, acetylsalicylic acid 100 mg tablet: enteric coated, fenofibrate 145 mg tablet, acetylsalicylic acid 100 mg tablet: enteric coated, fenofibrate 145 mg tablet, acetylsalicylic acid 100 mg tablet: enteric coated, fenofibrate 145 mg tablet, acetylsalicylic acid 100 mg tablet: enteric coated, fenofibrate 145 mg tablet, Insulin Pen Needle 4mm Needle [sc],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metFORMIN hydrochloride 500 mg tablet, bisoprolol fumarate 5 mg tablet, metFORMIN hydrochloride 500 mg tablet, bisoprolol fumarate 5 mg tablet, metFORMIN hydrochloride 500 mg tablet, bisoprolol fumarate 5 mg tablet, metFORMIN hydrochloride 500 mg tablet, bisoprolol fumarate 5 mg tablet, metFORMIN hydrochloride 500 mg tablet, bisoprolol fumarate 5 mg tablet, metFORMIN hydrochloride 500 mg tablet, bisoprolol fumarate 5 mg tablet, metFORMIN hydrochloride 500 mg tablet, bisoprolol fumarate 5 mg tablet, metFORMIN hydrochloride 500 mg tablet, bisoprolol fumarate 5 mg tablet, empagliflozin 10 mg tablet, empagliflozin 10 mg tablet, empagliflozin 10 mg tablet, empagliflozin 10 mg tablet, empagliflozin 10 mg tablet, empagliflozin 10 mg tablet, empagliflozin 10 mg tablet, empagliflozin 10 mg tablet, fenofibrate 145 mg tablet, Insulin Pen Needle 4mm Needle [sc], empagliflozin 10 mg tablet, fenofibrate 145 mg tablet, Insulin Pen Needle 4mm Needle [sc], empagliflozin 10 mg tablet, fenofibrate 145 mg tablet, Insulin Pen Needle 4mm Needle [sc], empagliflozin 10 mg tablet, fenofibrate 145 mg tablet, Insulin Pen Needle 4mm Needle [sc], empagliflozin 10 mg tablet, fenofibrate 145 mg tablet, Insulin Pen Needle 4mm Needle [sc], empagliflozin 10 mg tablet, fenofibrate 145 mg tablet, Insulin Pen Needle 4mm Needle [sc], empagliflozin 10 mg tablet, fenofibrate 145 mg tablet, Insulin Pen Needle 4mm Needle [sc], empagliflozin 10 mg tablet, fenofibrate 145 mg tablet, Insulin Pen Needle 4mm Needle [sc], empagliflozin 10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bisoprolol fumarate 5 mg tablet, insulin glargine 300 international units/mL injection, 1.5 mL prefilled pen, acetylsalicylic acid 100 mg tablet: enteric coated, bisoprolol fumarate 5 mg tablet, insulin glargine 300 international units/mL injection, 1.5 mL prefilled pen, acetylsalicylic acid 100 mg tablet: enteric coated, bisoprolol fumarate 5 mg tablet, insulin glargine 300 international units/mL injection, 1.5 mL prefilled pen, acetylsalicylic acid 100 mg tablet: enteric coated, bisoprolol fumarate 5 mg tablet, insulin glargine 300 international units/mL injection, 1.5 mL prefilled pen, acetylsalicylic acid 100 mg tablet: enteric coated, bisoprolol fumarate 5 mg tablet, insulin glargine 300 international units/mL injection, 1.5 mL prefilled pen, acetylsalicylic acid 100 mg tablet: enteric coated, bisoprolol fumarate 5 mg tablet, insulin glargine 300 international units/mL injection, 1.5 mL prefilled pen, acetylsalicylic acid 100 mg tablet: enteric coated, bisoprolol fumarate 5 mg tablet, insulin glargine 300 international units/mL injection, 1.5 mL prefilled pen, acetylsalicylic acid 100 mg tablet: enteric coated, bisoprolol fumarate 5 mg tablet, insulin glargine 300 international units/mL injection, 1.5 mL prefilled pen, acetylsalicylic acid 100 mg tablet: enteric coated, fenofibrate 145 mg tablet, acetylsalicylic acid 100 mg tablet: enteric coated, fenofibrate 145 mg tablet, acetylsalicylic acid 100 mg tablet: enteric coated, fenofibrate 145 mg tablet, acetylsalicylic acid 100 mg tablet: enteric coated, fenofibrate 145 mg tablet, acetylsalicylic acid 100 mg tablet: enteric coated, fenofibrate 145 mg tablet, acetylsalicylic acid 100 mg tablet: enteric coated, fenofibrate 145 mg tablet, acetylsalicylic acid 100 mg tablet: enteric coated, fenofibrate 145 mg tablet, acetylsalicylic acid 100 mg tablet: enteric coated, fenofibrate 145 mg tablet, acetylsalicylic acid 100 mg tablet: enteric coated, Insulin Pen Needle 4mm Needle [sc], insulin glargine 300 international units/mL injection, 1.5 mL prefilled pen, bisoprolol fumarate 5 mg tablet, Insulin Pen Needle 4mm Needle [sc], insulin glargine 300 international units/mL injection, 1.5 mL prefilled pen, bisoprolol fumarate 5 mg tablet, Insulin Pen Needle 4mm Needle [sc], insulin glargine 300 international units/mL injection, 1.5 mL prefilled pen, bisoprolol fumarate 5 mg tablet, Insulin Pen Needle 4mm Needle [sc], insulin glargine 300 international units/mL injection, 1.5 mL prefilled pen, bisoprolol fumarate 5 mg tablet, Insulin Pen Needle 4mm Needle [sc], insulin glargine 300 international units/mL injection, 1.5 mL prefilled pen, bisoprolol fumarate 5 mg tablet, Insulin Pen Needle 4mm Needle [sc], insulin glargine 300 international units/mL injection, 1.5 mL prefilled pen, bisoprolol fumarate 5 mg tablet, Insulin Pen Needle 4mm Needle [sc], insulin glargine 300 international units/mL injection, 1.5 mL prefilled pen, bisoprolol fumarate 5 mg tablet, Insulin Pen Needle 4mm Needle [sc], insulin glargine 300 international units/mL injection, 1.5 mL prefilled pen, bisoprolol fumarate 5 mg tablet, empagliflozin 10 mg tablet, metFORMIN hydrochloride 500 mg tablet, empagliflozin 10 mg tablet, metFORMIN hydrochloride 500 mg tablet, empagliflozin 10 mg tablet, metFORMIN hydrochloride 500 mg tablet, empagliflozin 10 mg tablet, metFORMIN hydrochloride 500 mg tablet, empagliflozin 10 mg tablet, metFORMIN hydrochloride 500 mg tablet, empagliflozin 10 mg tablet, metFORMIN hydrochloride 500 mg tablet, empagliflozin 10 mg tablet, metFORMIN hydrochloride 500 mg tablet, empagliflozin 10 mg tablet, metFORMIN hydrochloride 500 mg tablet, fenofibrate 145 mg tablet, acetylsalicylic acid 100 mg tablet: enteric coated, fenofibrate 145 mg tablet, acetylsalicylic acid 100 mg tablet: enteric coated, fenofibrate 145 mg tablet, acetylsalicylic acid 100 mg tablet: enteric coated, fenofibrate 145 mg tablet, acetylsalicylic acid 100 mg tablet: enteric coated, fenofibrate 145 mg tablet, acetylsalicylic acid 100 mg tablet: enteric coated, fenofibrate 145 mg tablet, acetylsalicylic acid 100 mg tablet: enteric coated, fenofibrate 145 mg tablet, acetylsalicylic acid 100 mg tablet: enteric coated, fenofibrate 145 mg tablet, acetylsalicylic acid 100 mg tablet: enteric coated, Insulin Pen Needle 4mm Needle [sc],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bisoprolol fumarate 5 mg tablet, empagliflozin 10 mg tablet, metFORMIN hydrochloride 500 mg tablet, bisoprolol fumarate 5 mg tablet, empagliflozin 10 mg tablet, metFORMIN hydrochloride 500 mg tablet, bisoprolol fumarate 5 mg tablet, empagliflozin 10 mg tablet, metFORMIN hydrochloride 500 mg tablet, bisoprolol fumarate 5 mg tablet, empagliflozin 10 mg tablet, metFORMIN hydrochloride 500 mg tablet, bisoprolol fumarate 5 mg tablet, empagliflozin 10 mg tablet, metFORMIN hydrochloride 500 mg tablet, bisoprolol fumarate 5 mg tablet, empagliflozin 10 mg tablet, metFORMIN hydrochloride 500 mg tablet, bisoprolol fumarate 5 mg tablet, empagliflozin 10 mg tablet, metFORMIN hydrochloride 500 mg tablet, bisoprolol fumarate 5 mg tablet, empagliflozin 10 mg tablet, metFORMIN hydrochloride 500 mg tablet, bisoprolol fumarate 5 mg tablet, bisoprolol fumarate 5 mg tablet, bisoprolol fumarate 5 mg tablet, bisoprolol fumarate 5 mg tablet, bisoprolol fumarate 5 mg tablet, bisoprolol fumarate 5 mg tablet, bisoprolol fumarate 5 mg tablet, bisoprolol fumarate 5 mg tablet, metFORMIN hydrochloride 500 mg tablet, fenofibrate 145 mg tablet, metFORMIN hydrochloride 500 mg tablet, fenofibrate 145 mg tablet, metFORMIN hydrochloride 500 mg tablet, fenofibrate 145 mg tablet, metFORMIN hydrochloride 500 mg tablet, fenofibrate 145 mg tablet, metFORMIN hydrochloride 500 mg tablet, fenofibrate 145 mg tablet, metFORMIN hydrochloride 500 mg tablet, fenofibrate 145 mg tablet, metFORMIN hydrochloride 500 mg tablet, fenofibrate 145 mg tablet, metFORMIN hydrochloride 500 mg tablet, fenofibrate 145 mg tablet, acetylsalicylic acid 100 mg tablet: enteric coated, empagliflozin 10 mg tablet, acetylsalicylic acid 100 mg tablet: enteric coated, empagliflozin 10 mg tablet, acetylsalicylic acid 100 mg tablet: enteric coated, empagliflozin 10 mg tablet, acetylsalicylic acid 100 mg tablet: enteric coated, empagliflozin 10 mg tablet, acetylsalicylic acid 100 mg tablet: enteric coated, empagliflozin 10 mg tablet, acetylsalicylic acid 100 mg tablet: enteric coated, empagliflozin 10 mg tablet, acetylsalicylic acid 100 mg tablet: enteric coated, empagliflozin 10 mg tablet, acetylsalicylic acid 100 mg tablet: enteric coated, empagliflozin 10 mg tablet</t>
  </si>
  <si>
    <t>Antiplatelet, Diabetes, Dyslipidemia, Hypertension</t>
  </si>
  <si>
    <t>بهيه محمد عابد الحربي</t>
  </si>
  <si>
    <t>celecoxib, diclofenac sodium</t>
  </si>
  <si>
    <t>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diclofenac sodium 1% (10 mg/g) gel, diclofenac sodium 1% (10 mg/g) gel, diclofenac sodium 1% (10 mg/g) gel, diclofenac sodium 1% (10 mg/g) gel, diclofenac sodium 1% (10 mg/g) gel, diclofenac sodium 1% (10 mg/g) gel, diclofenac sodium 1% (10 mg/g) gel, diclofenac sodium 1% (10 mg/g) gel, celecoxib 200 mg capsule, celecoxib 200 mg capsule, celecoxib 200 mg capsule, celecoxib 200 mg capsule, diclofenac sodium 1% (10 mg/g) gel, diclofenac sodium 1% (10 mg/g) gel, diclofenac sodium 1% (10 mg/g) gel, diclofenac sodium 1% (10 mg/g) gel</t>
  </si>
  <si>
    <t>عائشه ناجي موسى الظاهري</t>
  </si>
  <si>
    <t>vitamin B complex (B, B, paracetamol, atorvastatin, vitamins (A, C, D</t>
  </si>
  <si>
    <t>vitamin B complex (B1,B6,B12) 100,200,0.2 mg Film coated tablets [oral], vitamin B complex (B1,B6,B12) 100,200,0.2 mg Film coated tablets [oral], vitamin B complex (B1,B6,B12) 100,200,0.2 mg Film coated tablets [oral], vitamin B complex (B1,B6,B12) 100,200,0.2 mg Film coated tablets [oral], paracetamol 500 mg tablet, paracetamol 500 mg tablet, paracetamol 500 mg tablet, paracetamol 500 mg tablet, atorvastatin 20 mg tablet, vitamins (A, B1, B2, B3, C, D3) tablet, atorvastatin 20 mg tablet, vitamins (A, B1, B2, B3, C, D3) tablet, atorvastatin 20 mg tablet, vitamins (A, B1, B2, B3, C, D3) tablet, atorvastatin 20 mg tablet, vitamins (A, B1, B2, B3, C, D3) tablet</t>
  </si>
  <si>
    <t>مصطفى احمد مصطفى عبيد</t>
  </si>
  <si>
    <t>tamsulosin hydrochloride, insulin glargine (lantus), amLODIPine, acetylsalicylic acid, rosuvastatin, insulin aspart, metFORMIN hydrochloride, omeprazole, furosemide, levothyroxine sodium</t>
  </si>
  <si>
    <t>tamsulosin hydrochloride 400 microgram tablet: modified release, insulin glargine (lantus) 100 international units/mL injection, 3 mL prefilled pen, amLODIPine 5 mg tablet, tamsulosin hydrochloride 400 microgram tablet: modified release, insulin glargine (lantus) 100 international units/mL injection, 3 mL prefilled pen, amLODIPine 5 mg tablet, tamsulosin hydrochloride 400 microgram tablet: modified release, insulin glargine (lantus) 100 international units/mL injection, 3 mL prefilled pen, amLODIPine 5 mg tablet, tamsulosin hydrochloride 400 microgram tablet: modified release, insulin glargine (lantus) 100 international units/mL injection, 3 mL prefilled pen, amLODIPine 5 mg tablet, acetylsalicylic acid 100 mg tablet: enteric coated, rosuvastatin 20 mg tablet, acetylsalicylic acid 100 mg tablet: enteric coated, rosuvastatin 20 mg tablet, acetylsalicylic acid 100 mg tablet: enteric coated, rosuvastatin 20 mg tablet, acetylsalicylic acid 100 mg tablet: enteric coated, rosuvastatin 20 mg tablet, insulin aspart 100 international units/mL injection, 3 mL prefilled pen, metFORMIN hydrochloride 500 mg tablet, omeprazole 20 mg tablet: enteric coated, insulin aspart 100 international units/mL injection, 3 mL prefilled pen, metFORMIN hydrochloride 500 mg tablet, omeprazole 20 mg tablet: enteric coated, insulin aspart 100 international units/mL injection, 3 mL prefilled pen, metFORMIN hydrochloride 500 mg tablet, omeprazole 20 mg tablet: enteric coated, insulin aspart 100 international units/mL injection, 3 mL prefilled pen, metFORMIN hydrochloride 500 mg tablet, omeprazole 20 mg tablet: enteric coated, furosemide 40 mg tablet, levothyroxine sodium 50 microgram tablet, bisoprolol fumarate 5 mg tablet, furosemide 40 mg tablet, levothyroxine sodium 50 microgram tablet, bisoprolol fumarate 5 mg tablet, furosemide 40 mg tablet, levothyroxine sodium 50 microgram tablet, bisoprolol fumarate 5 mg tablet, furosemide 40 mg tablet, levothyroxine sodium 50 microgram tablet, bisoprolol fumarate 5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rosuvastatin 20 mg tablet, insulin glargine (lantus) 100 international units/mL injection, 3 mL prefilled pen, metFORMIN hydrochloride 500 mg tablet, vitamin B complex (B1,B6,B12) 100,200,0.2 mg Film coated tablets [oral], rosuvastatin 20 mg tablet, insulin glargine (lantus) 100 international units/mL injection, 3 mL prefilled pen, metFORMIN hydrochloride 500 mg tablet, vitamin B complex (B1,B6,B12) 100,200,0.2 mg Film coated tablets [oral], rosuvastatin 20 mg tablet, insulin glargine (lantus) 100 international units/mL injection, 3 mL prefilled pen, metFORMIN hydrochloride 500 mg tablet, vitamin B complex (B1,B6,B12) 100,200,0.2 mg Film coated tablets [oral], rosuvastatin 20 mg tablet, insulin glargine (lantus) 100 international units/mL injection, 3 mL prefilled pen, metFORMIN hydrochloride 500 mg tablet, omeprazole 20 mg tablet: enteric coated, omeprazole 20 mg tablet: enteric coated, omeprazole 20 mg tablet: enteric coated, omeprazole 20 mg tablet: enteric coated, tamsulosin hydrochloride 400 microgram tablet: modified release, insulin aspart 100 international units/mL injection, 3 mL prefilled pen, amLODIPine 5 mg tablet, acetylsalicylic acid 100 mg tablet: enteric coated, furosemide 40 mg tablet, tamsulosin hydrochloride 400 microgram tablet: modified release, insulin aspart 100 international units/mL injection, 3 mL prefilled pen, amLODIPine 5 mg tablet, acetylsalicylic acid 100 mg tablet: enteric coated, furosemide 40 mg tablet, tamsulosin hydrochloride 400 microgram tablet: modified release, insulin aspart 100 international units/mL injection, 3 mL prefilled pen, amLODIPine 5 mg tablet, acetylsalicylic acid 100 mg tablet: enteric coated, furosemide 40 mg tablet, tamsulosin hydrochloride 400 microgram tablet: modified release, insulin aspart 100 international units/mL injection, 3 mL prefilled pen, amLODIPine 5 mg tablet, acetylsalicylic acid 100 mg tablet: enteric coated, furosemide 40 mg tablet, levothyroxine sodium 50 microgram tablet, bisoprolol fumarate 5 mg tablet, levothyroxine sodium 50 microgram tablet, bisoprolol fumarate 5 mg tablet, levothyroxine sodium 50 microgram tablet, bisoprolol fumarate 5 mg tablet, levothyroxine sodium 50 microgram tablet, bisoprolol fumarate 5 mg tablet,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amLODIPine 5 mg tablet, levothyroxine sodium 50 microgram tablet, rosuvastatin 20 mg tablet, metFORMIN hydrochloride 500 mg tablet, acetylsalicylic acid 100 mg tablet: enteric coated, amLODIPine 5 mg tablet, levothyroxine sodium 50 microgram tablet, rosuvastatin 20 mg tablet, metFORMIN hydrochloride 500 mg tablet, acetylsalicylic acid 100 mg tablet: enteric coated, amLODIPine 5 mg tablet, levothyroxine sodium 50 microgram tablet, rosuvastatin 20 mg tablet, metFORMIN hydrochloride 500 mg tablet, acetylsalicylic acid 100 mg tablet: enteric coated, amLODIPine 5 mg tablet, levothyroxine sodium 50 microgram tablet, rosuvastatin 20 mg tablet, metFORMIN hydrochloride 500 mg tablet, acetylsalicylic acid 100 mg tablet: enteric coated, vitamin B complex (B1,B6,B12) 100,200,0.2 mg Film coated tablets [oral], bisoprolol fumarate 5 mg tablet, omeprazole 20 mg tablet: enteric coated, furosemide 40 mg tablet, tamsulosin hydrochloride 400 microgram tablet: modified release, vitamin B complex (B1,B6,B12) 100,200,0.2 mg Film coated tablets [oral], bisoprolol fumarate 5 mg tablet, omeprazole 20 mg tablet: enteric coated, furosemide 40 mg tablet, tamsulosin hydrochloride 400 microgram tablet: modified release, vitamin B complex (B1,B6,B12) 100,200,0.2 mg Film coated tablets [oral], bisoprolol fumarate 5 mg tablet, omeprazole 20 mg tablet: enteric coated, furosemide 40 mg tablet, tamsulosin hydrochloride 400 microgram tablet: modified release, vitamin B complex (B1,B6,B12) 100,200,0.2 mg Film coated tablets [oral], bisoprolol fumarate 5 mg tablet, omeprazole 20 mg tablet: enteric coated, furosemide 40 mg tablet, tamsulosin hydrochloride 400 microgram tablet: modified release,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acetylsalicylic acid 100 mg tablet: enteric coated, metFORMIN hydrochloride 500 mg tablet, bisoprolol fumarate 5 mg tablet, omeprazole 20 mg tablet: enteric coated, tamsulosin hydrochloride 400 microgram tablet: modified release, insulin aspart 100 international units/mL injection, 3 mL prefilled pen, acetylsalicylic acid 100 mg tablet: enteric coated, metFORMIN hydrochloride 500 mg tablet, bisoprolol fumarate 5 mg tablet, omeprazole 20 mg tablet: enteric coated, tamsulosin hydrochloride 400 microgram tablet: modified release, insulin aspart 100 international units/mL injection, 3 mL prefilled pen, acetylsalicylic acid 100 mg tablet: enteric coated, metFORMIN hydrochloride 500 mg tablet, bisoprolol fumarate 5 mg tablet, omeprazole 20 mg tablet: enteric coated, tamsulosin hydrochloride 400 microgram tablet: modified release, insulin aspart 100 international units/mL injection, 3 mL prefilled pen, acetylsalicylic acid 100 mg tablet: enteric coated, metFORMIN hydrochloride 500 mg tablet, bisoprolol fumarate 5 mg tablet, omeprazole 20 mg tablet: enteric coated, tamsulosin hydrochloride 400 microgram tablet: modified release, insulin aspart 100 international units/mL injection, 3 mL prefilled pen, insulin glargine (lantus) 100 international units/mL injection, 3 mL prefilled pen, vitamin B complex (B1,B6,B12) 100,200,0.2 mg Film coated tablets [oral], furosemide 40 mg tablet, levothyroxine sodium 50 microgram tablet, insulin glargine (lantus) 100 international units/mL injection, 3 mL prefilled pen, vitamin B complex (B1,B6,B12) 100,200,0.2 mg Film coated tablets [oral], furosemide 40 mg tablet, levothyroxine sodium 50 microgram tablet, insulin glargine (lantus) 100 international units/mL injection, 3 mL prefilled pen, vitamin B complex (B1,B6,B12) 100,200,0.2 mg Film coated tablets [oral], furosemide 40 mg tablet, levothyroxine sodium 50 microgram tablet, insulin glargine (lantus) 100 international units/mL injection, 3 mL prefilled pen, vitamin B complex (B1,B6,B12) 100,200,0.2 mg Film coated tablets [oral], furosemide 40 mg tablet, levothyroxine sodium 50 microgram tablet, rosuvastatin 20 mg tablet, amLODIPine 5 mg tablet, rosuvastatin 20 mg tablet, amLODIPine 5 mg tablet, rosuvastatin 20 mg tablet, amLODIPine 5 mg tablet, rosuvastatin 20 mg tablet, amLODIPine 5 mg tablet, amLODIPine 5 mg tablet, levothyroxine sodium 50 microgram tablet, amLODIPine 5 mg tablet, levothyroxine sodium 50 microgram tablet, amLODIPine 5 mg tablet, levothyroxine sodium 50 microgram tablet, amLODIPine 5 mg tablet, levothyroxine sodium 50 microgram tablet, insulin glargine (lantus) 100 international units/mL injection, 3 mL prefilled pen, tamsulosin hydrochloride 400 microgram tablet: modified release, insulin glargine (lantus) 100 international units/mL injection, 3 mL prefilled pen, tamsulosin hydrochloride 400 microgram tablet: modified release, insulin glargine (lantus) 100 international units/mL injection, 3 mL prefilled pen, tamsulosin hydrochloride 400 microgram tablet: modified release, insulin glargine (lantus) 100 international units/mL injection, 3 mL prefilled pen, tamsulosin hydrochloride 400 microgram tablet: modified release, acetylsalicylic acid 100 mg tablet: enteric coated, acetylsalicylic acid 100 mg tablet: enteric coated, acetylsalicylic acid 100 mg tablet: enteric coated, acetylsalicylic acid 100 mg tablet: enteric coated</t>
  </si>
  <si>
    <t>Antiplatelet, Diabetes, Dyslipidemia, GI/PPI, Hypertension, Thyroid, Vitamins/Supplements</t>
  </si>
  <si>
    <t>انور محمد زين الكناني</t>
  </si>
  <si>
    <t>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t>
  </si>
  <si>
    <t>بندر محمد حمزه السبيعي</t>
  </si>
  <si>
    <t>amLODIPine, valsartan, rosuvastatin</t>
  </si>
  <si>
    <t>amLODIPine 5 mg tablet, amLODIPine 5 mg tablet, amLODIPine 5 mg tablet, amLODIPine 5 mg tablet, amLODIPine 5 mg tablet, valsartan 80 mg tablet, valsartan 80 mg tablet, valsartan 80 mg tablet, valsartan 80 mg tablet, valsartan 80 mg tablet, rosuvastatin 10 mg tablet, rosuvastatin 10 mg tablet, rosuvastatin 10 mg tablet, rosuvastatin 10 mg tablet, rosuvastatin 10 mg tablet, amLODIPine 5 mg tablet, valsartan 80 mg tablet, amLODIPine 5 mg tablet, valsartan 80 mg tablet, amLODIPine 5 mg tablet, valsartan 80 mg tablet, amLODIPine 5 mg tablet, valsartan 80 mg tablet, amLODIPine 5 mg tablet, valsartan 80 mg tablet, rosuvastatin 10 mg tablet, rosuvastatin 10 mg tablet, rosuvastatin 10 mg tablet, rosuvastatin 10 mg tablet, rosuvastatin 10 mg tablet</t>
  </si>
  <si>
    <t>HTN meds match; DLP meds match</t>
  </si>
  <si>
    <t>رغد علي البلوي</t>
  </si>
  <si>
    <t>عبير حسين شاذلي احمد</t>
  </si>
  <si>
    <t>vitamin B complex (B, B, valsartan, levothyroxine sodium, colecalciferol</t>
  </si>
  <si>
    <t>vitamin B complex (B1,B6,B12) 100,200,0.2 mg Film coated tablets [oral], valsartan 80 mg tablet, vitamin B complex (B1,B6,B12) 100,200,0.2 mg Film coated tablets [oral], valsartan 80 mg tablet, vitamin B complex (B1,B6,B12) 100,200,0.2 mg Film coated tablets [oral], valsartan 80 mg tablet, levothyroxine sodium 100 microgram tablet, levothyroxine sodium 100 microgram tablet, levothyroxine sodium 100 microgram tablet, colecalciferol 50 000 international units tablet, colecalciferol 50 000 international units tablet, colecalciferol 50 000 international units tablet, levothyroxine sodium 100 microgram tablet, valsartan 80 mg tablet, levothyroxine sodium 100 microgram tablet, valsartan 80 mg tablet, levothyroxine sodium 100 microgram tablet, valsartan 80 mg tablet, colecalciferol 50 000 international units tablet, colecalciferol 50 000 international units tablet, colecalciferol 50 000 international units tablet, vitamin B complex (B1,B6,B12) 100,200,0.2 mg Film coated tablets [oral], vitamin B complex (B1,B6,B12) 100,200,0.2 mg Film coated tablets [oral], vitamin B complex (B1,B6,B12) 100,200,0.2 mg Film coated tablets [oral], levothyroxine sodium 100 microgram tablet, valsartan 80 mg tablet, levothyroxine sodium 100 microgram tablet, valsartan 80 mg tablet, levothyroxine sodium 100 microgram tablet, valsartan 80 mg tablet, colecalciferol 50 000 international units tablet, colecalciferol 50 000 international units tablet, colecalciferol 50 000 international units tablet, vitamin B complex (B1,B6,B12) 100,200,0.2 mg Film coated tablets [oral], vitamin B complex (B1,B6,B12) 100,200,0.2 mg Film coated tablets [oral], vitamin B complex (B1,B6,B12) 100,200,0.2 mg Film coated tablets [oral], colecalciferol 50 000 international units tablet, colecalciferol 50 000 international units tablet, colecalciferol 50 000 international units tablet, levothyroxine sodium 100 microgram tablet, vitamin B complex (B1,B6,B12) 100,200,0.2 mg Film coated tablets [oral], levothyroxine sodium 100 microgram tablet, vitamin B complex (B1,B6,B12) 100,200,0.2 mg Film coated tablets [oral], levothyroxine sodium 100 microgram tablet, vitamin B complex (B1,B6,B12) 100,200,0.2 mg Film coated tablets [oral], valsartan 80 mg tablet, valsartan 80 mg tablet, valsartan 80 mg tablet</t>
  </si>
  <si>
    <t>Hypertension, Thyroid, Vitamins/Supplements</t>
  </si>
  <si>
    <t>ابراهيم حسين محمدصالح سلامه</t>
  </si>
  <si>
    <t>insulin glargine</t>
  </si>
  <si>
    <t>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t>
  </si>
  <si>
    <t>عمره فايز عابد العمري</t>
  </si>
  <si>
    <t>rosuvastatin, metFORMIN hydrochloride, clopidogrel, valsartan, omeprazole, levothyroxine sodium</t>
  </si>
  <si>
    <t>rosuvastatin 20 mg tablet, rosuvastatin 20 mg tablet, metFORMIN hydrochloride 500 mg tablet, clopidogrel 75 mg tablet, metFORMIN hydrochloride 500 mg tablet, clopidogrel 75 mg tablet, valsartan 80 mg tablet, omeprazole 20 mg tablet: enteric coated, levothyroxine sodium 25 microgram tablet, valsartan 80 mg tablet, omeprazole 20 mg tablet: enteric coated, levothyroxine sodium 25 microgram tablet, clopidogrel 75 mg tablet, clopidogrel 75 mg tablet, omeprazole 20 mg tablet: enteric coated, omeprazole 20 mg tablet: enteric coated, clopidogrel 75 mg tablet, clopidogrel 75 mg tablet, valsartan 80 mg tablet, valsartan 80 mg tablet, metFORMIN hydrochloride 500 mg tablet, omeprazole 20 mg tablet: enteric coated, rosuvastatin 20 mg tablet, metFORMIN hydrochloride 500 mg tablet, omeprazole 20 mg tablet: enteric coated, rosuvastatin 20 mg tablet, levothyroxine sodium 25 microgram tablet, levothyroxine sodium 25 microgram tablet, valsartan 80 mg tablet, valsartan 80 mg tablet, clopidogrel 75 mg tablet, rosuvastatin 20 mg tablet, clopidogrel 75 mg tablet, rosuvastatin 20 mg tablet, metFORMIN hydrochloride 500 mg tablet, metFORMIN hydrochloride 500 mg tablet, omeprazole 20 mg tablet: enteric coated, levothyroxine sodium 25 microgram tablet, omeprazole 20 mg tablet: enteric coated, levothyroxine sodium 25 microgram tablet, clopidogrel 75 mg tablet, clopidogrel 75 mg tablet, rosuvastatin 20 mg tablet, levothyroxine sodium 25 microgram tablet, omeprazole 20 mg tablet: enteric coated, metFORMIN hydrochloride 500 mg tablet, rosuvastatin 20 mg tablet, levothyroxine sodium 25 microgram tablet, omeprazole 20 mg tablet: enteric coated, metFORMIN hydrochloride 500 mg tablet, valsartan 80 mg tablet, valsartan 80 mg tablet, rosuvastatin 20 mg tablet, omeprazole 20 mg tablet: enteric coated, metFORMIN hydrochloride 500 mg tablet, rosuvastatin 20 mg tablet, omeprazole 20 mg tablet: enteric coated, metFORMIN hydrochloride 500 mg tablet, clopidogrel 75 mg tablet, valsartan 80 mg tablet, clopidogrel 75 mg tablet, valsartan 80 mg tablet</t>
  </si>
  <si>
    <t>Antiplatelet, Diabetes, Dyslipidemia, GI/PPI, Hypertension, Thyroid</t>
  </si>
  <si>
    <t>حنان صالح سعيد رقبان</t>
  </si>
  <si>
    <t>cetirizine hydrochloride</t>
  </si>
  <si>
    <t>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t>
  </si>
  <si>
    <t>مستور مزيد عيظه السواط</t>
  </si>
  <si>
    <t>xylometazoline hydrochloride, paracetamol, cetirizine hydrochloride, metFORMIN hydrochloride, diclofenac sodium</t>
  </si>
  <si>
    <t>xylometazoline hydrochloride 0.05% (500 microgram/mL) nasal drops, paracetamol 500 mg tablet, xylometazoline hydrochloride 0.05% (500 microgram/mL) nasal drops, paracetamol 500 mg tablet, xylometazoline hydrochloride 0.05% (500 microgram/mL) nasal drops, paracetamol 500 mg tablet, cetirizine hydrochloride 10 mg tablet, metFORMIN hydrochloride 500 mg tablet, diclofenac sodium 1% (10 mg/g) gel, cetirizine hydrochloride 10 mg tablet, metFORMIN hydrochloride 500 mg tablet, diclofenac sodium 1% (10 mg/g) gel, cetirizine hydrochloride 10 mg tablet, metFORMIN hydrochloride 500 mg tablet, diclofenac sodium 1% (10 mg/g) gel, metFORMIN hydrochloride 500 mg tablet, cetirizine hydrochloride 10 mg tablet, diclofenac sodium 1% (10 mg/g) gel, xylometazoline hydrochloride 0.05% (500 microgram/mL) nasal drops, metFORMIN hydrochloride 500 mg tablet, cetirizine hydrochloride 10 mg tablet, diclofenac sodium 1% (10 mg/g) gel, xylometazoline hydrochloride 0.05% (500 microgram/mL) nasal drops, metFORMIN hydrochloride 500 mg tablet, cetirizine hydrochloride 10 mg tablet, diclofenac sodium 1% (10 mg/g) gel, xylometazoline hydrochloride 0.05% (500 microgram/mL) nasal drops, paracetamol 500 mg tablet, paracetamol 500 mg tablet, paracetamol 500 mg tablet</t>
  </si>
  <si>
    <t>رويده محمد محمدنور مداح</t>
  </si>
  <si>
    <t>rosuvastatin, vitamin B complex (B, B, insulin glargine (lantus), bisoprolol fumarate, metFORMIN hydrochloride, amLODIPine, omeprazole, acetylsalicylic acid, clopidogrel</t>
  </si>
  <si>
    <t>rosuvastatin 20 mg tablet, vitamin B complex (B1,B6,B12) 100,200,0.2 mg Film coated tablets [oral], insulin glargine (lantus) 100 international units/mL injection, 3 mL prefilled pen, rosuvastatin 20 mg tablet, vitamin B complex (B1,B6,B12) 100,200,0.2 mg Film coated tablets [oral], insulin glargine (lantus) 100 international units/mL injection, 3 mL prefilled pen, rosuvastatin 20 mg tablet, vitamin B complex (B1,B6,B12) 100,200,0.2 mg Film coated tablets [oral], insulin glargine (lantus) 100 international units/mL injection, 3 mL prefilled pen, rosuvastatin 20 mg tablet, vitamin B complex (B1,B6,B12) 100,200,0.2 mg Film coated tablets [oral], insulin glargine (lantus) 100 international units/mL injection, 3 mL prefilled pen, bisoprolol fumarate 5 mg tablet, metFORMIN hydrochloride 750 mg tablet: modified release, amLODIPine 5 mg tablet, omeprazole 20 mg tablet: enteric coated, bisoprolol fumarate 5 mg tablet, metFORMIN hydrochloride 750 mg tablet: modified release, amLODIPine 5 mg tablet, omeprazole 20 mg tablet: enteric coated, bisoprolol fumarate 5 mg tablet, metFORMIN hydrochloride 750 mg tablet: modified release, amLODIPine 5 mg tablet, omeprazole 20 mg tablet: enteric coated, bisoprolol fumarate 5 mg tablet, metFORMIN hydrochloride 750 mg tablet: modified release, amLODIPine 5 mg tablet, omeprazole 20 mg tablet: enteric coated, acetylsalicylic acid 100 mg tablet: enteric coated, acetylsalicylic acid 100 mg tablet: enteric coated, acetylsalicylic acid 100 mg tablet: enteric coated, acetylsalicylic acid 100 mg tablet: enteric coated, amLODIPine 5 mg tablet, acetylsalicylic acid 100 mg tablet: enteric coated, amLODIPine 5 mg tablet, acetylsalicylic acid 100 mg tablet: enteric coated, amLODIPine 5 mg tablet, acetylsalicylic acid 100 mg tablet: enteric coated, amLODIPine 5 mg tablet, acetylsalicylic acid 100 mg tablet: enteric coated, clopidogrel 75 mg tablet, metFORMIN hydrochloride 750 mg tablet: modified release, clopidogrel 75 mg tablet, metFORMIN hydrochloride 750 mg tablet: modified release, clopidogrel 75 mg tablet, metFORMIN hydrochloride 750 mg tablet: modified release, clopidogrel 75 mg tablet, metFORMIN hydrochloride 750 mg tablet: modified release, Insulin Pen Needle 4mm Needle [sc], valsartan 80 mg tablet, rosuvastatin 20 mg tablet, Insulin Pen Needle 4mm Needle [sc], valsartan 80 mg tablet, rosuvastatin 20 mg tablet, Insulin Pen Needle 4mm Needle [sc], valsartan 80 mg tablet, rosuvastatin 20 mg tablet, Insulin Pen Needle 4mm Needle [sc], valsartan 80 mg tablet, rosuvastatin 20 mg tablet, SITagliptin 100 mg tablet, gliclazide 60 mg tablet: modified release, vitamin B complex (B1,B6,B12) 100,200,0.2 mg Film coated tablets [oral], insulin glargine (lantus) 100 international units/mL injection, 3 mL prefilled pen, bisoprolol fumarate 5 mg tablet, omeprazole 20 mg tablet: enteric coated, SITagliptin 100 mg tablet, gliclazide 60 mg tablet: modified release, vitamin B complex (B1,B6,B12) 100,200,0.2 mg Film coated tablets [oral], insulin glargine (lantus) 100 international units/mL injection, 3 mL prefilled pen, bisoprolol fumarate 5 mg tablet, omeprazole 20 mg tablet: enteric coated, SITagliptin 100 mg tablet, gliclazide 60 mg tablet: modified release, vitamin B complex (B1,B6,B12) 100,200,0.2 mg Film coated tablets [oral], insulin glargine (lantus) 100 international units/mL injection, 3 mL prefilled pen, bisoprolol fumarate 5 mg tablet, omeprazole 20 mg tablet: enteric coated, SITagliptin 100 mg tablet, gliclazide 60 mg tablet: modified release, vitamin B complex (B1,B6,B12) 100,200,0.2 mg Film coated tablets [oral], insulin glargine (lantus) 100 international units/mL injection, 3 mL prefilled pen, bisoprolol fumarate 5 mg tablet, omeprazole 20 mg tablet: enteric coated, Insulin Pen Needle 4mm Needle [sc], SITagliptin 100 mg tablet, valsartan 80 mg tablet, clopidogrel 75 mg tablet, gliclazide 60 mg tablet: modified release, Insulin Pen Needle 4mm Needle [sc], SITagliptin 100 mg tablet, valsartan 80 mg tablet, clopidogrel 75 mg tablet, gliclazide 60 mg tablet: modified release, Insulin Pen Needle 4mm Needle [sc], SITagliptin 100 mg tablet, valsartan 80 mg tablet, clopidogrel 75 mg tablet, gliclazide 60 mg tablet: modified release, Insulin Pen Needle 4mm Needle [sc], SITagliptin 100 mg tablet, valsartan 80 mg tablet, clopidogrel 75 mg tablet, gliclazide 60 mg tablet: modified release</t>
  </si>
  <si>
    <t>Antiplatelet, Diabetes, Dyslipidemia, GI/PPI, Hypertension, Vitamins/Supplements</t>
  </si>
  <si>
    <t>عزه احمد حمزه عزب</t>
  </si>
  <si>
    <t>xylometazoline hydrochloride, dextromethorphan hydrobromide, amLODIPine, amoxicillin</t>
  </si>
  <si>
    <t>xylometazoline hydrochloride 0.05% (500 microgram/mL) nasal drops, xylometazoline hydrochloride 0.05% (500 microgram/mL) nasal drops, xylometazoline hydrochloride 0.05% (500 microgram/mL) nasal drops, xylometazoline hydrochloride 0.05% (500 microgram/mL) nasal drops, xylometazoline hydrochloride 0.05% (500 microgram/mL) nasal drops, xylometazoline hydrochloride 0.05% (500 microgram/mL) nasal drops, xylometazoline hydrochloride 0.05% (500 microgram/mL) nasal drops, xylometazoline hydrochloride 0.05% (500 microgram/mL) nasal drops, dextromethorphan hydrobromide 15 mg/5 mL oral liquid, amLODIPine 5 mg tablet, dextromethorphan hydrobromide 15 mg/5 mL oral liquid, amLODIPine 5 mg tablet, dextromethorphan hydrobromide 15 mg/5 mL oral liquid, amLODIPine 5 mg tablet, dextromethorphan hydrobromide 15 mg/5 mL oral liquid, amLODIPine 5 mg tablet, dextromethorphan hydrobromide 15 mg/5 mL oral liquid, amLODIPine 5 mg tablet, dextromethorphan hydrobromide 15 mg/5 mL oral liquid, amLODIPine 5 mg tablet, dextromethorphan hydrobromide 15 mg/5 mL oral liquid, amLODIPine 5 mg tablet, dextromethorphan hydrobromide 15 mg/5 mL oral liquid, amLODIPine 5 mg tablet, amoxicillin 500 mg capsule, amoxicillin 500 mg capsule, amoxicillin 500 mg capsule, amoxicillin 500 mg capsule, amoxicillin 500 mg capsule, amoxicillin 500 mg capsule, amoxicillin 500 mg capsule, amoxicillin 500 mg capsule, amoxicillin 500 mg capsule, dextromethorphan hydrobromide 15 mg/5 mL oral liquid, amoxicillin 500 mg capsule, dextromethorphan hydrobromide 15 mg/5 mL oral liquid, amoxicillin 500 mg capsule, dextromethorphan hydrobromide 15 mg/5 mL oral liquid, amoxicillin 500 mg capsule, dextromethorphan hydrobromide 15 mg/5 mL oral liquid, amoxicillin 500 mg capsule, dextromethorphan hydrobromide 15 mg/5 mL oral liquid, amoxicillin 500 mg capsule, dextromethorphan hydrobromide 15 mg/5 mL oral liquid, amoxicillin 500 mg capsule, dextromethorphan hydrobromide 15 mg/5 mL oral liquid, amoxicillin 500 mg capsule, dextromethorphan hydrobromide 15 mg/5 mL oral liquid, xylometazoline hydrochloride 0.05% (500 microgram/mL) nasal drops, amLODIPine 5 mg tablet, xylometazoline hydrochloride 0.05% (500 microgram/mL) nasal drops, amLODIPine 5 mg tablet, xylometazoline hydrochloride 0.05% (500 microgram/mL) nasal drops, amLODIPine 5 mg tablet, xylometazoline hydrochloride 0.05% (500 microgram/mL) nasal drops, amLODIPine 5 mg tablet, xylometazoline hydrochloride 0.05% (500 microgram/mL) nasal drops, amLODIPine 5 mg tablet, xylometazoline hydrochloride 0.05% (500 microgram/mL) nasal drops, amLODIPine 5 mg tablet, xylometazoline hydrochloride 0.05% (500 microgram/mL) nasal drops, amLODIPine 5 mg tablet, xylometazoline hydrochloride 0.05% (500 microgram/mL) nasal drops, amLODIPine 5 mg tablet, dextromethorphan hydrobromide 15 mg/5 mL oral liquid, amoxicillin 500 mg capsule, dextromethorphan hydrobromide 15 mg/5 mL oral liquid, amoxicillin 500 mg capsule, dextromethorphan hydrobromide 15 mg/5 mL oral liquid, amoxicillin 500 mg capsule, dextromethorphan hydrobromide 15 mg/5 mL oral liquid, amoxicillin 500 mg capsule, dextromethorphan hydrobromide 15 mg/5 mL oral liquid, amoxicillin 500 mg capsule, dextromethorphan hydrobromide 15 mg/5 mL oral liquid, amoxicillin 500 mg capsule, dextromethorphan hydrobromide 15 mg/5 mL oral liquid, amoxicillin 500 mg capsule, dextromethorphan hydrobromide 15 mg/5 mL oral liquid, amoxicillin 500 mg capsule, xylometazoline hydrochloride 0.05% (500 microgram/mL) nasal drops, amLODIPine 5 mg tablet, xylometazoline hydrochloride 0.05% (500 microgram/mL) nasal drops, amLODIPine 5 mg tablet, xylometazoline hydrochloride 0.05% (500 microgram/mL) nasal drops, amLODIPine 5 mg tablet, xylometazoline hydrochloride 0.05% (500 microgram/mL) nasal drops, amLODIPine 5 mg tablet, xylometazoline hydrochloride 0.05% (500 microgram/mL) nasal drops, amLODIPine 5 mg tablet, xylometazoline hydrochloride 0.05% (500 microgram/mL) nasal drops, amLODIPine 5 mg tablet, xylometazoline hydrochloride 0.05% (500 microgram/mL) nasal drops, amLODIPine 5 mg tablet, xylometazoline hydrochloride 0.05% (500 microgram/mL) nasal drops, amLODIPine 5 mg tablet, xylometazoline hydrochloride 0.05% (500 microgram/mL) nasal drops, dextromethorphan hydrobromide 15 mg/5 mL oral liquid, xylometazoline hydrochloride 0.05% (500 microgram/mL) nasal drops, dextromethorphan hydrobromide 15 mg/5 mL oral liquid, xylometazoline hydrochloride 0.05% (500 microgram/mL) nasal drops, dextromethorphan hydrobromide 15 mg/5 mL oral liquid, xylometazoline hydrochloride 0.05% (500 microgram/mL) nasal drops, dextromethorphan hydrobromide 15 mg/5 mL oral liquid, xylometazoline hydrochloride 0.05% (500 microgram/mL) nasal drops, dextromethorphan hydrobromide 15 mg/5 mL oral liquid, xylometazoline hydrochloride 0.05% (500 microgram/mL) nasal drops, dextromethorphan hydrobromide 15 mg/5 mL oral liquid, xylometazoline hydrochloride 0.05% (500 microgram/mL) nasal drops, dextromethorphan hydrobromide 15 mg/5 mL oral liquid, xylometazoline hydrochloride 0.05% (500 microgram/mL) nasal drops, dextromethorphan hydrobromide 15 mg/5 mL oral liquid, amLODIPine 5 mg tablet, amoxicillin 500 mg capsule, amLODIPine 5 mg tablet, amoxicillin 500 mg capsule, amLODIPine 5 mg tablet, amoxicillin 500 mg capsule, amLODIPine 5 mg tablet, amoxicillin 500 mg capsule, amLODIPine 5 mg tablet, amoxicillin 500 mg capsule, amLODIPine 5 mg tablet, amoxicillin 500 mg capsule, amLODIPine 5 mg tablet, amoxicillin 500 mg capsule, amLODIPine 5 mg tablet, amoxicillin 500 mg capsule</t>
  </si>
  <si>
    <t>عائشه عبيدالله رجاالله الساعدي</t>
  </si>
  <si>
    <t>SITagliptin</t>
  </si>
  <si>
    <t>SITagliptin 100 mg tablet, SITagliptin 100 mg tablet, SITagliptin 100 mg tablet, SITagliptin 100 mg tablet</t>
  </si>
  <si>
    <t>جمال عبدالله ابراهيم خان</t>
  </si>
  <si>
    <t>paracetamol, chlorhexidine gluconate</t>
  </si>
  <si>
    <t>paracetamol 500 mg tablet, paracetamol 500 mg tablet, paracetamol 500 mg tablet, paracetamol 500 mg tablet, paracetamol 500 mg tablet, paracetamol 500 mg tablet, chlorhexidine gluconate 0.2% (2 mg/mL) mouthwash, chlorhexidine gluconate 0.2% (2 mg/mL) mouthwash, chlorhexidine gluconate 0.2% (2 mg/mL) mouthwash, chlorhexidine gluconate 0.2% (2 mg/mL) mouthwash, chlorhexidine gluconate 0.2% (2 mg/mL) mouthwash, chlorhexidine gluconate 0.2% (2 mg/mL) mouthwash, paracetamol 500 mg tablet, chlorhexidine gluconate 0.2% (2 mg/mL) mouthwash, paracetamol 500 mg tablet, chlorhexidine gluconate 0.2% (2 mg/mL) mouthwash, paracetamol 500 mg tablet, chlorhexidine gluconate 0.2% (2 mg/mL) mouthwash, paracetamol 500 mg tablet, chlorhexidine gluconate 0.2% (2 mg/mL) mouthwash, paracetamol 500 mg tablet, chlorhexidine gluconate 0.2% (2 mg/mL) mouthwash, paracetamol 500 mg tablet, chlorhexidine gluconate 0.2% (2 mg/mL) mouthwash, paracetamol 500 mg tablet, paracetamol 500 mg tablet, paracetamol 500 mg tablet, paracetamol 500 mg tablet, paracetamol 500 mg tablet, paracetamol 500 mg tablet, chlorhexidine gluconate 0.2% (2 mg/mL) mouthwash, chlorhexidine gluconate 0.2% (2 mg/mL) mouthwash, chlorhexidine gluconate 0.2% (2 mg/mL) mouthwash, chlorhexidine gluconate 0.2% (2 mg/mL) mouthwash, chlorhexidine gluconate 0.2% (2 mg/mL) mouthwash, chlorhexidine gluconate 0.2% (2 mg/mL) mouthwash</t>
  </si>
  <si>
    <t>هناء عابد سليم الجهني</t>
  </si>
  <si>
    <t>جميل ابن عبدالحكيم ابن عبدالرحمن بريسالي</t>
  </si>
  <si>
    <t>cetirizine hydrochloride, dextromethorphan hydrobromide</t>
  </si>
  <si>
    <t>cetirizine hydrochloride 10 mg tablet, dextromethorphan hydrobromide 15 mg/5 mL oral liquid, cetirizine hydrochloride 10 mg tablet, dextromethorphan hydrobromide 15 mg/5 mL oral liquid, cetirizine hydrochloride 10 mg tablet, dextromethorphan hydrobromide 15 mg/5 mL oral liquid, cetirizine hydrochloride 10 mg tablet, dextromethorphan hydrobromide 15 mg/5 mL oral liquid, cetirizine hydrochloride 10 mg tablet, dextromethorphan hydrobromide 15 mg/5 mL oral liquid, cetirizine hydrochloride 10 mg tablet,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cetirizine hydrochloride 10 mg tablet, cetirizine hydrochloride 10 mg tablet, cetirizine hydrochloride 10 mg tablet, cetirizine hydrochloride 10 mg tablet, cetirizine hydrochloride 10 mg tablet, cetirizine hydrochloride 10 mg tablet,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t>
  </si>
  <si>
    <t>عايشه سالم صالح الجهني</t>
  </si>
  <si>
    <t>diclofenac sodium, vitamin B complex (B, B, atorvastatin</t>
  </si>
  <si>
    <t>diclofenac sodium 1% (10 mg/g) gel, diclofenac sodium 1% (10 mg/g) gel, diclofenac sodium 1% (10 mg/g) gel, diclofenac sodium 1% (10 mg/g) gel, diclofenac sodium 1% (10 mg/g) gel, diclofenac sodium 1% (10 mg/g) gel, diclofenac sodium 1% (10 mg/g) gel,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diclofenac sodium 1% (10 mg/g) gel, diclofenac sodium 1% (10 mg/g) gel, diclofenac sodium 1% (10 mg/g) gel, diclofenac sodium 1% (10 mg/g) gel, diclofenac sodium 1% (10 mg/g) gel, diclofenac sodium 1% (10 mg/g) gel, diclofenac sodium 1% (10 mg/g) gel, atorvastatin 20 mg tablet, atorvastatin 20 mg tablet, atorvastatin 20 mg tablet, atorvastatin 20 mg tablet, atorvastatin 20 mg tablet, atorvastatin 20 mg tablet, atorvastatin 20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diclofenac sodium 1% (10 mg/g) gel, atorvastatin 20 mg tablet, diclofenac sodium 1% (10 mg/g) gel, atorvastatin 20 mg tablet, diclofenac sodium 1% (10 mg/g) gel, atorvastatin 20 mg tablet, diclofenac sodium 1% (10 mg/g) gel, atorvastatin 20 mg tablet, diclofenac sodium 1% (10 mg/g) gel, atorvastatin 20 mg tablet, diclofenac sodium 1% (10 mg/g) gel, atorvastatin 20 mg tablet, diclofenac sodium 1% (10 mg/g) gel, atorvastatin 20 mg tablet, diclofenac sodium 1% (10 mg/g) gel, diclofenac sodium 1% (10 mg/g) gel, diclofenac sodium 1% (10 mg/g) gel, diclofenac sodium 1% (10 mg/g) gel, diclofenac sodium 1% (10 mg/g) gel, diclofenac sodium 1% (10 mg/g) gel, diclofenac sodium 1% (10 mg/g) gel,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diclofenac sodium 1% (10 mg/g) gel, atorvastatin 20 mg tablet, vitamin B complex (B1,B6,B12) 100,200,0.2 mg Film coated tablets [oral], diclofenac sodium 1% (10 mg/g) gel, atorvastatin 20 mg tablet, vitamin B complex (B1,B6,B12) 100,200,0.2 mg Film coated tablets [oral], diclofenac sodium 1% (10 mg/g) gel, atorvastatin 20 mg tablet, vitamin B complex (B1,B6,B12) 100,200,0.2 mg Film coated tablets [oral], diclofenac sodium 1% (10 mg/g) gel, atorvastatin 20 mg tablet, vitamin B complex (B1,B6,B12) 100,200,0.2 mg Film coated tablets [oral], diclofenac sodium 1% (10 mg/g) gel, atorvastatin 20 mg tablet, vitamin B complex (B1,B6,B12) 100,200,0.2 mg Film coated tablets [oral], diclofenac sodium 1% (10 mg/g) gel, atorvastatin 20 mg tablet, vitamin B complex (B1,B6,B12) 100,200,0.2 mg Film coated tablets [oral], diclofenac sodium 1% (10 mg/g) gel, atorvastatin 20 mg tablet, atorvastatin 20 mg tablet, atorvastatin 20 mg tablet, atorvastatin 20 mg tablet, atorvastatin 20 mg tablet, atorvastatin 20 mg tablet, atorvastatin 20 mg tablet, atorvastatin 20 mg tablet, diclofenac sodium 1% (10 mg/g) gel, diclofenac sodium 1% (10 mg/g) gel, diclofenac sodium 1% (10 mg/g) gel, diclofenac sodium 1% (10 mg/g) gel, diclofenac sodium 1% (10 mg/g) gel, diclofenac sodium 1% (10 mg/g) gel, diclofenac sodium 1% (10 mg/g) gel,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t>
  </si>
  <si>
    <t>مريم محمد سالم الجهني</t>
  </si>
  <si>
    <t>celecoxib, metFORMIN hydrochloride, ferrous sulfate, Glucometer Device (Accu-Chek), Lancets (Accu-Check), vitamin B complex (B, B, colecalciferol, Strips (Accu-Check), paracetamol</t>
  </si>
  <si>
    <t>celecoxib 200 mg capsule, celecoxib 200 mg capsule, metFORMIN hydrochloride 750 mg tablet: modified release, ferrous sulfate 190 mg Tablets [oral], metFORMIN hydrochloride 750 mg tablet: modified release, ferrous sulfate 190 mg Tablets [oral], Glucometer Device (Accu-Chek) 1 device Device [n/a], Lancets (Accu-Check) 1 box Lancets [n/a], vitamin B complex (B1,B6,B12) 100,200,0.2 mg Film coated tablets [oral], Glucometer Device (Accu-Chek) 1 device Device [n/a], Lancets (Accu-Check) 1 box Lancets [n/a], vitamin B complex (B1,B6,B12) 100,200,0.2 mg Film coated tablets [oral], colecalciferol 50 000 international units tablet, colecalciferol 50 000 international units tablet, Strips (Accu-Check) 1 box Strip [n/a], Strips (Accu-Check) 1 box Strip [n/a], paracetamol 500 mg tablet, paracetamol 500 mg tablet, paracetamol 500 mg tablet, paracetamol 500 mg tablet, Strips (Accu-Check) 1 box Strip [n/a], Glucometer Device (Accu-Chek) 1 device Device [n/a], Strips (Accu-Check) 1 box Strip [n/a], Glucometer Device (Accu-Chek) 1 device Device [n/a], Lancets (Accu-Check) 1 box Lancets [n/a], Lancets (Accu-Check) 1 box Lancets [n/a], colecalciferol 50 000 international units tablet, vitamin B complex (B1,B6,B12) 100,200,0.2 mg Film coated tablets [oral], metFORMIN hydrochloride 750 mg tablet: modified release, ferrous sulfate 190 mg Tablets [oral], colecalciferol 50 000 international units tablet, vitamin B complex (B1,B6,B12) 100,200,0.2 mg Film coated tablets [oral], metFORMIN hydrochloride 750 mg tablet: modified release, ferrous sulfate 190 mg Tablets [oral], celecoxib 200 mg capsule, celecoxib 200 mg capsule</t>
  </si>
  <si>
    <t>عادل محمد احمد ابوريا</t>
  </si>
  <si>
    <t>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t>
  </si>
  <si>
    <t>صالح علي صالح خواجي</t>
  </si>
  <si>
    <t>diclofenac sodium, omeprazole, budesonide, amLODIPine</t>
  </si>
  <si>
    <t>diclofenac sodium 1% (10 mg/g) gel, diclofenac sodium 1% (10 mg/g) gel, omeprazole 20 mg tablet: enteric coated, omeprazole 20 mg tablet: enteric coated, budesonide 160 microgram/actuation + formoterol fumarate dihydrate 4.5 microgram/actuation inhalation: powder for, amLODIPine 5 mg tablet, budesonide 160 microgram/actuation + formoterol fumarate dihydrate 4.5 microgram/actuation inhalation: powder for, amLODIPine 5 mg tablet, amLODIPine 5 mg tablet, omeprazole 20 mg tablet: enteric coated, amLODIPine 5 mg tablet, omeprazole 20 mg tablet: enteric coated, diclofenac sodium 1% (10 mg/g) gel, budesonide 160 microgram/actuation + formoterol fumarate dihydrate 4.5 microgram/actuation inhalation: powder for, diclofenac sodium 1% (10 mg/g) gel,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amLODIPine 5 mg tablet, amLODIPine 5 mg tablet, omeprazole 20 mg tablet: enteric coated, diclofenac sodium 1% (10 mg/g) gel, omeprazole 20 mg tablet: enteric coated, diclofenac sodium 1% (10 mg/g) gel, omeprazole 20 mg tablet: enteric coated, omeprazole 20 mg tablet: enteric coated, diclofenac sodium 1% (10 mg/g) gel, amLODIPine 5 mg tablet, diclofenac sodium 1% (10 mg/g) gel, amLODIPine 5 mg tablet</t>
  </si>
  <si>
    <t>GI/PPI, Hypertension</t>
  </si>
  <si>
    <t>عبدالرحمن عبدالله بن حسن مقبول</t>
  </si>
  <si>
    <t>ايمان هنيدي ناجي المولد</t>
  </si>
  <si>
    <t>amLODIPine 5 mg tablet, amLODIPine 5 mg tablet, amLODIPine 5 mg tablet, amLODIPine 5 mg tablet, amLODIPine 5 mg tablet, amLODIPine 5 mg tablet, amLODIPine 5 mg tablet, amLODIPine 5 mg tablet</t>
  </si>
  <si>
    <t>قابل قبيل قابل العصلاني</t>
  </si>
  <si>
    <t>calcium carbonate, mebeverine hydrochloride, amLODIPine, colecalciferol, rosuvastatin</t>
  </si>
  <si>
    <t>calcium carbonate 600 mg - colecalciferol 200 international units Film coated tablets [oral], mebeverine hydrochloride 135 mg tablet, calcium carbonate 600 mg - colecalciferol 200 international units Film coated tablets [oral], mebeverine hydrochloride 135 mg tablet, calcium carbonate 600 mg - colecalciferol 200 international units Film coated tablets [oral], mebeverine hydrochloride 135 mg tablet, calcium carbonate 600 mg - colecalciferol 200 international units Film coated tablets [oral], mebeverine hydrochloride 135 mg tablet, calcium carbonate 600 mg - colecalciferol 200 international units Film coated tablets [oral], mebeverine hydrochloride 135 mg tablet, calcium carbonate 600 mg - colecalciferol 200 international units Film coated tablets [oral], mebeverine hydrochloride 135 mg tablet, calcium carbonate 600 mg - colecalciferol 200 international units Film coated tablets [oral], mebeverine hydrochloride 135 mg tablet, calcium carbonate 600 mg - colecalciferol 200 international units Film coated tablets [oral], mebeverine hydrochloride 135 mg tablet, calcium carbonate 600 mg - colecalciferol 200 international units Film coated tablets [oral], mebeverine hydrochloride 135 mg tablet, amLODIPine 5 mg tablet, amLODIPine 5 mg tablet, amLODIPine 5 mg tablet, amLODIPine 5 mg tablet, amLODIPine 5 mg tablet, amLODIPine 5 mg tablet, amLODIPine 5 mg tablet, amLODIPine 5 mg tablet, amLODIPine 5 mg tablet, colecalciferol 50 000 international units tablet, rosuvastatin 10 mg tablet, colecalciferol 50 000 international units tablet, rosuvastatin 10 mg tablet, colecalciferol 50 000 international units tablet, rosuvastatin 10 mg tablet, colecalciferol 50 000 international units tablet, rosuvastatin 10 mg tablet, colecalciferol 50 000 international units tablet, rosuvastatin 10 mg tablet, colecalciferol 50 000 international units tablet, rosuvastatin 10 mg tablet, colecalciferol 50 000 international units tablet, rosuvastatin 10 mg tablet, colecalciferol 50 000 international units tablet, rosuvastatin 10 mg tablet, colecalciferol 50 000 international units tablet, rosuvastatin 10 mg tablet, amLODIPine 5 mg tablet, colecalciferol 50 000 international units tablet, amLODIPine 5 mg tablet, colecalciferol 50 000 international units tablet, amLODIPine 5 mg tablet, colecalciferol 50 000 international units tablet, amLODIPine 5 mg tablet, colecalciferol 50 000 international units tablet, amLODIPine 5 mg tablet, colecalciferol 50 000 international units tablet, amLODIPine 5 mg tablet, colecalciferol 50 000 international units tablet, amLODIPine 5 mg tablet, colecalciferol 50 000 international units tablet, amLODIPine 5 mg tablet, colecalciferol 50 000 international units tablet, amLODIPine 5 mg tablet, colecalciferol 50 000 international units tablet, mebeverine hydrochloride 135 mg tablet, rosuvastatin 10 mg tablet, calcium carbonate 600 mg - colecalciferol 200 international units Film coated tablets [oral], mebeverine hydrochloride 135 mg tablet, rosuvastatin 10 mg tablet, calcium carbonate 600 mg - colecalciferol 200 international units Film coated tablets [oral], mebeverine hydrochloride 135 mg tablet, rosuvastatin 10 mg tablet, calcium carbonate 600 mg - colecalciferol 200 international units Film coated tablets [oral], mebeverine hydrochloride 135 mg tablet, rosuvastatin 10 mg tablet, calcium carbonate 600 mg - colecalciferol 200 international units Film coated tablets [oral], mebeverine hydrochloride 135 mg tablet, rosuvastatin 10 mg tablet, calcium carbonate 600 mg - colecalciferol 200 international units Film coated tablets [oral], mebeverine hydrochloride 135 mg tablet, rosuvastatin 10 mg tablet, calcium carbonate 600 mg - colecalciferol 200 international units Film coated tablets [oral], mebeverine hydrochloride 135 mg tablet, rosuvastatin 10 mg tablet, calcium carbonate 600 mg - colecalciferol 200 international units Film coated tablets [oral], mebeverine hydrochloride 135 mg tablet, rosuvastatin 10 mg tablet, calcium carbonate 600 mg - colecalciferol 200 international units Film coated tablets [oral], mebeverine hydrochloride 135 mg tablet, rosuvastatin 10 mg tablet, calcium carbonate 600 mg - colecalciferol 200 international units Film coated tablets [oral], amLODIPine 5 mg tablet, colecalciferol 50 000 international units tablet, amLODIPine 5 mg tablet, colecalciferol 50 000 international units tablet, amLODIPine 5 mg tablet, colecalciferol 50 000 international units tablet, amLODIPine 5 mg tablet, colecalciferol 50 000 international units tablet, amLODIPine 5 mg tablet, colecalciferol 50 000 international units tablet, amLODIPine 5 mg tablet, colecalciferol 50 000 international units tablet, amLODIPine 5 mg tablet, colecalciferol 50 000 international units tablet, amLODIPine 5 mg tablet, colecalciferol 50 000 international units tablet, amLODIPine 5 mg tablet, colecalciferol 50 000 international units tablet, mebeverine hydrochloride 135 mg tablet, mebeverine hydrochloride 135 mg tablet, mebeverine hydrochloride 135 mg tablet, mebeverine hydrochloride 135 mg tablet, mebeverine hydrochloride 135 mg tablet, mebeverine hydrochloride 135 mg tablet, mebeverine hydrochloride 135 mg tablet, mebeverine hydrochloride 135 mg tablet, mebeverine hydrochloride 135 mg tablet, rosuvastatin 10 mg tablet, calcium carbonate 600 mg - colecalciferol 200 international units Film coated tablets [oral], rosuvastatin 10 mg tablet, calcium carbonate 600 mg - colecalciferol 200 international units Film coated tablets [oral], rosuvastatin 10 mg tablet, calcium carbonate 600 mg - colecalciferol 200 international units Film coated tablets [oral], rosuvastatin 10 mg tablet, calcium carbonate 600 mg - colecalciferol 200 international units Film coated tablets [oral], rosuvastatin 10 mg tablet, calcium carbonate 600 mg - colecalciferol 200 international units Film coated tablets [oral], rosuvastatin 10 mg tablet, calcium carbonate 600 mg - colecalciferol 200 international units Film coated tablets [oral], rosuvastatin 10 mg tablet, calcium carbonate 600 mg - colecalciferol 200 international units Film coated tablets [oral], rosuvastatin 10 mg tablet, calcium carbonate 600 mg - colecalciferol 200 international units Film coated tablets [oral], rosuvastatin 10 mg tablet,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amLODIPine 5 mg tablet, amLODIPine 5 mg tablet, amLODIPine 5 mg tablet, amLODIPine 5 mg tablet, amLODIPine 5 mg tablet, amLODIPine 5 mg tablet, amLODIPine 5 mg tablet, amLODIPine 5 mg tablet, amLODIPine 5 mg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rosuvastatin 10 mg tablet, mebeverine hydrochloride 135 mg tablet, rosuvastatin 10 mg tablet, mebeverine hydrochloride 135 mg tablet, rosuvastatin 10 mg tablet, mebeverine hydrochloride 135 mg tablet, rosuvastatin 10 mg tablet, mebeverine hydrochloride 135 mg tablet, rosuvastatin 10 mg tablet, mebeverine hydrochloride 135 mg tablet, rosuvastatin 10 mg tablet, mebeverine hydrochloride 135 mg tablet, rosuvastatin 10 mg tablet, mebeverine hydrochloride 135 mg tablet, rosuvastatin 10 mg tablet, mebeverine hydrochloride 135 mg tablet, rosuvastatin 10 mg tablet, mebeverine hydrochloride 135 mg tablet, amLODIPine 5 mg tablet, mebeverine hydrochloride 135 mg tablet, amLODIPine 5 mg tablet, mebeverine hydrochloride 135 mg tablet, amLODIPine 5 mg tablet, mebeverine hydrochloride 135 mg tablet, amLODIPine 5 mg tablet, mebeverine hydrochloride 135 mg tablet, amLODIPine 5 mg tablet, mebeverine hydrochloride 135 mg tablet, amLODIPine 5 mg tablet, mebeverine hydrochloride 135 mg tablet, amLODIPine 5 mg tablet, mebeverine hydrochloride 135 mg tablet, amLODIPine 5 mg tablet, mebeverine hydrochloride 135 mg tablet, amLODIPine 5 mg tablet, mebeverine hydrochloride 135 mg tablet,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rosuvastatin 10 mg tablet, colecalciferol 50 000 international units tablet, rosuvastatin 10 mg tablet, colecalciferol 50 000 international units tablet, rosuvastatin 10 mg tablet, colecalciferol 50 000 international units tablet, rosuvastatin 10 mg tablet, colecalciferol 50 000 international units tablet, rosuvastatin 10 mg tablet, colecalciferol 50 000 international units tablet, rosuvastatin 10 mg tablet, colecalciferol 50 000 international units tablet, rosuvastatin 10 mg tablet, colecalciferol 50 000 international units tablet, rosuvastatin 10 mg tablet, colecalciferol 50 000 international units tablet, rosuvastatin 10 mg tablet, colecalciferol 50 000 international units tablet, rosuvastatin 10 mg tablet, mebeverine hydrochloride 135 mg tablet, rosuvastatin 10 mg tablet, mebeverine hydrochloride 135 mg tablet, rosuvastatin 10 mg tablet, mebeverine hydrochloride 135 mg tablet, rosuvastatin 10 mg tablet, mebeverine hydrochloride 135 mg tablet, rosuvastatin 10 mg tablet, mebeverine hydrochloride 135 mg tablet, rosuvastatin 10 mg tablet, mebeverine hydrochloride 135 mg tablet, rosuvastatin 10 mg tablet, mebeverine hydrochloride 135 mg tablet, rosuvastatin 10 mg tablet, mebeverine hydrochloride 135 mg tablet, rosuvastatin 10 mg tablet, mebeverine hydrochloride 135 mg tablet, amLODIPine 5 mg tablet, amLODIPine 5 mg tablet, amLODIPine 5 mg tablet, amLODIPine 5 mg tablet, amLODIPine 5 mg tablet, amLODIPine 5 mg tablet, amLODIPine 5 mg tablet, amLODIPine 5 mg tablet, amLODIPine 5 mg tablet, colecalciferol 50 000 international units tablet, calcium carbonate 600 mg - colecalciferol 200 international units Film coated tablets [oral], colecalciferol 50 000 international units tablet, calcium carbonate 600 mg - colecalciferol 200 international units Film coated tablets [oral], colecalciferol 50 000 international units tablet, calcium carbonate 600 mg - colecalciferol 200 international units Film coated tablets [oral], colecalciferol 50 000 international units tablet, calcium carbonate 600 mg - colecalciferol 200 international units Film coated tablets [oral], colecalciferol 50 000 international units tablet, calcium carbonate 600 mg - colecalciferol 200 international units Film coated tablets [oral], colecalciferol 50 000 international units tablet, calcium carbonate 600 mg - colecalciferol 200 international units Film coated tablets [oral], colecalciferol 50 000 international units tablet, calcium carbonate 600 mg - colecalciferol 200 international units Film coated tablets [oral], colecalciferol 50 000 international units tablet, calcium carbonate 600 mg - colecalciferol 200 international units Film coated tablets [oral], colecalciferol 50 000 international units tablet, calcium carbonate 600 mg - colecalciferol 200 international units Film coated tablets [oral], amLODIPine 5 mg tablet, amLODIPine 5 mg tablet, amLODIPine 5 mg tablet, amLODIPine 5 mg tablet, amLODIPine 5 mg tablet, amLODIPine 5 mg tablet, amLODIPine 5 mg tablet, amLODIPine 5 mg tablet, amLODIPine 5 mg tablet, colecalciferol 50 000 international units tablet, calcium carbonate 600 mg - colecalciferol 200 international units Film coated tablets [oral], colecalciferol 50 000 international units tablet, calcium carbonate 600 mg - colecalciferol 200 international units Film coated tablets [oral], colecalciferol 50 000 international units tablet, calcium carbonate 600 mg - colecalciferol 200 international units Film coated tablets [oral], colecalciferol 50 000 international units tablet, calcium carbonate 600 mg - colecalciferol 200 international units Film coated tablets [oral], colecalciferol 50 000 international units tablet, calcium carbonate 600 mg - colecalciferol 200 international units Film coated tablets [oral], colecalciferol 50 000 international units tablet, calcium carbonate 600 mg - colecalciferol 200 international units Film coated tablets [oral], colecalciferol 50 000 international units tablet, calcium carbonate 600 mg - colecalciferol 200 international units Film coated tablets [oral], colecalciferol 50 000 international units tablet, calcium carbonate 600 mg - colecalciferol 200 international units Film coated tablets [oral], colecalciferol 50 000 international units tablet, calcium carbonate 600 mg - colecalciferol 200 international units Film coated tablets [oral], rosuvastatin 10 mg tablet, mebeverine hydrochloride 135 mg tablet, rosuvastatin 10 mg tablet, mebeverine hydrochloride 135 mg tablet, rosuvastatin 10 mg tablet, mebeverine hydrochloride 135 mg tablet, rosuvastatin 10 mg tablet, mebeverine hydrochloride 135 mg tablet, rosuvastatin 10 mg tablet, mebeverine hydrochloride 135 mg tablet, rosuvastatin 10 mg tablet, mebeverine hydrochloride 135 mg tablet, rosuvastatin 10 mg tablet, mebeverine hydrochloride 135 mg tablet, rosuvastatin 10 mg tablet, mebeverine hydrochloride 135 mg tablet, rosuvastatin 10 mg tablet, mebeverine hydrochloride 135 mg tablet</t>
  </si>
  <si>
    <t>عبير يحيى بن عبدالغنى زمزمى</t>
  </si>
  <si>
    <t>vitamin B complex (B, B</t>
  </si>
  <si>
    <t>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t>
  </si>
  <si>
    <t>عبدالمغني سعد درين النفيعي</t>
  </si>
  <si>
    <t>empagliflozin, SITagliptin</t>
  </si>
  <si>
    <t>empagliflozin 10 mg tablet, empagliflozin 10 mg tablet, empagliflozin 10 mg tablet, empagliflozin 10 mg tablet, SITagliptin 100 mg tablet, SITagliptin 100 mg tablet, SITagliptin 100 mg tablet, SITagliptin 100 mg tablet, empagliflozin 10 mg tablet, empagliflozin 10 mg tablet, empagliflozin 10 mg tablet, empagliflozin 10 mg tablet, SITagliptin 100 mg tablet, SITagliptin 100 mg tablet, SITagliptin 100 mg tablet, SITagliptin 100 mg tablet, empagliflozin 10 mg tablet, empagliflozin 10 mg tablet, empagliflozin 10 mg tablet, empagliflozin 10 mg tablet, SITagliptin 100 mg tablet, SITagliptin 100 mg tablet, SITagliptin 100 mg tablet, SITagliptin 100 mg tablet, empagliflozin 10 mg tablet, empagliflozin 10 mg tablet, empagliflozin 10 mg tablet, empagliflozin 10 mg tablet, SITagliptin 100 mg tablet, SITagliptin 100 mg tablet, SITagliptin 100 mg tablet, SITagliptin 100 mg tablet</t>
  </si>
  <si>
    <t>Quarterly</t>
  </si>
  <si>
    <t>خديجه مرعي احمد العبيدي</t>
  </si>
  <si>
    <t>rosuvastatin, metFORMIN hydrochloride, vitamin B complex (B, B, gliclazide, SITagliptin</t>
  </si>
  <si>
    <t>rosuvastatin 10 mg tablet, metFORMIN hydrochloride 500 mg tablet, rosuvastatin 10 mg tablet, metFORMIN hydrochloride 500 mg tablet, rosuvastatin 10 mg tablet, metFORMIN hydrochloride 500 mg tablet, rosuvastatin 10 mg tablet, metFORMIN hydrochloride 500 mg tablet, rosuvastatin 10 mg tablet, metFORMIN hydrochloride 500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gliclazide 60 mg tablet: modified release, SITagliptin 100 mg tablet, gliclazide 60 mg tablet: modified release, SITagliptin 100 mg tablet, gliclazide 60 mg tablet: modified release, SITagliptin 100 mg tablet, gliclazide 60 mg tablet: modified release, SITagliptin 100 mg tablet, gliclazide 60 mg tablet: modified release, SITagliptin 100 mg tablet, rosuvastatin 10 mg tablet, rosuvastatin 10 mg tablet, rosuvastatin 10 mg tablet, rosuvastatin 10 mg tablet, rosuvastatin 10 mg tablet, SITagliptin 100 mg tablet, metFORMIN hydrochloride 500 mg tablet, SITagliptin 100 mg tablet, metFORMIN hydrochloride 500 mg tablet, SITagliptin 100 mg tablet, metFORMIN hydrochloride 500 mg tablet, SITagliptin 100 mg tablet, metFORMIN hydrochloride 500 mg tablet, SITagliptin 100 mg tablet, metFORMIN hydrochloride 500 mg tablet, gliclazide 60 mg tablet: modified release, vitamin B complex (B1,B6,B12) 100,200,0.2 mg Film coated tablets [oral], gliclazide 60 mg tablet: modified release, vitamin B complex (B1,B6,B12) 100,200,0.2 mg Film coated tablets [oral], gliclazide 60 mg tablet: modified release, vitamin B complex (B1,B6,B12) 100,200,0.2 mg Film coated tablets [oral], gliclazide 60 mg tablet: modified release, vitamin B complex (B1,B6,B12) 100,200,0.2 mg Film coated tablets [oral], gliclazide 60 mg tablet: modified release, vitamin B complex (B1,B6,B12) 100,200,0.2 mg Film coated tablets [oral], vitamin B complex (B1,B6,B12) 100,200,0.2 mg Film coated tablets [oral], SITagliptin 100 mg tablet, vitamin B complex (B1,B6,B12) 100,200,0.2 mg Film coated tablets [oral], SITagliptin 100 mg tablet, vitamin B complex (B1,B6,B12) 100,200,0.2 mg Film coated tablets [oral], SITagliptin 100 mg tablet, vitamin B complex (B1,B6,B12) 100,200,0.2 mg Film coated tablets [oral], SITagliptin 100 mg tablet, vitamin B complex (B1,B6,B12) 100,200,0.2 mg Film coated tablets [oral], SITagliptin 100 mg tablet, metFORMIN hydrochloride 500 mg tablet, metFORMIN hydrochloride 500 mg tablet, metFORMIN hydrochloride 500 mg tablet, metFORMIN hydrochloride 500 mg tablet, metFORMIN hydrochloride 500 mg tablet, rosuvastatin 10 mg tablet, gliclazide 60 mg tablet: modified release, rosuvastatin 10 mg tablet, gliclazide 60 mg tablet: modified release, rosuvastatin 10 mg tablet, gliclazide 60 mg tablet: modified release, rosuvastatin 10 mg tablet, gliclazide 60 mg tablet: modified release, rosuvastatin 10 mg tablet, gliclazide 60 mg tablet: modified release, SITagliptin 100 mg tablet, SITagliptin 100 mg tablet, SITagliptin 100 mg tablet, SITagliptin 100 mg tablet, SITagliptin 100 mg tablet, rosuvastatin 10 mg tablet, vitamin B complex (B1,B6,B12) 100,200,0.2 mg Film coated tablets [oral], rosuvastatin 10 mg tablet, vitamin B complex (B1,B6,B12) 100,200,0.2 mg Film coated tablets [oral], rosuvastatin 10 mg tablet, vitamin B complex (B1,B6,B12) 100,200,0.2 mg Film coated tablets [oral], rosuvastatin 10 mg tablet, vitamin B complex (B1,B6,B12) 100,200,0.2 mg Film coated tablets [oral], rosuvastatin 10 mg tablet, vitamin B complex (B1,B6,B12) 100,200,0.2 mg Film coated tablets [oral], gliclazide 60 mg tablet: modified release, metFORMIN hydrochloride 500 mg tablet, gliclazide 60 mg tablet: modified release, metFORMIN hydrochloride 500 mg tablet, gliclazide 60 mg tablet: modified release, metFORMIN hydrochloride 500 mg tablet, gliclazide 60 mg tablet: modified release, metFORMIN hydrochloride 500 mg tablet, gliclazide 60 mg tablet: modified release, metFORMIN hydrochloride 500 mg tablet, gliclazide 60 mg tablet: modified release, gliclazide 60 mg tablet: modified release, gliclazide 60 mg tablet: modified release, gliclazide 60 mg tablet: modified release, gliclazide 60 mg tablet: modified release, metFORMIN hydrochloride 500 mg tablet, metFORMIN hydrochloride 500 mg tablet, metFORMIN hydrochloride 500 mg tablet, metFORMIN hydrochloride 500 mg tablet, metFORMIN hydrochloride 500 mg tablet, rosuvastatin 10 mg tablet, rosuvastatin 10 mg tablet, rosuvastatin 10 mg tablet, rosuvastatin 10 mg tablet, rosuvastatin 10 mg tablet, SITagliptin 100 mg tablet, vitamin B complex (B1,B6,B12) 100,200,0.2 mg Film coated tablets [oral], SITagliptin 100 mg tablet, vitamin B complex (B1,B6,B12) 100,200,0.2 mg Film coated tablets [oral], SITagliptin 100 mg tablet, vitamin B complex (B1,B6,B12) 100,200,0.2 mg Film coated tablets [oral], SITagliptin 100 mg tablet, vitamin B complex (B1,B6,B12) 100,200,0.2 mg Film coated tablets [oral], SITagliptin 100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rosuvastatin 10 mg tablet, rosuvastatin 10 mg tablet, rosuvastatin 10 mg tablet, rosuvastatin 10 mg tablet, rosuvastatin 10 mg tablet, metFORMIN hydrochloride 500 mg tablet, gliclazide 60 mg tablet: modified release, metFORMIN hydrochloride 500 mg tablet, gliclazide 60 mg tablet: modified release, metFORMIN hydrochloride 500 mg tablet, gliclazide 60 mg tablet: modified release, metFORMIN hydrochloride 500 mg tablet, gliclazide 60 mg tablet: modified release, metFORMIN hydrochloride 500 mg tablet, gliclazide 60 mg tablet: modified release, metFORMIN hydrochloride 500 mg tablet, metFORMIN hydrochloride 500 mg tablet, metFORMIN hydrochloride 500 mg tablet, metFORMIN hydrochloride 500 mg tablet, metFORMIN hydrochloride 500 mg tablet, SITagliptin 100 mg tablet, gliclazide 60 mg tablet: modified release, SITagliptin 100 mg tablet, gliclazide 60 mg tablet: modified release, SITagliptin 100 mg tablet, gliclazide 60 mg tablet: modified release, SITagliptin 100 mg tablet, gliclazide 60 mg tablet: modified release, SITagliptin 100 mg tablet, gliclazide 60 mg tablet: modified release, rosuvastatin 10 mg tablet, rosuvastatin 10 mg tablet, rosuvastatin 10 mg tablet, rosuvastatin 10 mg tablet, rosuvastatin 10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t>
  </si>
  <si>
    <t>وليد بن علي بن محمد الشمراني</t>
  </si>
  <si>
    <t>valsartan</t>
  </si>
  <si>
    <t>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t>
  </si>
  <si>
    <t>رحمه عبدالرحمن سعيد الطليقي</t>
  </si>
  <si>
    <t>atorvastatin, vitamin B complex (B, B, valsartan, metFORMIN hydrochloride</t>
  </si>
  <si>
    <t>atorvastatin 10 mg tablet, atorvastatin 10 mg tablet, atorvastatin 10 mg tablet, atorvastatin 10 mg tablet, atorvastatin 10 mg tablet, atorvastatin 10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valsartan 80 mg tablet, valsartan 80 mg tablet, valsartan 80 mg tablet, valsartan 80 mg tablet, valsartan 80 mg tablet, valsartan 80 mg tablet, metFORMIN hydrochloride 500 mg tablet, metFORMIN hydrochloride 500 mg tablet, metFORMIN hydrochloride 500 mg tablet, metFORMIN hydrochloride 500 mg tablet, metFORMIN hydrochloride 500 mg tablet, metFORMIN hydrochloride 500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valsartan 80 mg tablet, atorvastatin 10 mg tablet, metFORMIN hydrochloride 500 mg tablet, valsartan 80 mg tablet, atorvastatin 10 mg tablet, metFORMIN hydrochloride 500 mg tablet, valsartan 80 mg tablet, atorvastatin 10 mg tablet, metFORMIN hydrochloride 500 mg tablet, valsartan 80 mg tablet, atorvastatin 10 mg tablet, metFORMIN hydrochloride 500 mg tablet, valsartan 80 mg tablet, atorvastatin 10 mg tablet, metFORMIN hydrochloride 500 mg tablet, valsartan 80 mg tablet, atorvastatin 10 mg tablet, metFORMIN hydrochloride 500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valsartan 80 mg tablet, valsartan 80 mg tablet, valsartan 80 mg tablet, valsartan 80 mg tablet, valsartan 80 mg tablet, valsartan 80 mg tablet, metFORMIN hydrochloride 500 mg tablet, atorvastatin 10 mg tablet, metFORMIN hydrochloride 500 mg tablet, atorvastatin 10 mg tablet, metFORMIN hydrochloride 500 mg tablet, atorvastatin 10 mg tablet, metFORMIN hydrochloride 500 mg tablet, atorvastatin 10 mg tablet, metFORMIN hydrochloride 500 mg tablet, atorvastatin 10 mg tablet, metFORMIN hydrochloride 500 mg tablet, atorvastatin 10 mg tablet, valsartan 80 mg tablet, valsartan 80 mg tablet, valsartan 80 mg tablet, valsartan 80 mg tablet, valsartan 80 mg tablet, valsartan 80 mg tablet, valsartan 80 mg tablet, atorvastatin 10 mg tablet, valsartan 80 mg tablet, atorvastatin 10 mg tablet, valsartan 80 mg tablet, atorvastatin 10 mg tablet, valsartan 80 mg tablet, atorvastatin 10 mg tablet, valsartan 80 mg tablet, atorvastatin 10 mg tablet, valsartan 80 mg tablet, atorvastatin 10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valsartan 80 mg tablet, valsartan 80 mg tablet, valsartan 80 mg tablet, valsartan 80 mg tablet, valsartan 80 mg tablet, valsartan 80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valsartan 80 mg tablet, vitamin B complex (B1,B6,B12) 100,200,0.2 mg Film coated tablets [oral], valsartan 80 mg tablet, vitamin B complex (B1,B6,B12) 100,200,0.2 mg Film coated tablets [oral], valsartan 80 mg tablet, vitamin B complex (B1,B6,B12) 100,200,0.2 mg Film coated tablets [oral], valsartan 80 mg tablet, vitamin B complex (B1,B6,B12) 100,200,0.2 mg Film coated tablets [oral], valsartan 80 mg tablet, vitamin B complex (B1,B6,B12) 100,200,0.2 mg Film coated tablets [oral], valsartan 80 mg tablet, vitamin B complex (B1,B6,B12) 100,200,0.2 mg Film coated tablets [oral], atorvastatin 10 mg tablet, atorvastatin 10 mg tablet, atorvastatin 10 mg tablet, atorvastatin 10 mg tablet, atorvastatin 10 mg tablet, atorvastatin 10 mg tablet, valsartan 80 mg tablet, vitamin B complex (B1,B6,B12) 100,200,0.2 mg Film coated tablets [oral], valsartan 80 mg tablet, vitamin B complex (B1,B6,B12) 100,200,0.2 mg Film coated tablets [oral], valsartan 80 mg tablet, vitamin B complex (B1,B6,B12) 100,200,0.2 mg Film coated tablets [oral], valsartan 80 mg tablet, vitamin B complex (B1,B6,B12) 100,200,0.2 mg Film coated tablets [oral], valsartan 80 mg tablet, vitamin B complex (B1,B6,B12) 100,200,0.2 mg Film coated tablets [oral], valsartan 80 mg tablet, vitamin B complex (B1,B6,B12) 100,200,0.2 mg Film coated tablets [oral], valsartan 80 mg tablet, valsartan 80 mg tablet, valsartan 80 mg tablet, valsartan 80 mg tablet, valsartan 80 mg tablet, valsartan 80 mg tablet, atorvastatin 10 mg tablet, atorvastatin 10 mg tablet, atorvastatin 10 mg tablet, atorvastatin 10 mg tablet, atorvastatin 10 mg tablet, atorvastatin 10 mg tablet,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vitamin B complex (B1,B6,B12) 100,200,0.2 mg Film coated tablets [oral], atorvastatin 10 mg tablet, vitamin B complex (B1,B6,B12) 100,200,0.2 mg Film coated tablets [oral], atorvastatin 10 mg tablet, vitamin B complex (B1,B6,B12) 100,200,0.2 mg Film coated tablets [oral], atorvastatin 10 mg tablet, vitamin B complex (B1,B6,B12) 100,200,0.2 mg Film coated tablets [oral], atorvastatin 10 mg tablet, vitamin B complex (B1,B6,B12) 100,200,0.2 mg Film coated tablets [oral], atorvastatin 10 mg tablet, vitamin B complex (B1,B6,B12) 100,200,0.2 mg Film coated tablets [oral], atorvastatin 10 mg tablet, metFORMIN hydrochloride 500 mg tablet, metFORMIN hydrochloride 500 mg tablet, metFORMIN hydrochloride 500 mg tablet, metFORMIN hydrochloride 500 mg tablet, metFORMIN hydrochloride 500 mg tablet, metFORMIN hydrochloride 500 mg tablet, valsartan 80 mg tablet, valsartan 80 mg tablet, valsartan 80 mg tablet, valsartan 80 mg tablet, valsartan 80 mg tablet, valsartan 80 mg tablet</t>
  </si>
  <si>
    <t>ايمن جميل محمد سمكري</t>
  </si>
  <si>
    <t>fenofibrate, bisoprolol fumarate, rosuvastatin, vitamins (A, B, C, D, colecalciferol</t>
  </si>
  <si>
    <t>fenofibrate 145 mg tablet, bisoprolol fumarate 5 mg tablet, fenofibrate 145 mg tablet, bisoprolol fumarate 5 mg tablet, fenofibrate 145 mg tablet, bisoprolol fumarate 5 mg tablet, rosuvastatin 20 mg tablet, vitamins (A, B1, B2, B3, C, D3) tablet, rosuvastatin 20 mg tablet, vitamins (A, B1, B2, B3, C, D3) tablet, rosuvastatin 20 mg tablet, vitamins (A, B1, B2, B3, C, D3) tablet, colecalciferol 50 000 international units tablet, colecalciferol 50 000 international units tablet, colecalciferol 50 000 international units tablet, bisoprolol fumarate 5 mg tablet, bisoprolol fumarate 5 mg tablet, bisoprolol fumarate 5 mg tablet, rosuvastatin 20 mg tablet, rosuvastatin 20 mg tablet, rosuvastatin 20 mg tablet, fenofibrate 145 mg tablet, fenofibrate 145 mg tablet, fenofibrate 145 mg tablet, vitamins (A, B1, B2, B3, C, D3) tablet, colecalciferol 50 000 international units tablet, vitamins (A, B1, B2, B3, C, D3) tablet, colecalciferol 50 000 international units tablet, vitamins (A, B1, B2, B3, C, D3) tablet, colecalciferol 50 000 international units tablet</t>
  </si>
  <si>
    <t>مصباح محمد حامد سراج</t>
  </si>
  <si>
    <t>propranolol hydrochloride, carbimazole</t>
  </si>
  <si>
    <t>propranolol hydrochloride 40 mg tablet, propranolol hydrochloride 40 mg tablet, propranolol hydrochloride 40 mg tablet, carbimazole 5 mg tablet, carbimazole 5 mg tablet, carbimazole 5 mg tablet, propranolol hydrochloride 40 mg tablet, propranolol hydrochloride 40 mg tablet, propranolol hydrochloride 40 mg tablet, carbimazole 5 mg tablet, carbimazole 5 mg tablet, carbimazole 5 mg tablet, carbimazole 5 mg tablet, propranolol hydrochloride 40 mg tablet, carbimazole 5 mg tablet, propranolol hydrochloride 40 mg tablet, carbimazole 5 mg tablet, propranolol hydrochloride 40 mg tablet</t>
  </si>
  <si>
    <t>سليم سليمان صالح الصبحي</t>
  </si>
  <si>
    <t>metFORMIN hydrochloride, mebeverine hydrochloride</t>
  </si>
  <si>
    <t>metFORMIN hydrochloride 500 mg tablet, metFORMIN hydrochloride 500 mg tablet, metFORMIN hydrochloride 500 mg tablet, metFORMIN hydrochloride 500 mg tablet, metFORMIN hydrochloride 500 mg tablet, metFORMIN hydrochloride 500 mg tablet, metFORMIN hydrochloride 500 mg tablet,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metFORMIN hydrochloride 500 mg tablet, metFORMIN hydrochloride 500 mg tablet, metFORMIN hydrochloride 500 mg tablet, metFORMIN hydrochloride 500 mg tablet, metFORMIN hydrochloride 500 mg tablet, metFORMIN hydrochloride 500 mg tablet, metFORMIN hydrochloride 500 mg tablet,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metFORMIN hydrochloride 500 mg tablet, mebeverine hydrochloride 200 mg capsule: modified release, metFORMIN hydrochloride 500 mg tablet, mebeverine hydrochloride 200 mg capsule: modified release, metFORMIN hydrochloride 500 mg tablet, mebeverine hydrochloride 200 mg capsule: modified release, metFORMIN hydrochloride 500 mg tablet, mebeverine hydrochloride 200 mg capsule: modified release, metFORMIN hydrochloride 500 mg tablet, mebeverine hydrochloride 200 mg capsule: modified release, metFORMIN hydrochloride 500 mg tablet, mebeverine hydrochloride 200 mg capsule: modified release, metFORMIN hydrochloride 500 mg tablet, mebeverine hydrochloride 200 mg capsule: modified release, metFORMIN hydrochloride 500 mg tablet, metFORMIN hydrochloride 500 mg tablet, metFORMIN hydrochloride 500 mg tablet, metFORMIN hydrochloride 500 mg tablet, metFORMIN hydrochloride 500 mg tablet, metFORMIN hydrochloride 500 mg tablet, metFORMIN hydrochloride 500 mg tablet,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metFORMIN hydrochloride 500 mg tablet, metFORMIN hydrochloride 500 mg tablet, metFORMIN hydrochloride 500 mg tablet, metFORMIN hydrochloride 500 mg tablet, metFORMIN hydrochloride 500 mg tablet, metFORMIN hydrochloride 500 mg tablet, metFORMIN hydrochloride 500 mg tablet</t>
  </si>
  <si>
    <t>عبير عبدالقادر داود فلمبان</t>
  </si>
  <si>
    <t>ofloxacin, olopatadine, vitamin B complex (B, B</t>
  </si>
  <si>
    <t>ofloxacin 0.3% (3 mg/mL) eye drops, ofloxacin 0.3% (3 mg/mL) eye drops, ofloxacin 0.3% (3 mg/mL) eye drops, ofloxacin 0.3% (3 mg/mL) eye drops, olopatadine 0.2% (2 mg/mL) eye drops, vitamin B complex (B1,B6,B12) 100,100,0.15 mg Film coated tablets [oral], olopatadine 0.2% (2 mg/mL) eye drops, vitamin B complex (B1,B6,B12) 100,100,0.15 mg Film coated tablets [oral], olopatadine 0.2% (2 mg/mL) eye drops, vitamin B complex (B1,B6,B12) 100,100,0.15 mg Film coated tablets [oral], olopatadine 0.2% (2 mg/mL) eye drops, vitamin B complex (B1,B6,B12) 100,100,0.15 mg Film coated tablets [oral], vitamin B complex (B1,B6,B12) 100,100,0.15 mg Film coated tablets [oral], ofloxacin 0.3% (3 mg/mL) eye drops, vitamin B complex (B1,B6,B12) 100,100,0.15 mg Film coated tablets [oral], ofloxacin 0.3% (3 mg/mL) eye drops, vitamin B complex (B1,B6,B12) 100,100,0.15 mg Film coated tablets [oral], ofloxacin 0.3% (3 mg/mL) eye drops, vitamin B complex (B1,B6,B12) 100,100,0.15 mg Film coated tablets [oral], ofloxacin 0.3% (3 mg/mL) eye drops, olopatadine 0.2% (2 mg/mL) eye drops, olopatadine 0.2% (2 mg/mL) eye drops, olopatadine 0.2% (2 mg/mL) eye drops, olopatadine 0.2% (2 mg/mL) eye drops, ofloxacin 0.3% (3 mg/mL) eye drops, ofloxacin 0.3% (3 mg/mL) eye drops, ofloxacin 0.3% (3 mg/mL) eye drops, ofloxacin 0.3% (3 mg/mL) eye drops, vitamin B complex (B1,B6,B12) 100,100,0.15 mg Film coated tablets [oral], olopatadine 0.2% (2 mg/mL) eye drops, vitamin B complex (B1,B6,B12) 100,100,0.15 mg Film coated tablets [oral], olopatadine 0.2% (2 mg/mL) eye drops, vitamin B complex (B1,B6,B12) 100,100,0.15 mg Film coated tablets [oral], olopatadine 0.2% (2 mg/mL) eye drops, vitamin B complex (B1,B6,B12) 100,100,0.15 mg Film coated tablets [oral], olopatadine 0.2% (2 mg/mL) eye drops, olopatadine 0.2% (2 mg/mL) eye drops, olopatadine 0.2% (2 mg/mL) eye drops, olopatadine 0.2% (2 mg/mL) eye drops, olopatadine 0.2% (2 mg/mL) eye drops, vitamin B complex (B1,B6,B12) 100,100,0.15 mg Film coated tablets [oral], ofloxacin 0.3% (3 mg/mL) eye drops, vitamin B complex (B1,B6,B12) 100,100,0.15 mg Film coated tablets [oral], ofloxacin 0.3% (3 mg/mL) eye drops, vitamin B complex (B1,B6,B12) 100,100,0.15 mg Film coated tablets [oral], ofloxacin 0.3% (3 mg/mL) eye drops, vitamin B complex (B1,B6,B12) 100,100,0.15 mg Film coated tablets [oral], ofloxacin 0.3% (3 mg/mL) eye drops, vitamin B complex (B1,B6,B12) 100,100,0.15 mg Film coated tablets [oral], vitamin B complex (B1,B6,B12) 100,100,0.15 mg Film coated tablets [oral], vitamin B complex (B1,B6,B12) 100,100,0.15 mg Film coated tablets [oral], vitamin B complex (B1,B6,B12) 100,100,0.15 mg Film coated tablets [oral], ofloxacin 0.3% (3 mg/mL) eye drops, olopatadine 0.2% (2 mg/mL) eye drops, ofloxacin 0.3% (3 mg/mL) eye drops, olopatadine 0.2% (2 mg/mL) eye drops, ofloxacin 0.3% (3 mg/mL) eye drops, olopatadine 0.2% (2 mg/mL) eye drops, ofloxacin 0.3% (3 mg/mL) eye drops, olopatadine 0.2% (2 mg/mL) eye drops, ofloxacin 0.3% (3 mg/mL) eye drops, ofloxacin 0.3% (3 mg/mL) eye drops, ofloxacin 0.3% (3 mg/mL) eye drops, ofloxacin 0.3% (3 mg/mL) eye drops, vitamin B complex (B1,B6,B12) 100,100,0.15 mg Film coated tablets [oral], vitamin B complex (B1,B6,B12) 100,100,0.15 mg Film coated tablets [oral], vitamin B complex (B1,B6,B12) 100,100,0.15 mg Film coated tablets [oral], vitamin B complex (B1,B6,B12) 100,100,0.15 mg Film coated tablets [oral], olopatadine 0.2% (2 mg/mL) eye drops, olopatadine 0.2% (2 mg/mL) eye drops, olopatadine 0.2% (2 mg/mL) eye drops, olopatadine 0.2% (2 mg/mL) eye drops, vitamin B complex (B1,B6,B12) 100,100,0.15 mg Film coated tablets [oral], vitamin B complex (B1,B6,B12) 100,100,0.15 mg Film coated tablets [oral], vitamin B complex (B1,B6,B12) 100,100,0.15 mg Film coated tablets [oral], vitamin B complex (B1,B6,B12) 100,100,0.15 mg Film coated tablets [oral], ofloxacin 0.3% (3 mg/mL) eye drops, ofloxacin 0.3% (3 mg/mL) eye drops, ofloxacin 0.3% (3 mg/mL) eye drops, ofloxacin 0.3% (3 mg/mL) eye drops, vitamin B complex (B1,B6,B12) 100,100,0.15 mg Film coated tablets [oral], vitamin B complex (B1,B6,B12) 100,100,0.15 mg Film coated tablets [oral], vitamin B complex (B1,B6,B12) 100,100,0.15 mg Film coated tablets [oral], vitamin B complex (B1,B6,B12) 100,100,0.15 mg Film coated tablets [oral], olopatadine 0.2% (2 mg/mL) eye drops, olopatadine 0.2% (2 mg/mL) eye drops, olopatadine 0.2% (2 mg/mL) eye drops, olopatadine 0.2% (2 mg/mL) eye drops, ofloxacin 0.3% (3 mg/mL) eye drops, ofloxacin 0.3% (3 mg/mL) eye drops, ofloxacin 0.3% (3 mg/mL) eye drops, ofloxacin 0.3% (3 mg/mL) eye drops, olopatadine 0.2% (2 mg/mL) eye drops, olopatadine 0.2% (2 mg/mL) eye drops, olopatadine 0.2% (2 mg/mL) eye drops, olopatadine 0.2% (2 mg/mL) eye drops</t>
  </si>
  <si>
    <t>آسيه عبدالله جمال الدين سيت</t>
  </si>
  <si>
    <t>paracetamol 500 mg tablet, paracetamol 500 mg tablet, paracetamol 500 mg tablet, paracetamol 500 mg tablet, paracetamol 500 mg tablet, paracetamol 500 mg tablet</t>
  </si>
  <si>
    <t>خالد حسن سراج عرب</t>
  </si>
  <si>
    <t>vitamin B complex (B, B, Strips (Accu-Check)</t>
  </si>
  <si>
    <t>vitamin B complex (B1,B6,B12) 100,200,0.2 mg Film coated tablets [oral], Strips (Accu-Check) 1 box Strip [n/a], vitamin B complex (B1,B6,B12) 100,200,0.2 mg Film coated tablets [oral], vitamin B complex (B1,B6,B12) 100,200,0.2 mg Film coated tablets [oral], Strips (Accu-Check) 1 box Strip [n/a], vitamin B complex (B1,B6,B12) 100,200,0.2 mg Film coated tablets [oral], vitamin B complex (B1,B6,B12) 100,200,0.2 mg Film coated tablets [oral], Strips (Accu-Check) 1 box Strip [n/a], vitamin B complex (B1,B6,B12) 100,200,0.2 mg Film coated tablets [oral], vitamin B complex (B1,B6,B12) 100,200,0.2 mg Film coated tablets [oral], Strips (Accu-Check) 1 box Strip [n/a], vitamin B complex (B1,B6,B12) 100,200,0.2 mg Film coated tablets [oral], Strips (Accu-Check) 1 box Strip [n/a], Strips (Accu-Check) 1 box Strip [n/a], Strips (Accu-Check) 1 box Strip [n/a], Strips (Accu-Check) 1 box Strip [n/a], vitamin B complex (B1,B6,B12) 100,200,0.2 mg Film coated tablets [oral], vitamin B complex (B1,B6,B12) 100,200,0.2 mg Film coated tablets [oral], vitamin B complex (B1,B6,B12) 100,200,0.2 mg Film coated tablets [oral], vitamin B complex (B1,B6,B12) 100,200,0.2 mg Film coated tablets [oral], Strips (Accu-Check) 1 box Strip [n/a], vitamin B complex (B1,B6,B12) 100,200,0.2 mg Film coated tablets [oral], Strips (Accu-Check) 1 box Strip [n/a], vitamin B complex (B1,B6,B12) 100,200,0.2 mg Film coated tablets [oral], Strips (Accu-Check) 1 box Strip [n/a], vitamin B complex (B1,B6,B12) 100,200,0.2 mg Film coated tablets [oral], Strips (Accu-Check) 1 box Strip [n/a], vitamin B complex (B1,B6,B12) 100,200,0.2 mg Film coated tablets [oral], Strips (Accu-Check) 1 box Strip [n/a], Strips (Accu-Check) 1 box Strip [n/a], Strips (Accu-Check) 1 box Strip [n/a], Strips (Accu-Check) 1 box Strip [n/a], vitamin B complex (B1,B6,B12) 100,200,0.2 mg Film coated tablets [oral], vitamin B complex (B1,B6,B12) 100,200,0.2 mg Film coated tablets [oral], vitamin B complex (B1,B6,B12) 100,200,0.2 mg Film coated tablets [oral], vitamin B complex (B1,B6,B12) 100,200,0.2 mg Film coated tablets [oral], Strips (Accu-Check) 1 box Strip [n/a], Strips (Accu-Check) 1 box Strip [n/a], Strips (Accu-Check) 1 box Strip [n/a], Strips (Accu-Check) 1 box Strip [n/a]</t>
  </si>
  <si>
    <t>فوزيه عمر محمد سمكري</t>
  </si>
  <si>
    <t>bisoprolol fumarate, acetylsalicylic acid, allopurinol, amLODIPine, atorvastatin, vitamin B complex (B, B, metFORMIN hydrochloride, valsartan, salbutamol</t>
  </si>
  <si>
    <t>bisoprolol fumarate 5 mg tablet, bisoprolol fumarate 5 mg tablet, bisoprolol fumarate 5 mg tablet, bisoprolol fumarate 5 mg tablet, acetylsalicylic acid 100 mg tablet: enteric coated, allopurinol 100 mg tablet, acetylsalicylic acid 100 mg tablet: enteric coated, allopurinol 100 mg tablet, acetylsalicylic acid 100 mg tablet: enteric coated, allopurinol 100 mg tablet, acetylsalicylic acid 100 mg tablet: enteric coated, allopurinol 100 mg tablet, amLODIPine 5 mg tablet, amLODIPine 5 mg tablet, amLODIPine 5 mg tablet, amLODIPine 5 mg tablet, atorvastatin 10 mg tablet, vitamin B complex (B1,B6,B12) 100,100,0.15 mg Film coated tablets [oral], metFORMIN hydrochloride 500 mg tablet, atorvastatin 10 mg tablet, vitamin B complex (B1,B6,B12) 100,100,0.15 mg Film coated tablets [oral], metFORMIN hydrochloride 500 mg tablet, atorvastatin 10 mg tablet, vitamin B complex (B1,B6,B12) 100,100,0.15 mg Film coated tablets [oral], metFORMIN hydrochloride 500 mg tablet, atorvastatin 10 mg tablet, vitamin B complex (B1,B6,B12) 100,100,0.15 mg Film coated tablets [oral], metFORMIN hydrochloride 500 mg tablet, valsartan 80 mg tablet, valsartan 80 mg tablet, valsartan 80 mg tablet, valsartan 80 mg tablet, salbutamol 100 microgram/actuation inhaler, salbutamol 100 microgram/actuation inhaler, salbutamol 100 microgram/actuation inhaler, salbutamol 100 microgram/actuation inhaler, amLODIPine 5 mg tablet, amLODIPine 5 mg tablet, amLODIPine 5 mg tablet, amLODIPine 5 mg tablet, salbutamol 100 microgram/actuation inhaler, salbutamol 100 microgram/actuation inhaler, salbutamol 100 microgram/actuation inhaler, salbutamol 100 microgram/actuation inhaler, bisoprolol fumarate 5 mg tablet, valsartan 80 mg tablet, allopurinol 100 mg tablet, bisoprolol fumarate 5 mg tablet, valsartan 80 mg tablet, allopurinol 100 mg tablet, bisoprolol fumarate 5 mg tablet, valsartan 80 mg tablet, allopurinol 100 mg tablet, bisoprolol fumarate 5 mg tablet, valsartan 80 mg tablet, allopurinol 100 mg tablet, atorvastatin 10 mg tablet, valsartan 80 mg tablet, atorvastatin 10 mg tablet, valsartan 80 mg tablet, atorvastatin 10 mg tablet, valsartan 80 mg tablet, atorvastatin 10 mg tablet, valsartan 80 mg tablet, acetylsalicylic acid 100 mg tablet: enteric coated, bisoprolol fumarate 5 mg tablet, salbutamol 100 microgram/actuation inhaler, acetylsalicylic acid 100 mg tablet: enteric coated, bisoprolol fumarate 5 mg tablet, salbutamol 100 microgram/actuation inhaler, acetylsalicylic acid 100 mg tablet: enteric coated, bisoprolol fumarate 5 mg tablet, salbutamol 100 microgram/actuation inhaler, acetylsalicylic acid 100 mg tablet: enteric coated, bisoprolol fumarate 5 mg tablet, salbutamol 100 microgram/actuation inhaler, vitamin B complex (B1,B6,B12) 100,100,0.15 mg Film coated tablets [oral], amLODIPine 5 mg tablet, metFORMIN hydrochloride 500 mg tablet, vitamin B complex (B1,B6,B12) 100,100,0.15 mg Film coated tablets [oral], amLODIPine 5 mg tablet, metFORMIN hydrochloride 500 mg tablet, vitamin B complex (B1,B6,B12) 100,100,0.15 mg Film coated tablets [oral], amLODIPine 5 mg tablet, metFORMIN hydrochloride 500 mg tablet, vitamin B complex (B1,B6,B12) 100,100,0.15 mg Film coated tablets [oral], amLODIPine 5 mg tablet, metFORMIN hydrochloride 500 mg tablet, allopurinol 100 mg tablet, allopurinol 100 mg tablet, allopurinol 100 mg tablet, allopurinol 100 mg tablet, salbutamol 100 microgram/actuation inhaler, allopurinol 100 mg tablet, bisoprolol fumarate 5 mg tablet, atorvastatin 10 mg tablet, salbutamol 100 microgram/actuation inhaler, allopurinol 100 mg tablet, bisoprolol fumarate 5 mg tablet, atorvastatin 10 mg tablet, salbutamol 100 microgram/actuation inhaler, allopurinol 100 mg tablet, bisoprolol fumarate 5 mg tablet, atorvastatin 10 mg tablet, salbutamol 100 microgram/actuation inhaler, allopurinol 100 mg tablet, bisoprolol fumarate 5 mg tablet, atorvastatin 10 mg tablet, vitamin B complex (B1,B6,B12) 100,100,0.15 mg Film coated tablets [oral], acetylsalicylic acid 100 mg tablet: enteric coated, metFORMIN hydrochloride 500 mg tablet, amLODIPine 5 mg tablet, valsartan 80 mg tablet, vitamin B complex (B1,B6,B12) 100,100,0.15 mg Film coated tablets [oral], acetylsalicylic acid 100 mg tablet: enteric coated, metFORMIN hydrochloride 500 mg tablet, amLODIPine 5 mg tablet, valsartan 80 mg tablet, vitamin B complex (B1,B6,B12) 100,100,0.15 mg Film coated tablets [oral], acetylsalicylic acid 100 mg tablet: enteric coated, metFORMIN hydrochloride 500 mg tablet, amLODIPine 5 mg tablet, valsartan 80 mg tablet, vitamin B complex (B1,B6,B12) 100,100,0.15 mg Film coated tablets [oral], acetylsalicylic acid 100 mg tablet: enteric coated, metFORMIN hydrochloride 500 mg tablet, amLODIPine 5 mg tablet, valsartan 80 mg tablet, valsartan 80 mg tablet, valsartan 80 mg tablet, valsartan 80 mg tablet, valsartan 80 mg tablet, allopurinol 100 mg tablet, bisoprolol fumarate 5 mg tablet, amLODIPine 5 mg tablet, salbutamol 100 microgram/actuation inhaler, allopurinol 100 mg tablet, bisoprolol fumarate 5 mg tablet, amLODIPine 5 mg tablet, salbutamol 100 microgram/actuation inhaler, allopurinol 100 mg tablet, bisoprolol fumarate 5 mg tablet, amLODIPine 5 mg tablet, salbutamol 100 microgram/actuation inhaler, allopurinol 100 mg tablet, bisoprolol fumarate 5 mg tablet, amLODIPine 5 mg tablet, salbutamol 100 microgram/actuation inhaler, metFORMIN hydrochloride 500 mg tablet, atorvastatin 10 mg tablet, acetylsalicylic acid 100 mg tablet: enteric coated, vitamin B complex (B1,B6,B12) 100,100,0.15 mg Film coated tablets [oral], metFORMIN hydrochloride 500 mg tablet, atorvastatin 10 mg tablet, acetylsalicylic acid 100 mg tablet: enteric coated, vitamin B complex (B1,B6,B12) 100,100,0.15 mg Film coated tablets [oral], metFORMIN hydrochloride 500 mg tablet, atorvastatin 10 mg tablet, acetylsalicylic acid 100 mg tablet: enteric coated, vitamin B complex (B1,B6,B12) 100,100,0.15 mg Film coated tablets [oral], metFORMIN hydrochloride 500 mg tablet, atorvastatin 10 mg tablet, acetylsalicylic acid 100 mg tablet: enteric coated, vitamin B complex (B1,B6,B12) 100,100,0.15 mg Film coated tablets [oral]</t>
  </si>
  <si>
    <t>عويضه عواض مرود</t>
  </si>
  <si>
    <t>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t>
  </si>
  <si>
    <t>نجاة حسين عبدالله زامل</t>
  </si>
  <si>
    <t>colecalciferol, valsartan, ferrous sulfate</t>
  </si>
  <si>
    <t>colecalciferol 50 000 international units tablet, valsartan 80 mg tablet, colecalciferol 50 000 international units tablet, valsartan 80 mg tablet, colecalciferol 50 000 international units tablet, valsartan 80 mg tablet, colecalciferol 50 000 international units tablet, valsartan 80 mg tablet,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colecalciferol 50 000 international units tablet, colecalciferol 50 000 international units tablet, colecalciferol 50 000 international units tablet, colecalciferol 50 000 international units tablet, valsartan 80 mg tablet, valsartan 80 mg tablet, valsartan 80 mg tablet, valsartan 80 mg tablet, colecalciferol 50 000 international units tablet, colecalciferol 50 000 international units tablet, colecalciferol 50 000 international units tablet, colecalciferol 50 000 international units tablet, valsartan 80 mg tablet, valsartan 80 mg tablet, valsartan 80 mg tablet, valsartan 80 mg tablet,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t>
  </si>
  <si>
    <t>Hypertension, Vitamins/Supplements</t>
  </si>
  <si>
    <t>عبدالمجيد عمر عصمت الله بخاري</t>
  </si>
  <si>
    <t>Strips (Accu-Check)</t>
  </si>
  <si>
    <t>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t>
  </si>
  <si>
    <t>فاطمه علي معتق السريحي</t>
  </si>
  <si>
    <t>domperidone</t>
  </si>
  <si>
    <t>domperidone 10 mg tablet, domperidone 10 mg tablet, domperidone 10 mg tablet, domperidone 10 mg tablet, domperidone 10 mg tablet, domperidone 10 mg tablet, domperidone 10 mg tablet, domperidone 10 mg tablet, domperidone 10 mg tablet, domperidone 10 mg tablet, domperidone 10 mg tablet, domperidone 10 mg tablet</t>
  </si>
  <si>
    <t>سميحه راشد وازع الزهراني</t>
  </si>
  <si>
    <t>perindopril arginine, vitamin B complex (B, B</t>
  </si>
  <si>
    <t>perindopril arginine 5 mg tablet, perindopril arginine 5 mg tablet, perindopril arginine 5 mg tablet, vitamin B complex (B1,B6,B12) 100,200,0.2 mg Film coated tablets [oral], vitamin B complex (B1,B6,B12) 100,200,0.2 mg Film coated tablets [oral], vitamin B complex (B1,B6,B12) 100,200,0.2 mg Film coated tablets [oral], perindopril arginine 5 mg tablet, perindopril arginine 5 mg tablet, perindopril arginine 5 mg tablet, vitamin B complex (B1,B6,B12) 100,200,0.2 mg Film coated tablets [oral], vitamin B complex (B1,B6,B12) 100,200,0.2 mg Film coated tablets [oral], vitamin B complex (B1,B6,B12) 100,200,0.2 mg Film coated tablets [oral], perindopril arginine 5 mg tablet, perindopril arginine 5 mg tablet, perindopril arginine 5 mg tablet, vitamin B complex (B1,B6,B12) 100,200,0.2 mg Film coated tablets [oral], vitamin B complex (B1,B6,B12) 100,200,0.2 mg Film coated tablets [oral], vitamin B complex (B1,B6,B12) 100,200,0.2 mg Film coated tablets [oral], perindopril arginine 5 mg tablet, perindopril arginine 5 mg tablet, perindopril arginine 5 mg tablet, vitamin B complex (B1,B6,B12) 100,200,0.2 mg Film coated tablets [oral], vitamin B complex (B1,B6,B12) 100,200,0.2 mg Film coated tablets [oral], vitamin B complex (B1,B6,B12) 100,200,0.2 mg Film coated tablets [oral]</t>
  </si>
  <si>
    <t>عبدالله عطيةالله محمد صالح الجحدلي</t>
  </si>
  <si>
    <t>gliclazide, atorvastatin, SITagliptin, vitamin B complex (B, B, Insulin Pen Needle, insulin glargine (lantus), Lancets (Accu-Check), empagliflozin, Strips (Accu-Check)</t>
  </si>
  <si>
    <t>gliclazide 60 mg tablet: modified release, atorvastatin 20 mg tablet, SITagliptin 100 mg tablet, vitamin B complex (B1,B6,B12) 100,200,0.2 mg Film coated tablets [oral], Insulin Pen Needle 4mm Needle [sc], gliclazide 60 mg tablet: modified release, atorvastatin 20 mg tablet, SITagliptin 100 mg tablet, vitamin B complex (B1,B6,B12) 100,200,0.2 mg Film coated tablets [oral], Insulin Pen Needle 4mm Needle [sc], gliclazide 60 mg tablet: modified release, atorvastatin 20 mg tablet, SITagliptin 100 mg tablet, vitamin B complex (B1,B6,B12) 100,200,0.2 mg Film coated tablets [oral], Insulin Pen Needle 4mm Needle [sc], insulin glargine (lantus) 100 international units/mL injection, 3 mL prefilled pen, insulin glargine (lantus) 100 international units/mL injection, 3 mL prefilled pen, insulin glargine (lantus) 100 international units/mL injection, 3 mL prefilled pen, Lancets (Accu-Check) 1 box Lancets [n/a], empagliflozin 25 mg tablet, Lancets (Accu-Check) 1 box Lancets [n/a], empagliflozin 25 mg tablet, Lancets (Accu-Check) 1 box Lancets [n/a], empagliflozin 25 mg tablet, Strips (Accu-Check) 1 box Strip [n/a], tamsulosin hydrochloride 400 microgram tablet: modified release, metFORMIN hydrochloride 750 mg tablet: modified release, Strips (Accu-Check) 1 box Strip [n/a], tamsulosin hydrochloride 400 microgram tablet: modified release, metFORMIN hydrochloride 750 mg tablet: modified release, Strips (Accu-Check) 1 box Strip [n/a], tamsulosin hydrochloride 400 microgram tablet: modified release, metFORMIN hydrochloride 750 mg tablet: modified release, tamsulosin hydrochloride 400 microgram tablet: modified release, atorvastatin 20 mg tablet, tamsulosin hydrochloride 400 microgram tablet: modified release, atorvastatin 20 mg tablet, tamsulosin hydrochloride 400 microgram tablet: modified release, atorvastatin 20 mg tablet, SITagliptin 100 mg tablet, insulin glargine (lantus) 100 international units/mL injection, 3 mL prefilled pen, empagliflozin 25 mg tablet, Insulin Pen Needle 4mm Needle [sc], vitamin B complex (B1,B6,B12) 100,200,0.2 mg Film coated tablets [oral], metFORMIN hydrochloride 750 mg tablet: modified release, Lancets (Accu-Check) 1 box Lancets [n/a], gliclazide 60 mg tablet: modified release, SITagliptin 100 mg tablet, insulin glargine (lantus) 100 international units/mL injection, 3 mL prefilled pen, empagliflozin 25 mg tablet, Insulin Pen Needle 4mm Needle [sc], vitamin B complex (B1,B6,B12) 100,200,0.2 mg Film coated tablets [oral], metFORMIN hydrochloride 750 mg tablet: modified release, Lancets (Accu-Check) 1 box Lancets [n/a], gliclazide 60 mg tablet: modified release, SITagliptin 100 mg tablet, insulin glargine (lantus) 100 international units/mL injection, 3 mL prefilled pen, empagliflozin 25 mg tablet, Insulin Pen Needle 4mm Needle [sc], vitamin B complex (B1,B6,B12) 100,200,0.2 mg Film coated tablets [oral], metFORMIN hydrochloride 750 mg tablet: modified release, Lancets (Accu-Check) 1 box Lancets [n/a], gliclazide 60 mg tablet: modified release, empagliflozin 25 mg tablet, gliclazide 60 mg tablet: modified release, metFORMIN hydrochloride 750 mg tablet: modified release, empagliflozin 25 mg tablet, gliclazide 60 mg tablet: modified release, metFORMIN hydrochloride 750 mg tablet: modified release, empagliflozin 25 mg tablet, gliclazide 60 mg tablet: modified release, metFORMIN hydrochloride 750 mg tablet: modified release, SITagliptin 100 mg tablet, Strips (Accu-Check) 1 box Strip [n/a], SITagliptin 100 mg tablet, Strips (Accu-Check) 1 box Strip [n/a], SITagliptin 100 mg tablet, Strips (Accu-Check) 1 box Strip [n/a], tamsulosin hydrochloride 400 microgram tablet: modified release, insulin glargine (lantus) 100 international units/mL injection, 3 mL prefilled pen, atorvastatin 20 mg tablet, vitamin B complex (B1,B6,B12) 100,200,0.2 mg Film coated tablets [oral], tamsulosin hydrochloride 400 microgram tablet: modified release, insulin glargine (lantus) 100 international units/mL injection, 3 mL prefilled pen, atorvastatin 20 mg tablet, vitamin B complex (B1,B6,B12) 100,200,0.2 mg Film coated tablets [oral], tamsulosin hydrochloride 400 microgram tablet: modified release, insulin glargine (lantus) 100 international units/mL injection, 3 mL prefilled pen, atorvastatin 20 mg tablet, vitamin B complex (B1,B6,B12) 100,200,0.2 mg Film coated tablets [oral], Insulin Pen Needle 4mm Needle [sc], Insulin Pen Needle 4mm Needle [sc], Insulin Pen Needle 4mm Needle [sc], Lancets (Accu-Check) 1 box Lancets [n/a], Lancets (Accu-Check) 1 box Lancets [n/a], Lancets (Accu-Check) 1 box Lancets [n/a], Strips (Accu-Check) 1 box Strip [n/a], Strips (Accu-Check) 1 box Strip [n/a], Strips (Accu-Check) 1 box Strip [n/a], Lancets (Accu-Check) 1 box Lancets [n/a], atorvastatin 20 mg tablet, empagliflozin 25 mg tablet, Lancets (Accu-Check) 1 box Lancets [n/a], atorvastatin 20 mg tablet, empagliflozin 25 mg tablet, Lancets (Accu-Check) 1 box Lancets [n/a], atorvastatin 20 mg tablet, empagliflozin 25 mg tablet, Strips (Accu-Check) 1 box Strip [n/a], metFORMIN hydrochloride 750 mg tablet: modified release, Strips (Accu-Check) 1 box Strip [n/a], metFORMIN hydrochloride 750 mg tablet: modified release, Strips (Accu-Check) 1 box Strip [n/a], metFORMIN hydrochloride 750 mg tablet: modified release, insulin glargine (lantus) 100 international units/mL injection, 3 mL prefilled pen, Insulin Pen Needle 4mm Needle [sc], SITagliptin 100 mg tablet, insulin glargine (lantus) 100 international units/mL injection, 3 mL prefilled pen, Insulin Pen Needle 4mm Needle [sc], SITagliptin 100 mg tablet, insulin glargine (lantus) 100 international units/mL injection, 3 mL prefilled pen, Insulin Pen Needle 4mm Needle [sc], SITagliptin 100 mg tablet, tamsulosin hydrochloride 400 microgram tablet: modified release, tamsulosin hydrochloride 400 microgram tablet: modified release, tamsulosin hydrochloride 400 microgram tablet: modified release, vitamin B complex (B1,B6,B12) 100,200,0.2 mg Film coated tablets [oral], gliclazide 60 mg tablet: modified release, vitamin B complex (B1,B6,B12) 100,200,0.2 mg Film coated tablets [oral], gliclazide 60 mg tablet: modified release, vitamin B complex (B1,B6,B12) 100,200,0.2 mg Film coated tablets [oral], gliclazide 60 mg tablet: modified release, SITagliptin 100 mg tablet, Insulin Pen Needle 4mm Needle [sc], atorvastatin 20 mg tablet, insulin glargine (lantus) 100 international units/mL injection, 3 mL prefilled pen, SITagliptin 100 mg tablet, Insulin Pen Needle 4mm Needle [sc], atorvastatin 20 mg tablet, insulin glargine (lantus) 100 international units/mL injection, 3 mL prefilled pen, SITagliptin 100 mg tablet, Insulin Pen Needle 4mm Needle [sc], atorvastatin 20 mg tablet, insulin glargine (lantus) 100 international units/mL injection, 3 mL prefilled pen, gliclazide 60 mg tablet: modified release, vitamin B complex (B1,B6,B12) 100,200,0.2 mg Film coated tablets [oral], gliclazide 60 mg tablet: modified release, vitamin B complex (B1,B6,B12) 100,200,0.2 mg Film coated tablets [oral], gliclazide 60 mg tablet: modified release, vitamin B complex (B1,B6,B12) 100,200,0.2 mg Film coated tablets [oral], Lancets (Accu-Check) 1 box Lancets [n/a], metFORMIN hydrochloride 750 mg tablet: modified release, Lancets (Accu-Check) 1 box Lancets [n/a], metFORMIN hydrochloride 750 mg tablet: modified release, Lancets (Accu-Check) 1 box Lancets [n/a], metFORMIN hydrochloride 750 mg tablet: modified release, Strips (Accu-Check) 1 box Strip [n/a], tamsulosin hydrochloride 400 microgram tablet: modified release, Strips (Accu-Check) 1 box Strip [n/a], tamsulosin hydrochloride 400 microgram tablet: modified release, Strips (Accu-Check) 1 box Strip [n/a], tamsulosin hydrochloride 400 microgram tablet: modified release, empagliflozin 25 mg tablet, empagliflozin 25 mg tablet, empagliflozin 25 mg tablet, SITagliptin 100 mg tablet, Insulin Pen Needle 4mm Needle [sc], atorvastatin 20 mg tablet, insulin glargine (lantus) 100 international units/mL injection, 3 mL prefilled pen, gliclazide 60 mg tablet: modified release, vitamin B complex (B1,B6,B12) 100,200,0.2 mg Film coated tablets [oral], SITagliptin 100 mg tablet, Insulin Pen Needle 4mm Needle [sc], atorvastatin 20 mg tablet, insulin glargine (lantus) 100 international units/mL injection, 3 mL prefilled pen, gliclazide 60 mg tablet: modified release, vitamin B complex (B1,B6,B12) 100,200,0.2 mg Film coated tablets [oral], SITagliptin 100 mg tablet, Insulin Pen Needle 4mm Needle [sc], atorvastatin 20 mg tablet, insulin glargine (lantus) 100 international units/mL injection, 3 mL prefilled pen, gliclazide 60 mg tablet: modified release, vitamin B complex (B1,B6,B12) 100,200,0.2 mg Film coated tablets [oral], Lancets (Accu-Check) 1 box Lancets [n/a], metFORMIN hydrochloride 750 mg tablet: modified release, Lancets (Accu-Check) 1 box Lancets [n/a], metFORMIN hydrochloride 750 mg tablet: modified release, Lancets (Accu-Check) 1 box Lancets [n/a], metFORMIN hydrochloride 750 mg tablet: modified release, Strips (Accu-Check) 1 box Strip [n/a], tamsulosin hydrochloride 400 microgram tablet: modified release, empagliflozin 25 mg tablet, Strips (Accu-Check) 1 box Strip [n/a], tamsulosin hydrochloride 400 microgram tablet: modified release, empagliflozin 25 mg tablet, Strips (Accu-Check) 1 box Strip [n/a], tamsulosin hydrochloride 400 microgram tablet: modified release, empagliflozin 25 mg tablet</t>
  </si>
  <si>
    <t>كلثوم ابراهيم دوام الجاوي</t>
  </si>
  <si>
    <t>potassium chloride</t>
  </si>
  <si>
    <t>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t>
  </si>
  <si>
    <t>فاتن علي حسين عبدالله</t>
  </si>
  <si>
    <t>empagliflozin</t>
  </si>
  <si>
    <t>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t>
  </si>
  <si>
    <t>علي صالح محمد الغامدي</t>
  </si>
  <si>
    <t>betamethasone (as valerate), omeprazole, insulin glargine (lantus), bisoprolol fumarate</t>
  </si>
  <si>
    <t>betamethasone (as valerate) 0.1% (1 mg/g) + fusidic acid 2% (20 mg/g) cream, betamethasone (as valerate) 0.1% (1 mg/g) + fusidic acid 2% (20 mg/g) cream, betamethasone (as valerate) 0.1% (1 mg/g) + fusidic acid 2% (20 mg/g) cream, betamethasone (as valerate) 0.1% (1 mg/g) + fusidic acid 2% (20 mg/g) cream, betamethasone (as valerate) 0.1% (1 mg/g) + fusidic acid 2% (20 mg/g) cream, omeprazole 20 mg tablet: enteric coated, insulin glargine (lantus) 100 international units/mL injection, 3 mL prefilled pen, omeprazole 20 mg tablet: enteric coated, insulin glargine (lantus) 100 international units/mL injection, 3 mL prefilled pen, omeprazole 20 mg tablet: enteric coated, insulin glargine (lantus) 100 international units/mL injection, 3 mL prefilled pen, omeprazole 20 mg tablet: enteric coated, insulin glargine (lantus) 100 international units/mL injection, 3 mL prefilled pen, omeprazole 20 mg tablet: enteric coated, insulin glargine (lantus) 100 international units/mL injection, 3 mL prefilled pen, bisoprolol fumarate 5 mg tablet, bisoprolol fumarate 5 mg tablet, bisoprolol fumarate 5 mg tablet, bisoprolol fumarate 5 mg tablet, bisoprolol fumarate 5 mg tablet, bisoprolol fumarate 5 mg tablet, omeprazole 20 mg tablet: enteric coated, insulin glargine (lantus) 100 international units/mL injection, 3 mL prefilled pen, bisoprolol fumarate 5 mg tablet, omeprazole 20 mg tablet: enteric coated, insulin glargine (lantus) 100 international units/mL injection, 3 mL prefilled pen, bisoprolol fumarate 5 mg tablet, omeprazole 20 mg tablet: enteric coated, insulin glargine (lantus) 100 international units/mL injection, 3 mL prefilled pen, bisoprolol fumarate 5 mg tablet, omeprazole 20 mg tablet: enteric coated, insulin glargine (lantus) 100 international units/mL injection, 3 mL prefilled pen, bisoprolol fumarate 5 mg tablet, omeprazole 20 mg tablet: enteric coated, insulin glargine (lantus) 100 international units/mL injection, 3 mL prefilled pen, betamethasone (as valerate) 0.1% (1 mg/g) + fusidic acid 2% (20 mg/g) cream, betamethasone (as valerate) 0.1% (1 mg/g) + fusidic acid 2% (20 mg/g) cream, betamethasone (as valerate) 0.1% (1 mg/g) + fusidic acid 2% (20 mg/g) cream, betamethasone (as valerate) 0.1% (1 mg/g) + fusidic acid 2% (20 mg/g) cream, betamethasone (as valerate) 0.1% (1 mg/g) + fusidic acid 2% (20 mg/g) cream, omeprazole 20 mg tablet: enteric coated, omeprazole 20 mg tablet: enteric coated, omeprazole 20 mg tablet: enteric coated, omeprazole 20 mg tablet: enteric coated, omeprazole 20 mg tablet: enteric coated,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bisoprolol fumarate 5 mg tablet, bisoprolol fumarate 5 mg tablet, bisoprolol fumarate 5 mg tablet, bisoprolol fumarate 5 mg tablet, bisoprolol fumarate 5 mg tablet, betamethasone (as valerate) 0.1% (1 mg/g) + fusidic acid 2% (20 mg/g) cream, betamethasone (as valerate) 0.1% (1 mg/g) + fusidic acid 2% (20 mg/g) cream, betamethasone (as valerate) 0.1% (1 mg/g) + fusidic acid 2% (20 mg/g) cream, betamethasone (as valerate) 0.1% (1 mg/g) + fusidic acid 2% (20 mg/g) cream, betamethasone (as valerate) 0.1% (1 mg/g) + fusidic acid 2% (20 mg/g) cream</t>
  </si>
  <si>
    <t>Diabetes, GI/PPI, Hypertension</t>
  </si>
  <si>
    <t>عبير فرج داخل الحربي</t>
  </si>
  <si>
    <t>atorvastatin, cetirizine hydrochloride, paracetamol, sodium chloride</t>
  </si>
  <si>
    <t>atorvastatin 10 mg tablet, atorvastatin 10 mg tablet, atorvastatin 10 mg tablet, atorvastatin 10 mg tablet, atorvastatin 10 mg tablet, cetirizine hydrochloride 10 mg tablet, cetirizine hydrochloride 10 mg tablet, cetirizine hydrochloride 10 mg tablet, cetirizine hydrochloride 10 mg tablet, cetirizine hydrochloride 10 mg tablet, paracetamol 500 mg tablet, 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 cetirizine hydrochloride 10 mg tablet, atorvastatin 10 mg tablet, cetirizine hydrochloride 10 mg tablet, atorvastatin 10 mg tablet, cetirizine hydrochloride 10 mg tablet, atorvastatin 10 mg tablet, cetirizine hydrochloride 10 mg tablet, atorvastatin 10 mg tablet, cetirizine hydrochloride 10 mg tablet, atorvastatin 10 mg tablet, paracetamol 500 mg tablet, atorvastatin 10 mg tablet, paracetamol 500 mg tablet, atorvastatin 10 mg tablet, paracetamol 500 mg tablet, atorvastatin 10 mg tablet, paracetamol 500 mg tablet, atorvastatin 10 mg tablet, paracetamol 500 mg tablet, atorvastatin 10 mg tablet, paracetamol 500 mg tablet, paracetamol 500 mg tablet, paracetamol 500 mg tablet, paracetamol 500 mg tablet, paracetamol 500 mg tablet, cetirizine hydrochloride 10 mg tablet, cetirizine hydrochloride 10 mg tablet, cetirizine hydrochloride 10 mg tablet, cetirizine hydrochloride 10 mg tablet, cetirizine hydrochloride 10 mg tablet, atorvastatin 10 mg tablet, sodium chloride 0.9% (9 mg/mL) nasal spray, atorvastatin 10 mg tablet, sodium chloride 0.9% (9 mg/mL) nasal spray, atorvastatin 10 mg tablet, sodium chloride 0.9% (9 mg/mL) nasal spray, atorvastatin 10 mg tablet, sodium chloride 0.9% (9 mg/mL) nasal spray, atorvastatin 10 mg tablet, sodium chloride 0.9% (9 mg/mL) nasal spray, atorvastatin 10 mg tablet, atorvastatin 10 mg tablet, atorvastatin 10 mg tablet, atorvastatin 10 mg tablet, atorvastatin 10 mg tablet, cetirizine hydrochloride 10 mg tablet, cetirizine hydrochloride 10 mg tablet, cetirizine hydrochloride 10 mg tablet, cetirizine hydrochloride 10 mg tablet, cetirizine hydrochloride 10 mg tablet, paracetamol 500 mg tablet, paracetamol 500 mg tablet, paracetamol 500 mg tablet, paracetamol 500 mg tablet, paracetamol 500 mg tablet, sodium chloride 0.9% (9 mg/mL) nasal spray, sodium chloride 0.9% (9 mg/mL) nasal spray, sodium chloride 0.9% (9 mg/mL) nasal spray, sodium chloride 0.9% (9 mg/mL) nasal spray, sodium chloride 0.9% (9 mg/mL) nasal spray</t>
  </si>
  <si>
    <t>محمدعلي عبدالله سليمان جلال</t>
  </si>
  <si>
    <t>Lancets (Accu-Check), Glucometer Device (Accu-Chek), Strips (Accu-Check)</t>
  </si>
  <si>
    <t>Lancets (Accu-Check) 1 box Lancets [n/a], Glucometer Device (Accu-Chek) 1 device Device [n/a], Lancets (Accu-Check) 1 box Lancets [n/a], Glucometer Device (Accu-Chek) 1 device Device [n/a], Lancets (Accu-Check) 1 box Lancets [n/a], Glucometer Device (Accu-Chek) 1 device Device [n/a], Strips (Accu-Check) 1 box Strip [n/a], Strips (Accu-Check) 1 box Strip [n/a], Strips (Accu-Check) 1 box Strip [n/a], Glucometer Device (Accu-Chek) 1 device Device [n/a], Glucometer Device (Accu-Chek) 1 device Device [n/a], Glucometer Device (Accu-Chek) 1 device Device [n/a], Lancets (Accu-Check) 1 box Lancets [n/a], Strips (Accu-Check) 1 box Strip [n/a], Lancets (Accu-Check) 1 box Lancets [n/a], Strips (Accu-Check) 1 box Strip [n/a], Lancets (Accu-Check) 1 box Lancets [n/a], Strips (Accu-Check) 1 box Strip [n/a]</t>
  </si>
  <si>
    <t>تهاني جميل حسين الياس</t>
  </si>
  <si>
    <t>perindopril arginine</t>
  </si>
  <si>
    <t>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t>
  </si>
  <si>
    <t>ساره مكرم علي وحيد صديقي</t>
  </si>
  <si>
    <t>metFORMIN hydrochloride, calcium carbonate, vitamins (A, B, C, D, omeprazole</t>
  </si>
  <si>
    <t>metFORMIN hydrochloride 500 mg tablet, metFORMIN hydrochloride 500 mg tablet, metFORMIN hydrochloride 500 mg tablet, metFORMIN hydrochloride 500 mg tablet, calcium carbonate 600 mg - colecalciferol 200 international units Film coated tablets [oral], vitamins (A, B1, B2, B3, C, D3) tablet, calcium carbonate 600 mg - colecalciferol 200 international units Film coated tablets [oral], vitamins (A, B1, B2, B3, C, D3) tablet, calcium carbonate 600 mg - colecalciferol 200 international units Film coated tablets [oral], vitamins (A, B1, B2, B3, C, D3) tablet, calcium carbonate 600 mg - colecalciferol 200 international units Film coated tablets [oral], vitamins (A, B1, B2, B3, C, D3) tablet, omeprazole 20 mg tablet: enteric coated, omeprazole 20 mg tablet: enteric coated, omeprazole 20 mg tablet: enteric coated, omeprazole 20 mg tablet: enteric coated, calcium carbonate 600 mg - colecalciferol 200 international units Film coated tablets [oral], omeprazole 20 mg tablet: enteric coated, calcium carbonate 600 mg - colecalciferol 200 international units Film coated tablets [oral], omeprazole 20 mg tablet: enteric coated, calcium carbonate 600 mg - colecalciferol 200 international units Film coated tablets [oral], omeprazole 20 mg tablet: enteric coated, calcium carbonate 600 mg - colecalciferol 200 international units Film coated tablets [oral], omeprazole 20 mg tablet: enteric coated, metFORMIN hydrochloride 500 mg tablet, vitamins (A, B1, B2, B3, C, D3) tablet, metFORMIN hydrochloride 500 mg tablet, vitamins (A, B1, B2, B3, C, D3) tablet, metFORMIN hydrochloride 500 mg tablet, vitamins (A, B1, B2, B3, C, D3) tablet, metFORMIN hydrochloride 500 mg tablet, vitamins (A, B1, B2, B3, C, D3) tablet</t>
  </si>
  <si>
    <t>Diabetes, GI/PPI, Vitamins/Supplements</t>
  </si>
  <si>
    <t>محمد عبدالمطلب مسلم الجدعاني</t>
  </si>
  <si>
    <t>SITagliptin, gliclazide</t>
  </si>
  <si>
    <t>SITagliptin 100 mg tablet, gliclazide 60 mg tablet: modified release, SITagliptin 100 mg tablet, gliclazide 60 mg tablet: modified release, SITagliptin 100 mg tablet, gliclazide 60 mg tablet: modified release, SITagliptin 100 mg tablet, gliclazide 60 mg tablet: modified release, SITagliptin 100 mg tablet, gliclazide 60 mg tablet: modified release, SITagliptin 100 mg tablet, gliclazide 60 mg tablet: modified release, SITagliptin 100 mg tablet, gliclazide 60 mg tablet: modified release, SITagliptin 100 mg tablet, gliclazide 60 mg tablet: modified release, SITagliptin 100 mg tablet, SITagliptin 100 mg tablet, SITagliptin 100 mg tablet, SITagliptin 100 mg tablet, SITagliptin 100 mg tablet, SITagliptin 100 mg tablet, SITagliptin 100 mg tablet, SITagliptin 100 mg tablet,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t>
  </si>
  <si>
    <t>خالد محمد عوض الحربي</t>
  </si>
  <si>
    <t>fenofibrate</t>
  </si>
  <si>
    <t>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t>
  </si>
  <si>
    <t>DM meds needed; HTN meds needed; DLP meds match</t>
  </si>
  <si>
    <t>محمد منور مقبول السعيدى</t>
  </si>
  <si>
    <t>amLODIPine, metFORMIN hydrochloride, diclofenac sodium, atorvastatin, colecalciferol, celecoxib, escitalopram, acetylsalicylic acid, vitamin B complex (B, B</t>
  </si>
  <si>
    <t>amLODIPine 5 mg tablet, metFORMIN hydrochloride 500 mg tablet, diclofenac sodium 1% (10 mg/g) gel, atorvastatin 20 mg tablet, amLODIPine 5 mg tablet, metFORMIN hydrochloride 500 mg tablet, diclofenac sodium 1% (10 mg/g) gel, atorvastatin 20 mg tablet, colecalciferol 50 000 international units tablet, celecoxib 200 mg capsule, escitalopram 10 mg tablet, acetylsalicylic acid 100 mg tablet: enteric coated, vitamin B complex (B1,B6,B12) 100,200,0.2 mg Film coated tablets [oral], colecalciferol 50 000 international units tablet, celecoxib 200 mg capsule, escitalopram 10 mg tablet, acetylsalicylic acid 100 mg tablet: enteric coated, vitamin B complex (B1,B6,B12) 100,200,0.2 mg Film coated tablets [oral], colecalciferol 50 000 international units tablet, metFORMIN hydrochloride 500 mg tablet, colecalciferol 50 000 international units tablet, metFORMIN hydrochloride 500 mg tablet, diclofenac sodium 1% (10 mg/g) gel, diclofenac sodium 1% (10 mg/g) gel, celecoxib 200 mg capsule, escitalopram 10 mg tablet, atorvastatin 20 mg tablet, acetylsalicylic acid 100 mg tablet: enteric coated, celecoxib 200 mg capsule, escitalopram 10 mg tablet, atorvastatin 20 mg tablet, acetylsalicylic acid 100 mg tablet: enteric coated, amLODIPine 5 mg tablet, vitamin B complex (B1,B6,B12) 100,200,0.2 mg Film coated tablets [oral], amLODIPine 5 mg tablet, vitamin B complex (B1,B6,B12) 100,200,0.2 mg Film coated tablets [oral], celecoxib 200 mg capsule, celecoxib 200 mg capsule, diclofenac sodium 1% (10 mg/g) gel, metFORMIN hydrochloride 500 mg tablet, colecalciferol 50 000 international units tablet, diclofenac sodium 1% (10 mg/g) gel, metFORMIN hydrochloride 500 mg tablet, colecalciferol 50 000 international units tablet, vitamin B complex (B1,B6,B12) 100,200,0.2 mg Film coated tablets [oral], escitalopram 10 mg tablet, vitamin B complex (B1,B6,B12) 100,200,0.2 mg Film coated tablets [oral], escitalopram 10 mg tablet</t>
  </si>
  <si>
    <t>خوله مبارك نهيد الصيعري</t>
  </si>
  <si>
    <t>فاطمه عرار علي الصبياني</t>
  </si>
  <si>
    <t>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t>
  </si>
  <si>
    <t>منال جمال الدين علي جمبي</t>
  </si>
  <si>
    <t>Strips (Accu-Check), insulin glargine (lantus), amLODIPine, colecalciferol, metFORMIN hydrochloride, vitamin B complex (B, B, Glucometer Device (Accu-Chek), Lancets (Accu-Check), enalapril maleate</t>
  </si>
  <si>
    <t>Strips (Accu-Check) 1 box Strip [n/a], insulin glargine (lantus) 100 international units/mL injection, 3 mL prefilled pen, Strips (Accu-Check) 1 box Strip [n/a], insulin glargine (lantus) 100 international units/mL injection, 3 mL prefilled pen, Strips (Accu-Check) 1 box Strip [n/a], insulin glargine (lantus) 100 international units/mL injection, 3 mL prefilled pen, amLODIPine 5 mg tablet, colecalciferol 50 000 international units tablet, metFORMIN hydrochloride 500 mg tablet, amLODIPine 5 mg tablet, colecalciferol 50 000 international units tablet, metFORMIN hydrochloride 500 mg tablet, amLODIPine 5 mg tablet, colecalciferol 50 000 international units tablet, metFORMIN hydrochloride 500 mg tablet, vitamin B complex (B1,B6,B12) 100,200,0.2 mg Film coated tablets [oral], Glucometer Device (Accu-Chek) 1 device Device [n/a], vitamin B complex (B1,B6,B12) 100,200,0.2 mg Film coated tablets [oral], Glucometer Device (Accu-Chek) 1 device Device [n/a], vitamin B complex (B1,B6,B12) 100,200,0.2 mg Film coated tablets [oral], Glucometer Device (Accu-Chek) 1 device Device [n/a], Lancets (Accu-Check) 1 box Lancets [n/a], Lancets (Accu-Check) 1 box Lancets [n/a], Lancets (Accu-Check) 1 box Lancets [n/a], Strips (Accu-Check) 1 box Strip [n/a], insulin glargine (lantus) 100 international units/mL injection, 3 mL prefilled pen, Strips (Accu-Check) 1 box Strip [n/a], insulin glargine (lantus) 100 international units/mL injection, 3 mL prefilled pen, Strips (Accu-Check) 1 box Strip [n/a], insulin glargine (lantus) 100 international units/mL injection, 3 mL prefilled pen, vitamin B complex (B1,B6,B12) 100,200,0.2 mg Film coated tablets [oral], vitamin B complex (B1,B6,B12) 100,200,0.2 mg Film coated tablets [oral], vitamin B complex (B1,B6,B12) 100,200,0.2 mg Film coated tablets [oral], colecalciferol 50 000 international units tablet, colecalciferol 50 000 international units tablet, colecalciferol 50 000 international units tablet, amLODIPine 5 mg tablet, enalapril maleate 10 mg tablet, amLODIPine 5 mg tablet, enalapril maleate 10 mg tablet, amLODIPine 5 mg tablet, enalapril maleate 10 mg tablet, Glucometer Device (Accu-Chek) 1 device Device [n/a], Lancets (Accu-Check) 1 box Lancets [n/a], Glucometer Device (Accu-Chek) 1 device Device [n/a], Lancets (Accu-Check) 1 box Lancets [n/a], Glucometer Device (Accu-Chek) 1 device Device [n/a], Lancets (Accu-Check) 1 box Lancets [n/a], metFORMIN hydrochloride 500 mg tablet, metFORMIN hydrochloride 500 mg tablet, metFORMIN hydrochloride 500 mg tablet, vitamin B complex (B1,B6,B12) 100,200,0.2 mg Film coated tablets [oral], vitamin B complex (B1,B6,B12) 100,200,0.2 mg Film coated tablets [oral], vitamin B complex (B1,B6,B12) 100,200,0.2 mg Film coated tablets [oral], Lancets (Accu-Check) 1 box Lancets [n/a], Lancets (Accu-Check) 1 box Lancets [n/a], Lancets (Accu-Check) 1 box Lancets [n/a], Strips (Accu-Check) 1 box Strip [n/a], Strips (Accu-Check) 1 box Strip [n/a], Strips (Accu-Check) 1 box Strip [n/a], enalapril maleate 10 mg tablet, amLODIPine 5 mg tablet, enalapril maleate 10 mg tablet, amLODIPine 5 mg tablet, enalapril maleate 10 mg tablet, amLODIPine 5 mg tablet, enalapril maleate 10 mg tablet, enalapril maleate 10 mg tablet, enalapril maleate 10 mg tablet, insulin glargine (lantus) 100 international units/mL injection, 3 mL prefilled pen, insulin glargine (lantus) 100 international units/mL injection, 3 mL prefilled pen, insulin glargine (lantus) 100 international units/mL injection, 3 mL prefilled pen, Glucometer Device (Accu-Chek) 1 device Device [n/a], metFORMIN hydrochloride 500 mg tablet, colecalciferol 50 000 international units tablet, Glucometer Device (Accu-Chek) 1 device Device [n/a], metFORMIN hydrochloride 500 mg tablet, colecalciferol 50 000 international units tablet, Glucometer Device (Accu-Chek) 1 device Device [n/a], metFORMIN hydrochloride 500 mg tablet, colecalciferol 50 000 international units tablet, vitamin B complex (B1,B6,B12) 100,200,0.2 mg Film coated tablets [oral], vitamin B complex (B1,B6,B12) 100,200,0.2 mg Film coated tablets [oral], vitamin B complex (B1,B6,B12) 100,200,0.2 mg Film coated tablets [oral], Strips (Accu-Check) 1 box Strip [n/a], Strips (Accu-Check) 1 box Strip [n/a], Strips (Accu-Check) 1 box Strip [n/a], Glucometer Device (Accu-Chek) 1 device Device [n/a], Glucometer Device (Accu-Chek) 1 device Device [n/a], Glucometer Device (Accu-Chek) 1 device Device [n/a], metFORMIN hydrochloride 500 mg tablet, enalapril maleate 10 mg tablet, colecalciferol 50 000 international units tablet, amLODIPine 5 mg tablet, metFORMIN hydrochloride 500 mg tablet, enalapril maleate 10 mg tablet, colecalciferol 50 000 international units tablet, amLODIPine 5 mg tablet, metFORMIN hydrochloride 500 mg tablet, enalapril maleate 10 mg tablet, colecalciferol 50 000 international units tablet, amLODIPine 5 mg tablet, Lancets (Accu-Check) 1 box Lancets [n/a], insulin glargine (lantus) 100 international units/mL injection, 3 mL prefilled pen, Lancets (Accu-Check) 1 box Lancets [n/a], insulin glargine (lantus) 100 international units/mL injection, 3 mL prefilled pen, Lancets (Accu-Check) 1 box Lancets [n/a], insulin glargine (lantus) 100 international units/mL injection, 3 mL prefilled pen</t>
  </si>
  <si>
    <t>ناديه حميد حامد الرفاعى</t>
  </si>
  <si>
    <t>Glucometer Device (Accu-Chek), Lancets (Accu-Check), Strips (Accu-Check)</t>
  </si>
  <si>
    <t>Glucometer Device (Accu-Chek) 1 device Device [n/a], Glucometer Device (Accu-Chek) 1 device Device [n/a], Glucometer Device (Accu-Chek) 1 device Device [n/a], Lancets (Accu-Check) 1 box Lancets [n/a], Lancets (Accu-Check) 1 box Lancets [n/a], Lancets (Accu-Check) 1 box Lancets [n/a], Strips (Accu-Check) 1 box Strip [n/a], Lancets (Accu-Check) 1 box Lancets [n/a], Strips (Accu-Check) 1 box Strip [n/a], Lancets (Accu-Check) 1 box Lancets [n/a], Strips (Accu-Check) 1 box Strip [n/a], Lancets (Accu-Check) 1 box Lancets [n/a], Glucometer Device (Accu-Chek) 1 device Device [n/a], Glucometer Device (Accu-Chek) 1 device Device [n/a], Glucometer Device (Accu-Chek) 1 device Device [n/a], Glucometer Device (Accu-Chek) 1 device Device [n/a], Lancets (Accu-Check) 1 box Lancets [n/a], Strips (Accu-Check) 1 box Strip [n/a], Glucometer Device (Accu-Chek) 1 device Device [n/a], Lancets (Accu-Check) 1 box Lancets [n/a], Strips (Accu-Check) 1 box Strip [n/a], Glucometer Device (Accu-Chek) 1 device Device [n/a], Lancets (Accu-Check) 1 box Lancets [n/a], Strips (Accu-Check) 1 box Strip [n/a], Strips (Accu-Check) 1 box Strip [n/a], Lancets (Accu-Check) 1 box Lancets [n/a], Strips (Accu-Check) 1 box Strip [n/a], Lancets (Accu-Check) 1 box Lancets [n/a], Strips (Accu-Check) 1 box Strip [n/a], Lancets (Accu-Check) 1 box Lancets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Strips (Accu-Check) 1 box Strip [n/a], Strips (Accu-Check) 1 box Strip [n/a], Strips (Accu-Check) 1 box Strip [n/a], Lancets (Accu-Check) 1 box Lancets [n/a], Lancets (Accu-Check) 1 box Lancets [n/a], Lancets (Accu-Check) 1 box Lancets [n/a], Glucometer Device (Accu-Chek) 1 device Device [n/a], Glucometer Device (Accu-Chek) 1 device Device [n/a], Glucometer Device (Accu-Chek) 1 device Device [n/a]</t>
  </si>
  <si>
    <t>سليمان مبروك مشني السعيد</t>
  </si>
  <si>
    <t>metFORMIN hydrochloride, amLODIPine</t>
  </si>
  <si>
    <t>metFORMIN hydrochloride 500 mg tablet, amLODIPine 5 mg tablet, metFORMIN hydrochloride 500 mg tablet, amLODIPine 5 mg tablet, metFORMIN hydrochloride 500 mg tablet, amLODIPine 5 mg tablet, metFORMIN hydrochloride 500 mg tablet, metFORMIN hydrochloride 500 mg tablet, metFORMIN hydrochloride 500 mg tablet, amLODIPine 5 mg tablet, amLODIPine 5 mg tablet, amLODIPine 5 mg tablet</t>
  </si>
  <si>
    <t>عبدالله محمد عبدالرحمن الشهري</t>
  </si>
  <si>
    <t>vitamin B complex (B, B, ibuprofen, acetylsalicylic acid, indapamide, insulin aspart, atorvastatin, betamethasone (as valerate), empagliflozin, metFORMIN hydrochloride</t>
  </si>
  <si>
    <t>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ibuprofen 400 mg tablet, ibuprofen 400 mg tablet, ibuprofen 400 mg tablet, ibuprofen 400 mg tablet, ibuprofen 400 mg tablet, ibuprofen 400 mg tablet, ibuprofen 400 mg tablet, ibuprofen 400 mg tablet, acetylsalicylic acid 100 mg tablet: enteric coated, indapamide 1.5 mg tablet: modified release, insulin aspart 30 international units/mL + insulin aspart protamine 70 international units/mL injection, 3 mL prefilled pen, atorvastatin 20 mg tablet, acetylsalicylic acid 100 mg tablet: enteric coated, indapamide 1.5 mg tablet: modified release, insulin aspart 30 international units/mL + insulin aspart protamine 70 international units/mL injection, 3 mL prefilled pen, atorvastatin 20 mg tablet, acetylsalicylic acid 100 mg tablet: enteric coated, indapamide 1.5 mg tablet: modified release, insulin aspart 30 international units/mL + insulin aspart protamine 70 international units/mL injection, 3 mL prefilled pen, atorvastatin 20 mg tablet, acetylsalicylic acid 100 mg tablet: enteric coated, indapamide 1.5 mg tablet: modified release, insulin aspart 30 international units/mL + insulin aspart protamine 70 international units/mL injection, 3 mL prefilled pen, atorvastatin 20 mg tablet, acetylsalicylic acid 100 mg tablet: enteric coated, indapamide 1.5 mg tablet: modified release, insulin aspart 30 international units/mL + insulin aspart protamine 70 international units/mL injection, 3 mL prefilled pen, atorvastatin 20 mg tablet, acetylsalicylic acid 100 mg tablet: enteric coated, indapamide 1.5 mg tablet: modified release, insulin aspart 30 international units/mL + insulin aspart protamine 70 international units/mL injection, 3 mL prefilled pen, atorvastatin 20 mg tablet, acetylsalicylic acid 100 mg tablet: enteric coated, indapamide 1.5 mg tablet: modified release, insulin aspart 30 international units/mL + insulin aspart protamine 70 international units/mL injection, 3 mL prefilled pen, atorvastatin 20 mg tablet, acetylsalicylic acid 100 mg tablet: enteric coated, indapamide 1.5 mg tablet: modified release, insulin aspart 30 international units/mL + insulin aspart protamine 70 international units/mL injection, 3 mL prefilled pen, atorvastatin 20 mg tablet, betamethasone (as valerate) 0.1% (1 mg/g) + fusidic acid 2% (20 mg/g) cream, empagliflozin 25 mg tablet, betamethasone (as valerate) 0.1% (1 mg/g) + fusidic acid 2% (20 mg/g) cream, empagliflozin 25 mg tablet, betamethasone (as valerate) 0.1% (1 mg/g) + fusidic acid 2% (20 mg/g) cream, empagliflozin 25 mg tablet, betamethasone (as valerate) 0.1% (1 mg/g) + fusidic acid 2% (20 mg/g) cream, empagliflozin 25 mg tablet, betamethasone (as valerate) 0.1% (1 mg/g) + fusidic acid 2% (20 mg/g) cream, empagliflozin 25 mg tablet, betamethasone (as valerate) 0.1% (1 mg/g) + fusidic acid 2% (20 mg/g) cream, empagliflozin 25 mg tablet, betamethasone (as valerate) 0.1% (1 mg/g) + fusidic acid 2% (20 mg/g) cream, empagliflozin 25 mg tablet, betamethasone (as valerate) 0.1% (1 mg/g) + fusidic acid 2% (20 mg/g) cream, empagliflozin 25 mg tablet, empagliflozin 25 mg tablet, metFORMIN hydrochloride 750 mg tablet: modified release, insulin aspart 30 international units/mL + insulin aspart protamine 70 international units/mL injection, 3 mL prefilled pen, vitamin B complex (B1,B6,B12) 100,200,0.2 mg Film coated tablets [oral], atorvastatin 20 mg tablet, empagliflozin 25 mg tablet, metFORMIN hydrochloride 750 mg tablet: modified release, insulin aspart 30 international units/mL + insulin aspart protamine 70 international units/mL injection, 3 mL prefilled pen, vitamin B complex (B1,B6,B12) 100,200,0.2 mg Film coated tablets [oral], atorvastatin 20 mg tablet, empagliflozin 25 mg tablet, metFORMIN hydrochloride 750 mg tablet: modified release, insulin aspart 30 international units/mL + insulin aspart protamine 70 international units/mL injection, 3 mL prefilled pen, vitamin B complex (B1,B6,B12) 100,200,0.2 mg Film coated tablets [oral], atorvastatin 20 mg tablet, empagliflozin 25 mg tablet, metFORMIN hydrochloride 750 mg tablet: modified release, insulin aspart 30 international units/mL + insulin aspart protamine 70 international units/mL injection, 3 mL prefilled pen, vitamin B complex (B1,B6,B12) 100,200,0.2 mg Film coated tablets [oral], atorvastatin 20 mg tablet, empagliflozin 25 mg tablet, metFORMIN hydrochloride 750 mg tablet: modified release, insulin aspart 30 international units/mL + insulin aspart protamine 70 international units/mL injection, 3 mL prefilled pen, vitamin B complex (B1,B6,B12) 100,200,0.2 mg Film coated tablets [oral], atorvastatin 20 mg tablet, empagliflozin 25 mg tablet, metFORMIN hydrochloride 750 mg tablet: modified release, insulin aspart 30 international units/mL + insulin aspart protamine 70 international units/mL injection, 3 mL prefilled pen, vitamin B complex (B1,B6,B12) 100,200,0.2 mg Film coated tablets [oral], atorvastatin 20 mg tablet, empagliflozin 25 mg tablet, metFORMIN hydrochloride 750 mg tablet: modified release, insulin aspart 30 international units/mL + insulin aspart protamine 70 international units/mL injection, 3 mL prefilled pen, vitamin B complex (B1,B6,B12) 100,200,0.2 mg Film coated tablets [oral], atorvastatin 20 mg tablet, empagliflozin 25 mg tablet, metFORMIN hydrochloride 750 mg tablet: modified release, insulin aspart 30 international units/mL + insulin aspart protamine 70 international units/mL injection, 3 mL prefilled pen, vitamin B complex (B1,B6,B12) 100,200,0.2 mg Film coated tablets [oral], atorvastatin 20 mg tablet, betamethasone (as valerate) 0.1% (1 mg/g) + fusidic acid 2% (20 mg/g) cream, acetylsalicylic acid 100 mg tablet: enteric coated, betamethasone (as valerate) 0.1% (1 mg/g) + fusidic acid 2% (20 mg/g) cream, acetylsalicylic acid 100 mg tablet: enteric coated, betamethasone (as valerate) 0.1% (1 mg/g) + fusidic acid 2% (20 mg/g) cream, acetylsalicylic acid 100 mg tablet: enteric coated, betamethasone (as valerate) 0.1% (1 mg/g) + fusidic acid 2% (20 mg/g) cream, acetylsalicylic acid 100 mg tablet: enteric coated, betamethasone (as valerate) 0.1% (1 mg/g) + fusidic acid 2% (20 mg/g) cream, acetylsalicylic acid 100 mg tablet: enteric coated, betamethasone (as valerate) 0.1% (1 mg/g) + fusidic acid 2% (20 mg/g) cream, acetylsalicylic acid 100 mg tablet: enteric coated, betamethasone (as valerate) 0.1% (1 mg/g) + fusidic acid 2% (20 mg/g) cream, acetylsalicylic acid 100 mg tablet: enteric coated, betamethasone (as valerate) 0.1% (1 mg/g) + fusidic acid 2% (20 mg/g) cream, acetylsalicylic acid 100 mg tablet: enteric coated, ibuprofen 400 mg tablet, Insulin Pen Needle 4mm Needle [sc], indapamide 1.5 mg tablet: modified release, ibuprofen 400 mg tablet, Insulin Pen Needle 4mm Needle [sc], indapamide 1.5 mg tablet: modified release, ibuprofen 400 mg tablet, Insulin Pen Needle 4mm Needle [sc], indapamide 1.5 mg tablet: modified release, ibuprofen 400 mg tablet, Insulin Pen Needle 4mm Needle [sc], indapamide 1.5 mg tablet: modified release, ibuprofen 400 mg tablet, Insulin Pen Needle 4mm Needle [sc], indapamide 1.5 mg tablet: modified release, ibuprofen 400 mg tablet, Insulin Pen Needle 4mm Needle [sc], indapamide 1.5 mg tablet: modified release, ibuprofen 400 mg tablet, Insulin Pen Needle 4mm Needle [sc], indapamide 1.5 mg tablet: modified release, ibuprofen 400 mg tablet, Insulin Pen Needle 4mm Needle [sc], indapamide 1.5 mg tablet: modified release,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metFORMIN hydrochloride 750 mg tablet: modified release, ibuprofen 400 mg tablet, Insulin Pen Needle 4mm Needle [sc], metFORMIN hydrochloride 750 mg tablet: modified release, ibuprofen 400 mg tablet, Insulin Pen Needle 4mm Needle [sc], metFORMIN hydrochloride 750 mg tablet: modified release, ibuprofen 400 mg tablet, Insulin Pen Needle 4mm Needle [sc], metFORMIN hydrochloride 750 mg tablet: modified release, ibuprofen 400 mg tablet, Insulin Pen Needle 4mm Needle [sc], metFORMIN hydrochloride 750 mg tablet: modified release, ibuprofen 400 mg tablet, Insulin Pen Needle 4mm Needle [sc], metFORMIN hydrochloride 750 mg tablet: modified release, ibuprofen 400 mg tablet, Insulin Pen Needle 4mm Needle [sc], metFORMIN hydrochloride 750 mg tablet: modified release, ibuprofen 400 mg tablet, Insulin Pen Needle 4mm Needle [sc], metFORMIN hydrochloride 750 mg tablet: modified release, ibuprofen 400 mg tablet, Insulin Pen Needle 4mm Needle [sc], acetylsalicylic acid 100 mg tablet: enteric coated, empagliflozin 25 mg tablet, betamethasone (as valerate) 0.1% (1 mg/g) + fusidic acid 2% (20 mg/g) cream, insulin aspart 30 international units/mL + insulin aspart protamine 70 international units/mL injection, 3 mL prefilled pen, atorvastatin 20 mg tablet, acetylsalicylic acid 100 mg tablet: enteric coated, empagliflozin 25 mg tablet, betamethasone (as valerate) 0.1% (1 mg/g) + fusidic acid 2% (20 mg/g) cream, insulin aspart 30 international units/mL + insulin aspart protamine 70 international units/mL injection, 3 mL prefilled pen, atorvastatin 20 mg tablet, acetylsalicylic acid 100 mg tablet: enteric coated, empagliflozin 25 mg tablet, betamethasone (as valerate) 0.1% (1 mg/g) + fusidic acid 2% (20 mg/g) cream, insulin aspart 30 international units/mL + insulin aspart protamine 70 international units/mL injection, 3 mL prefilled pen, atorvastatin 20 mg tablet, acetylsalicylic acid 100 mg tablet: enteric coated, empagliflozin 25 mg tablet, betamethasone (as valerate) 0.1% (1 mg/g) + fusidic acid 2% (20 mg/g) cream, insulin aspart 30 international units/mL + insulin aspart protamine 70 international units/mL injection, 3 mL prefilled pen, atorvastatin 20 mg tablet, acetylsalicylic acid 100 mg tablet: enteric coated, empagliflozin 25 mg tablet, betamethasone (as valerate) 0.1% (1 mg/g) + fusidic acid 2% (20 mg/g) cream, insulin aspart 30 international units/mL + insulin aspart protamine 70 international units/mL injection, 3 mL prefilled pen, atorvastatin 20 mg tablet, acetylsalicylic acid 100 mg tablet: enteric coated, empagliflozin 25 mg tablet, betamethasone (as valerate) 0.1% (1 mg/g) + fusidic acid 2% (20 mg/g) cream, insulin aspart 30 international units/mL + insulin aspart protamine 70 international units/mL injection, 3 mL prefilled pen, atorvastatin 20 mg tablet, acetylsalicylic acid 100 mg tablet: enteric coated, empagliflozin 25 mg tablet, betamethasone (as valerate) 0.1% (1 mg/g) + fusidic acid 2% (20 mg/g) cream, insulin aspart 30 international units/mL + insulin aspart protamine 70 international units/mL injection, 3 mL prefilled pen, atorvastatin 20 mg tablet, acetylsalicylic acid 100 mg tablet: enteric coated, empagliflozin 25 mg tablet, betamethasone (as valerate) 0.1% (1 mg/g) + fusidic acid 2% (20 mg/g) cream, insulin aspart 30 international units/mL + insulin aspart protamine 70 international units/mL injection, 3 mL prefilled pen, atorvastatin 20 mg tablet, indapamide 1.5 mg tablet: modified release, indapamide 1.5 mg tablet: modified release, indapamide 1.5 mg tablet: modified release, indapamide 1.5 mg tablet: modified release, indapamide 1.5 mg tablet: modified release, indapamide 1.5 mg tablet: modified release, indapamide 1.5 mg tablet: modified release, indapamide 1.5 mg tablet: modified release, atorvastatin 20 mg tablet, atorvastatin 20 mg tablet, atorvastatin 20 mg tablet, atorvastatin 20 mg tablet, atorvastatin 20 mg tablet, atorvastatin 20 mg tablet, atorvastatin 20 mg tablet, atorvastatin 20 mg tablet, vitamin B complex (B1,B6,B12) 100,200,0.2 mg Film coated tablets [oral], insulin aspart 30 international units/mL + insulin aspart protamine 70 international units/mL injection, 3 mL prefilled pen, ibuprofen 400 mg tablet, betamethasone (as valerate) 0.1% (1 mg/g) + fusidic acid 2% (20 mg/g) cream, vitamin B complex (B1,B6,B12) 100,200,0.2 mg Film coated tablets [oral], insulin aspart 30 international units/mL + insulin aspart protamine 70 international units/mL injection, 3 mL prefilled pen, ibuprofen 400 mg tablet, betamethasone (as valerate) 0.1% (1 mg/g) + fusidic acid 2% (20 mg/g) cream, vitamin B complex (B1,B6,B12) 100,200,0.2 mg Film coated tablets [oral], insulin aspart 30 international units/mL + insulin aspart protamine 70 international units/mL injection, 3 mL prefilled pen, ibuprofen 400 mg tablet, betamethasone (as valerate) 0.1% (1 mg/g) + fusidic acid 2% (20 mg/g) cream, vitamin B complex (B1,B6,B12) 100,200,0.2 mg Film coated tablets [oral], insulin aspart 30 international units/mL + insulin aspart protamine 70 international units/mL injection, 3 mL prefilled pen, ibuprofen 400 mg tablet, betamethasone (as valerate) 0.1% (1 mg/g) + fusidic acid 2% (20 mg/g) cream, vitamin B complex (B1,B6,B12) 100,200,0.2 mg Film coated tablets [oral], insulin aspart 30 international units/mL + insulin aspart protamine 70 international units/mL injection, 3 mL prefilled pen, ibuprofen 400 mg tablet, betamethasone (as valerate) 0.1% (1 mg/g) + fusidic acid 2% (20 mg/g) cream, vitamin B complex (B1,B6,B12) 100,200,0.2 mg Film coated tablets [oral], insulin aspart 30 international units/mL + insulin aspart protamine 70 international units/mL injection, 3 mL prefilled pen, ibuprofen 400 mg tablet, betamethasone (as valerate) 0.1% (1 mg/g) + fusidic acid 2% (20 mg/g) cream, vitamin B complex (B1,B6,B12) 100,200,0.2 mg Film coated tablets [oral], insulin aspart 30 international units/mL + insulin aspart protamine 70 international units/mL injection, 3 mL prefilled pen, ibuprofen 400 mg tablet, betamethasone (as valerate) 0.1% (1 mg/g) + fusidic acid 2% (20 mg/g) cream, vitamin B complex (B1,B6,B12) 100,200,0.2 mg Film coated tablets [oral], insulin aspart 30 international units/mL + insulin aspart protamine 70 international units/mL injection, 3 mL prefilled pen, ibuprofen 400 mg tablet, betamethasone (as valerate) 0.1% (1 mg/g) + fusidic acid 2% (20 mg/g) cream, metFORMIN hydrochloride 750 mg tablet: modified release, empagliflozin 25 mg tablet, acetylsalicylic acid 100 mg tablet: enteric coated, metFORMIN hydrochloride 750 mg tablet: modified release, empagliflozin 25 mg tablet, acetylsalicylic acid 100 mg tablet: enteric coated, metFORMIN hydrochloride 750 mg tablet: modified release, empagliflozin 25 mg tablet, acetylsalicylic acid 100 mg tablet: enteric coated, metFORMIN hydrochloride 750 mg tablet: modified release, empagliflozin 25 mg tablet, acetylsalicylic acid 100 mg tablet: enteric coated, metFORMIN hydrochloride 750 mg tablet: modified release, empagliflozin 25 mg tablet, acetylsalicylic acid 100 mg tablet: enteric coated, metFORMIN hydrochloride 750 mg tablet: modified release, empagliflozin 25 mg tablet, acetylsalicylic acid 100 mg tablet: enteric coated, metFORMIN hydrochloride 750 mg tablet: modified release, empagliflozin 25 mg tablet, acetylsalicylic acid 100 mg tablet: enteric coated, metFORMIN hydrochloride 750 mg tablet: modified release, empagliflozin 25 mg tablet, acetylsalicylic acid 100 mg tablet: enteric coated, Insulin Pen Needle 4mm Needle [sc], Insulin Pen Needle 4mm Needle [sc], Insulin Pen Needle 4mm Needle [sc], Insulin Pen Needle 4mm Needle [sc], Insulin Pen Needle 4mm Needle [sc], Insulin Pen Needle 4mm Needle [sc], Insulin Pen Needle 4mm Needle [sc], Insulin Pen Needle 4mm Needle [sc], indapamide 1.5 mg tablet: modified release, indapamide 1.5 mg tablet: modified release, indapamide 1.5 mg tablet: modified release, indapamide 1.5 mg tablet: modified release, indapamide 1.5 mg tablet: modified release, indapamide 1.5 mg tablet: modified release, indapamide 1.5 mg tablet: modified release, indapamide 1.5 mg tablet: modified release, vitamin B complex (B1,B6,B12) 100,200,0.2 mg Film coated tablets [oral], ibuprofen 400 mg tablet, vitamin B complex (B1,B6,B12) 100,200,0.2 mg Film coated tablets [oral], ibuprofen 400 mg tablet, vitamin B complex (B1,B6,B12) 100,200,0.2 mg Film coated tablets [oral], ibuprofen 400 mg tablet, vitamin B complex (B1,B6,B12) 100,200,0.2 mg Film coated tablets [oral], ibuprofen 400 mg tablet, vitamin B complex (B1,B6,B12) 100,200,0.2 mg Film coated tablets [oral], ibuprofen 400 mg tablet, vitamin B complex (B1,B6,B12) 100,200,0.2 mg Film coated tablets [oral], ibuprofen 400 mg tablet, vitamin B complex (B1,B6,B12) 100,200,0.2 mg Film coated tablets [oral], ibuprofen 400 mg tablet, vitamin B complex (B1,B6,B12) 100,200,0.2 mg Film coated tablets [oral], ibuprofen 400 mg tablet, acetylsalicylic acid 100 mg tablet: enteric coated, indapamide 1.5 mg tablet: modified release, atorvastatin 20 mg tablet, acetylsalicylic acid 100 mg tablet: enteric coated, indapamide 1.5 mg tablet: modified release, atorvastatin 20 mg tablet, acetylsalicylic acid 100 mg tablet: enteric coated, indapamide 1.5 mg tablet: modified release, atorvastatin 20 mg tablet, acetylsalicylic acid 100 mg tablet: enteric coated, indapamide 1.5 mg tablet: modified release, atorvastatin 20 mg tablet, acetylsalicylic acid 100 mg tablet: enteric coated, indapamide 1.5 mg tablet: modified release, atorvastatin 20 mg tablet, acetylsalicylic acid 100 mg tablet: enteric coated, indapamide 1.5 mg tablet: modified release, atorvastatin 20 mg tablet, acetylsalicylic acid 100 mg tablet: enteric coated, indapamide 1.5 mg tablet: modified release, atorvastatin 20 mg tablet, acetylsalicylic acid 100 mg tablet: enteric coated, indapamide 1.5 mg tablet: modified release, atorvastatin 20 mg tablet, empagliflozin 25 mg tablet, empagliflozin 25 mg tablet, empagliflozin 25 mg tablet, empagliflozin 25 mg tablet, empagliflozin 25 mg tablet, empagliflozin 25 mg tablet, empagliflozin 25 mg tablet, empagliflozin 25 mg tablet</t>
  </si>
  <si>
    <t>حكمات عايش محمود دشاش</t>
  </si>
  <si>
    <t>colecalciferol, mometasone furoate, cetirizine hydrochloride</t>
  </si>
  <si>
    <t>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mometasone furoate 0.05% nasal spray, mometasone furoate 0.05% nasal spray, mometasone furoate 0.05% nasal spray, mometasone furoate 0.05% nasal spray, mometasone furoate 0.05% nasal spray, mometasone furoate 0.05% nasal spray, mometasone furoate 0.05% nasal spray, cetirizine hydrochloride 10 mg tablet, cetirizine hydrochloride 10 mg tablet, cetirizine hydrochloride 10 mg tablet, cetirizine hydrochloride 10 mg tablet, cetirizine hydrochloride 10 mg tablet, cetirizine hydrochloride 10 mg tablet, cetirizine hydrochloride 10 mg tablet, mometasone furoate 0.05% nasal spray, mometasone furoate 0.05% nasal spray, mometasone furoate 0.05% nasal spray, mometasone furoate 0.05% nasal spray, mometasone furoate 0.05% nasal spray, mometasone furoate 0.05% nasal spray, mometasone furoate 0.05% nasal spray, cetirizine hydrochloride 10 mg tablet, colecalciferol 5000 international units Capsules [oral], cetirizine hydrochloride 10 mg tablet, colecalciferol 5000 international units Capsules [oral], cetirizine hydrochloride 10 mg tablet, colecalciferol 5000 international units Capsules [oral], cetirizine hydrochloride 10 mg tablet, colecalciferol 5000 international units Capsules [oral], cetirizine hydrochloride 10 mg tablet, colecalciferol 5000 international units Capsules [oral], cetirizine hydrochloride 10 mg tablet, colecalciferol 5000 international units Capsules [oral], cetirizine hydrochloride 10 mg tablet, colecalciferol 5000 international units Capsules [oral], mometasone furoate 0.05% nasal spray, cetirizine hydrochloride 10 mg tablet, mometasone furoate 0.05% nasal spray, cetirizine hydrochloride 10 mg tablet, mometasone furoate 0.05% nasal spray, cetirizine hydrochloride 10 mg tablet, mometasone furoate 0.05% nasal spray, cetirizine hydrochloride 10 mg tablet, mometasone furoate 0.05% nasal spray, cetirizine hydrochloride 10 mg tablet, mometasone furoate 0.05% nasal spray, cetirizine hydrochloride 10 mg tablet, mometasone furoate 0.05% nasal spray, cetirizine hydrochloride 10 mg tablet,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mometasone furoate 0.05% nasal spray, cetirizine hydrochloride 10 mg tablet, mometasone furoate 0.05% nasal spray, cetirizine hydrochloride 10 mg tablet, mometasone furoate 0.05% nasal spray, cetirizine hydrochloride 10 mg tablet, mometasone furoate 0.05% nasal spray, cetirizine hydrochloride 10 mg tablet, mometasone furoate 0.05% nasal spray, cetirizine hydrochloride 10 mg tablet, mometasone furoate 0.05% nasal spray, cetirizine hydrochloride 10 mg tablet, mometasone furoate 0.05% nasal spray, cetirizine hydrochloride 10 mg tablet,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mometasone furoate 0.05% nasal spray, mometasone furoate 0.05% nasal spray, mometasone furoate 0.05% nasal spray, mometasone furoate 0.05% nasal spray, mometasone furoate 0.05% nasal spray, mometasone furoate 0.05% nasal spray, mometasone furoate 0.05% nasal spray, cetirizine hydrochloride 10 mg tablet, cetirizine hydrochloride 10 mg tablet, cetirizine hydrochloride 10 mg tablet, cetirizine hydrochloride 10 mg tablet, cetirizine hydrochloride 10 mg tablet, cetirizine hydrochloride 10 mg tablet, cetirizine hydrochloride 10 mg tablet,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t>
  </si>
  <si>
    <t>ايمان عبدالقادر بن علي حفنى</t>
  </si>
  <si>
    <t>azithromycin, paracetamol, dextromethorphan hydrobromide</t>
  </si>
  <si>
    <t>azithromycin 250 mg capsule, paracetamol 500 mg tablet, azithromycin 250 mg capsule, paracetamol 500 mg tablet, azithromycin 250 mg capsule, paracetamol 500 mg tablet,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paracetamol 500 mg tablet, paracetamol 500 mg tablet, paracetamol 500 mg tablet, azithromycin 250 mg capsule, azithromycin 250 mg capsule, azithromycin 250 mg capsule, azithromycin 250 mg capsule, paracetamol 500 mg tablet, azithromycin 250 mg capsule, paracetamol 500 mg tablet, azithromycin 250 mg capsule, paracetamol 500 mg tablet, azithromycin 250 mg capsule, azithromycin 250 mg capsule, azithromycin 250 mg capsule, paracetamol 500 mg tablet, paracetamol 500 mg tablet, paracetamol 500 mg tablet, dextromethorphan hydrobromide 15 mg/5 mL oral liquid, dextromethorphan hydrobromide 15 mg/5 mL oral liquid, dextromethorphan hydrobromide 15 mg/5 mL oral liquid</t>
  </si>
  <si>
    <t>خديجه احمد سعد بدور</t>
  </si>
  <si>
    <t>metFORMIN hydrochloride, empagliflozin, SITagliptin, perindopril arginine, vitamin B complex (B, B, atorvastatin, miconazole nitrate</t>
  </si>
  <si>
    <t>metFORMIN hydrochloride 500 mg tablet, metFORMIN hydrochloride 500 mg tablet, metFORMIN hydrochloride 500 mg tablet, metFORMIN hydrochloride 500 mg tablet, empagliflozin 25 mg tablet, empagliflozin 25 mg tablet, empagliflozin 25 mg tablet, empagliflozin 25 mg tablet, SITagliptin 100 mg tablet, SITagliptin 100 mg tablet, SITagliptin 100 mg tablet, SITagliptin 100 mg tablet, perindopril arginine 5 mg tablet, vitamin B complex (B1,B6,B12) 100,200,0.2 mg Film coated tablets [oral], atorvastatin 20 mg tablet, perindopril arginine 5 mg tablet, vitamin B complex (B1,B6,B12) 100,200,0.2 mg Film coated tablets [oral], atorvastatin 20 mg tablet, perindopril arginine 5 mg tablet, vitamin B complex (B1,B6,B12) 100,200,0.2 mg Film coated tablets [oral], atorvastatin 20 mg tablet, perindopril arginine 5 mg tablet, vitamin B complex (B1,B6,B12) 100,200,0.2 mg Film coated tablets [oral], atorvastatin 20 mg tablet, miconazole nitrate 2% (20 mg/g) cream: vaginal, miconazole nitrate 2% (20 mg/g) cream: vaginal, miconazole nitrate 2% (20 mg/g) cream: vaginal, miconazole nitrate 2% (20 mg/g) cream: vaginal, metFORMIN hydrochloride 500 mg tablet, metFORMIN hydrochloride 500 mg tablet, metFORMIN hydrochloride 500 mg tablet, metFORMIN hydrochloride 500 mg tablet, empagliflozin 25 mg tablet, SITagliptin 100 mg tablet, empagliflozin 25 mg tablet, SITagliptin 100 mg tablet, empagliflozin 25 mg tablet, SITagliptin 100 mg tablet, empagliflozin 25 mg tablet, SITagliptin 100 mg tablet, perindopril arginine 5 mg tablet, atorvastatin 20 mg tablet, perindopril arginine 5 mg tablet, atorvastatin 20 mg tablet, perindopril arginine 5 mg tablet, atorvastatin 20 mg tablet, perindopril arginine 5 mg tablet, atorvastatin 20 mg tablet, vitamin B complex (B1,B6,B12) 100,200,0.2 mg Film coated tablets [oral], vitamin B complex (B1,B6,B12) 100,200,0.2 mg Film coated tablets [oral], vitamin B complex (B1,B6,B12) 100,200,0.2 mg Film coated tablets [oral], vitamin B complex (B1,B6,B12) 100,200,0.2 mg Film coated tablets [oral], miconazole nitrate 2% (20 mg/g) cream: vaginal, miconazole nitrate 2% (20 mg/g) cream: vaginal, miconazole nitrate 2% (20 mg/g) cream: vaginal, miconazole nitrate 2% (20 mg/g) cream: vaginal, empagliflozin 25 mg tablet, empagliflozin 25 mg tablet, empagliflozin 25 mg tablet, empagliflozin 25 mg tablet, SITagliptin 100 mg tablet, atorvastatin 20 mg tablet, SITagliptin 100 mg tablet, atorvastatin 20 mg tablet, SITagliptin 100 mg tablet, atorvastatin 20 mg tablet, SITagliptin 100 mg tablet, atorvastatin 20 mg tablet, vitamin B complex (B1,B6,B12) 100,200,0.2 mg Film coated tablets [oral], vitamin B complex (B1,B6,B12) 100,200,0.2 mg Film coated tablets [oral], vitamin B complex (B1,B6,B12) 100,200,0.2 mg Film coated tablets [oral], vitamin B complex (B1,B6,B12) 100,200,0.2 mg Film coated tablets [oral], miconazole nitrate 2% (20 mg/g) cream: vaginal, miconazole nitrate 2% (20 mg/g) cream: vaginal, miconazole nitrate 2% (20 mg/g) cream: vaginal, miconazole nitrate 2% (20 mg/g) cream: vaginal, metFORMIN hydrochloride 500 mg tablet, perindopril arginine 5 mg tablet, metFORMIN hydrochloride 500 mg tablet, perindopril arginine 5 mg tablet, metFORMIN hydrochloride 500 mg tablet, perindopril arginine 5 mg tablet, metFORMIN hydrochloride 500 mg tablet, perindopril arginine 5 mg tablet</t>
  </si>
  <si>
    <t>امال ثواب ثويب المطيري</t>
  </si>
  <si>
    <t>vitamin B complex (B, B, colecalciferol</t>
  </si>
  <si>
    <t>vitamin B complex (B1,B6,B12) 100,200,0.2 mg Film coated tablets [oral], colecalciferol 1 000 international units capsule, vitamin B complex (B1,B6,B12) 100,200,0.2 mg Film coated tablets [oral], colecalciferol 1 000 international units capsule, vitamin B complex (B1,B6,B12) 100,200,0.2 mg Film coated tablets [oral], colecalciferol 1 000 international units capsule, vitamin B complex (B1,B6,B12) 100,200,0.2 mg Film coated tablets [oral], vitamin B complex (B1,B6,B12) 100,200,0.2 mg Film coated tablets [oral], vitamin B complex (B1,B6,B12) 100,200,0.2 mg Film coated tablets [oral], colecalciferol 1 000 international units capsule, colecalciferol 1 000 international units capsule, colecalciferol 1 000 international units capsule</t>
  </si>
  <si>
    <t>سعود رزيق نصير الحربي</t>
  </si>
  <si>
    <t>rosuvastatin, acetylsalicylic acid, chlorhexidine gluconate</t>
  </si>
  <si>
    <t>rosuvastatin 10 mg tablet, rosuvastatin 10 mg tablet, rosuvastatin 10 mg tablet, acetylsalicylic acid 100 mg tablet: enteric coated, acetylsalicylic acid 100 mg tablet: enteric coated, acetylsalicylic acid 100 mg tablet: enteric coated, chlorhexidine gluconate 0.2% (2 mg/mL) mouthwash, chlorhexidine gluconate 0.2% (2 mg/mL) mouthwash, chlorhexidine gluconate 0.2% (2 mg/mL) mouthwash, chlorhexidine gluconate 0.2% (2 mg/mL) mouthwash, rosuvastatin 10 mg tablet, chlorhexidine gluconate 0.2% (2 mg/mL) mouthwash, rosuvastatin 10 mg tablet, chlorhexidine gluconate 0.2% (2 mg/mL) mouthwash, rosuvastatin 10 mg tablet,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t>
  </si>
  <si>
    <t>Antiplatelet, Dyslipidemia</t>
  </si>
  <si>
    <t>سلوى ابراهيم عبدالقادر سلاغور</t>
  </si>
  <si>
    <t>محمود سعد معتوق الجهني</t>
  </si>
  <si>
    <t>rosuvastatin, vitamin B complex (B, B, Glucometer Device (Accu-Chek), insulin glargine, omeprazole, acetylsalicylic acid, Strips (Accu-Check), Insulin Pen Needle, Lancets (Accu-Check)</t>
  </si>
  <si>
    <t>rosuvastatin 20 mg tablet, vitamin B complex (B1,B6,B12) 100,200,0.2 mg Film coated tablets [oral], rosuvastatin 20 mg tablet, vitamin B complex (B1,B6,B12) 100,200,0.2 mg Film coated tablets [oral], rosuvastatin 20 mg tablet, vitamin B complex (B1,B6,B12) 100,200,0.2 mg Film coated tablets [oral], rosuvastatin 20 mg tablet, vitamin B complex (B1,B6,B12) 100,200,0.2 mg Film coated tablets [oral], Glucometer Device (Accu-Chek) 1 device Device [n/a], Glucometer Device (Accu-Chek) 1 device Device [n/a], Glucometer Device (Accu-Chek) 1 device Device [n/a], Glucometer Device (Accu-Chek) 1 device Device [n/a], insulin glargine 300 international units/mL injection, 1.5 mL prefilled pen, omeprazole 20 mg tablet: enteric coated, insulin glargine 300 international units/mL injection, 1.5 mL prefilled pen, omeprazole 20 mg tablet: enteric coated, insulin glargine 300 international units/mL injection, 1.5 mL prefilled pen, omeprazole 20 mg tablet: enteric coated, insulin glargine 300 international units/mL injection, 1.5 mL prefilled pen, omeprazole 20 mg tablet: enteric coated, acetylsalicylic acid 100 mg tablet: enteric coated, Strips (Accu-Check) 1 box Strip [n/a], acetylsalicylic acid 100 mg tablet: enteric coated, Strips (Accu-Check) 1 box Strip [n/a], acetylsalicylic acid 100 mg tablet: enteric coated, Strips (Accu-Check) 1 box Strip [n/a], acetylsalicylic acid 100 mg tablet: enteric coated, Strips (Accu-Check) 1 box Strip [n/a], Insulin Pen Needle 4mm Needle [sc], Lancets (Accu-Check) 1 box Lancets [n/a], Insulin Pen Needle 4mm Needle [sc], Lancets (Accu-Check) 1 box Lancets [n/a], Insulin Pen Needle 4mm Needle [sc], Lancets (Accu-Check) 1 box Lancets [n/a], Insulin Pen Needle 4mm Needle [sc], Lancets (Accu-Check) 1 box Lancets [n/a],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vitamin B complex (B1,B6,B12) 100,200,0.2 mg Film coated tablets [oral], Strips (Accu-Check) 1 box Strip [n/a], insulin aspart 100 international units/mL injection, 3 mL prefilled pen, Insulin Pen Needle 4mm Needle [sc], Lancets (Accu-Check) 1 box Lancets [n/a], Glucometer Device (Accu-Chek) 1 device Device [n/a], insulin glargine 300 international units/mL injection, 1.5 mL prefilled pen, omeprazole 20 mg tablet: enteric coated, rosuvastatin 20 mg tablet, acetylsalicylic acid 100 mg tablet: enteric coated, vitamin B complex (B1,B6,B12) 100,200,0.2 mg Film coated tablets [oral], Strips (Accu-Check) 1 box Strip [n/a], insulin aspart 100 international units/mL injection, 3 mL prefilled pen, Insulin Pen Needle 4mm Needle [sc], Lancets (Accu-Check) 1 box Lancets [n/a], Glucometer Device (Accu-Chek) 1 device Device [n/a], insulin glargine 300 international units/mL injection, 1.5 mL prefilled pen, omeprazole 20 mg tablet: enteric coated, rosuvastatin 20 mg tablet, acetylsalicylic acid 100 mg tablet: enteric coated, vitamin B complex (B1,B6,B12) 100,200,0.2 mg Film coated tablets [oral], Strips (Accu-Check) 1 box Strip [n/a], insulin aspart 100 international units/mL injection, 3 mL prefilled pen, Insulin Pen Needle 4mm Needle [sc], Lancets (Accu-Check) 1 box Lancets [n/a], Glucometer Device (Accu-Chek) 1 device Device [n/a], insulin glargine 300 international units/mL injection, 1.5 mL prefilled pen, omeprazole 20 mg tablet: enteric coated, rosuvastatin 20 mg tablet, acetylsalicylic acid 100 mg tablet: enteric coated, vitamin B complex (B1,B6,B12) 100,200,0.2 mg Film coated tablets [oral], Strips (Accu-Check) 1 box Strip [n/a], insulin aspart 100 international units/mL injection, 3 mL prefilled pen, Insulin Pen Needle 4mm Needle [sc], Lancets (Accu-Check) 1 box Lancets [n/a], Glucometer Device (Accu-Chek) 1 device Device [n/a], insulin glargine 300 international units/mL injection, 1.5 mL prefilled pen, omeprazole 20 mg tablet: enteric coated, rosuvastatin 20 mg tablet, acetylsalicylic acid 100 mg tablet: enteric coated</t>
  </si>
  <si>
    <t>Antiplatelet, Diabetes, Dyslipidemia, GI/PPI, Vitamins/Supplements</t>
  </si>
  <si>
    <t>فيحاء فارع عبدان المطيري</t>
  </si>
  <si>
    <t>amLODIPine 5 mg tablet, amLODIPine 5 mg tablet, amLODIPine 5 mg tablet, amLODIPine 5 mg tablet, amLODIPine 5 mg tablet, amLODIPine 5 mg tablet, amLODIPine 5 mg tablet, amLODIPine 5 mg tablet, amLODIPine 5 mg tablet, amLODIPine 5 mg tablet</t>
  </si>
  <si>
    <t>عبدالرحمن علي عبده حكمي</t>
  </si>
  <si>
    <t>insulin glargine, omeprazole, metFORMIN hydrochloride, Insulin Pen Needle, SITagliptin, gliclazide</t>
  </si>
  <si>
    <t>insulin glargine 300 international units/mL injection, 1.5 mL prefilled pen, omeprazole 20 mg tablet: enteric coated, metFORMIN hydrochloride 500 mg tablet, Insulin Pen Needle 4mm Needle [sc], SITagliptin 100 mg tablet, insulin glargine 300 international units/mL injection, 1.5 mL prefilled pen, omeprazole 20 mg tablet: enteric coated, metFORMIN hydrochloride 500 mg tablet, Insulin Pen Needle 4mm Needle [sc], SITagliptin 100 mg tablet, insulin glargine 300 international units/mL injection, 1.5 mL prefilled pen, omeprazole 20 mg tablet: enteric coated, metFORMIN hydrochloride 500 mg tablet, Insulin Pen Needle 4mm Needle [sc], SITagliptin 100 mg tablet, gliclazide 60 mg tablet: modified release, gliclazide 60 mg tablet: modified release, gliclazide 60 mg tablet: modified release, metFORMIN hydrochloride 500 mg tablet, metFORMIN hydrochloride 500 mg tablet, metFORMIN hydrochloride 500 mg tablet, SITagliptin 100 mg tablet, omeprazole 20 mg tablet: enteric coated, insulin glargine 300 international units/mL injection, 1.5 mL prefilled pen, SITagliptin 100 mg tablet, omeprazole 20 mg tablet: enteric coated, insulin glargine 300 international units/mL injection, 1.5 mL prefilled pen, SITagliptin 100 mg tablet, omeprazole 20 mg tablet: enteric coated, insulin glargine 300 international units/mL injection, 1.5 mL prefilled pen, gliclazide 60 mg tablet: modified release, gliclazide 60 mg tablet: modified release, gliclazide 60 mg tablet: modified release, Insulin Pen Needle 4mm Needle [sc], Insulin Pen Needle 4mm Needle [sc], Insulin Pen Needle 4mm Needle [sc], gliclazide 60 mg tablet: modified release, Insulin Pen Needle 4mm Needle [sc], gliclazide 60 mg tablet: modified release, Insulin Pen Needle 4mm Needle [sc], gliclazide 60 mg tablet: modified release, Insulin Pen Needle 4mm Needle [sc], metFORMIN hydrochloride 500 mg tablet, Insulin Pen Needle 4mm Needle [sc], metFORMIN hydrochloride 500 mg tablet, Insulin Pen Needle 4mm Needle [sc], metFORMIN hydrochloride 500 mg tablet, Insulin Pen Needle 4mm Needle [sc], insulin glargine 300 international units/mL injection, 1.5 mL prefilled pen, gliclazide 60 mg tablet: modified release, omeprazole 20 mg tablet: enteric coated, insulin glargine 300 international units/mL injection, 1.5 mL prefilled pen, gliclazide 60 mg tablet: modified release, omeprazole 20 mg tablet: enteric coated, insulin glargine 300 international units/mL injection, 1.5 mL prefilled pen, gliclazide 60 mg tablet: modified release, omeprazole 20 mg tablet: enteric coated, SITagliptin 100 mg tablet, SITagliptin 100 mg tablet, SITagliptin 100 mg tablet, metFORMIN hydrochloride 500 mg tablet, gliclazide 60 mg tablet: modified release, metFORMIN hydrochloride 500 mg tablet, gliclazide 60 mg tablet: modified release, metFORMIN hydrochloride 500 mg tablet, gliclazide 60 mg tablet: modified release, SITagliptin 100 mg tablet, SITagliptin 100 mg tablet, SITagliptin 100 mg tablet,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Insulin Pen Needle 4mm Needle [sc], omeprazole 20 mg tablet: enteric coated, omeprazole 20 mg tablet: enteric coated, omeprazole 20 mg tablet: enteric coated, insulin glargine 300 international units/mL injection, 1.5 mL prefilled pen, insulin glargine 300 international units/mL injection, 1.5 mL prefilled pen, insulin glargine 300 international units/mL injection, 1.5 mL prefilled pen, metFORMIN hydrochloride 500 mg tablet, omeprazole 20 mg tablet: enteric coated, metFORMIN hydrochloride 500 mg tablet, omeprazole 20 mg tablet: enteric coated, metFORMIN hydrochloride 500 mg tablet, omeprazole 20 mg tablet: enteric coated, SITagliptin 100 mg tablet, gliclazide 60 mg tablet: modified release, SITagliptin 100 mg tablet, gliclazide 60 mg tablet: modified release, SITagliptin 100 mg tablet, gliclazide 60 mg tablet: modified release, Insulin Pen Needle 4mm Needle [sc], Insulin Pen Needle 4mm Needle [sc], Insulin Pen Needle 4mm Needle [sc]</t>
  </si>
  <si>
    <t>مريم حسن عبدالقادر شلبى</t>
  </si>
  <si>
    <t>Glucometer Device (Accu-Chek), vitamin B complex (B, B, Strips (Accu-Check), atorvastatin, levothyroxine sodium, celecoxib, metFORMIN hydrochloride, gliclazide, Lancets (Accu-Check)</t>
  </si>
  <si>
    <t>Glucometer Device (Accu-Chek) 1 device Device [n/a], vitamin B complex (B1,B6,B12) 100,200,0.2 mg Film coated tablets [oral], Strips (Accu-Check) 1 box Strip [n/a], Glucometer Device (Accu-Chek) 1 device Device [n/a], vitamin B complex (B1,B6,B12) 100,200,0.2 mg Film coated tablets [oral], Strips (Accu-Check) 1 box Strip [n/a], Glucometer Device (Accu-Chek) 1 device Device [n/a], vitamin B complex (B1,B6,B12) 100,200,0.2 mg Film coated tablets [oral], Strips (Accu-Check) 1 box Strip [n/a], atorvastatin 20 mg tablet, levothyroxine sodium 25 microgram tablet, celecoxib 200 mg capsule, metFORMIN hydrochloride 500 mg tablet, gliclazide 30 mg tablet: modified release, atorvastatin 20 mg tablet, levothyroxine sodium 25 microgram tablet, celecoxib 200 mg capsule, metFORMIN hydrochloride 500 mg tablet, gliclazide 30 mg tablet: modified release, atorvastatin 20 mg tablet, levothyroxine sodium 25 microgram tablet, celecoxib 200 mg capsule, metFORMIN hydrochloride 500 mg tablet, gliclazide 30 mg tablet: modified release, Lancets (Accu-Check) 1 box Lancets [n/a], bisacodyl 5 mg tablet: enteric-coated, diclofenac sodium 1% (10 mg/g) gel, levothyroxine sodium 100 microgram tablet, Lancets (Accu-Check) 1 box Lancets [n/a], bisacodyl 5 mg tablet: enteric-coated, diclofenac sodium 1% (10 mg/g) gel, levothyroxine sodium 100 microgram tablet, Lancets (Accu-Check) 1 box Lancets [n/a], bisacodyl 5 mg tablet: enteric-coated, diclofenac sodium 1% (10 mg/g) gel, levothyroxine sodium 100 microgram tablet, diclofenac sodium 1% (10 mg/g) gel, Strips (Accu-Check) 1 box Strip [n/a], diclofenac sodium 1% (10 mg/g) gel, Strips (Accu-Check) 1 box Strip [n/a], diclofenac sodium 1% (10 mg/g) gel, Strips (Accu-Check) 1 box Strip [n/a], Lancets (Accu-Check) 1 box Lancets [n/a], levothyroxine sodium 25 microgram tablet, Glucometer Device (Accu-Chek) 1 device Device [n/a], bisacodyl 5 mg tablet: enteric-coated, Lancets (Accu-Check) 1 box Lancets [n/a], levothyroxine sodium 25 microgram tablet, Glucometer Device (Accu-Chek) 1 device Device [n/a], bisacodyl 5 mg tablet: enteric-coated, Lancets (Accu-Check) 1 box Lancets [n/a], levothyroxine sodium 25 microgram tablet, Glucometer Device (Accu-Chek) 1 device Device [n/a], bisacodyl 5 mg tablet: enteric-coated, celecoxib 200 mg capsule, gliclazide 30 mg tablet: modified release, celecoxib 200 mg capsule, gliclazide 30 mg tablet: modified release, celecoxib 200 mg capsule, gliclazide 30 mg tablet: modified release, atorvastatin 20 mg tablet, levothyroxine sodium 100 microgram tablet, metFORMIN hydrochloride 500 mg tablet, vitamin B complex (B1,B6,B12) 100,200,0.2 mg Film coated tablets [oral], atorvastatin 20 mg tablet, levothyroxine sodium 100 microgram tablet, metFORMIN hydrochloride 500 mg tablet, vitamin B complex (B1,B6,B12) 100,200,0.2 mg Film coated tablets [oral], atorvastatin 20 mg tablet, levothyroxine sodium 100 microgram tablet, metFORMIN hydrochloride 500 mg tablet, vitamin B complex (B1,B6,B12) 100,200,0.2 mg Film coated tablets [oral]</t>
  </si>
  <si>
    <t>عبدالله عقاب دخيل الله الحارثي</t>
  </si>
  <si>
    <t>atorvastatin</t>
  </si>
  <si>
    <t>atorvastatin 20 mg tablet, atorvastatin 20 mg tablet, atorvastatin 20 mg tablet</t>
  </si>
  <si>
    <t>أمنه عبدالرحمن محمد نايته</t>
  </si>
  <si>
    <t>paracetamol, atorvastatin, mebeverine hydrochloride, diclofenac sodium, omeprazole, sennosides, aluminium hydroxide, baclofen, betahistine dihydrochloride</t>
  </si>
  <si>
    <t>paracetamol 500 mg tablet, paracetamol 500 mg tablet, paracetamol 500 mg tablet, paracetamol 500 mg tablet, atorvastatin 20 mg tablet, mebeverine hydrochloride 200 mg capsule: modified release, diclofenac sodium 1% (10 mg/g) gel, omeprazole 20 mg tablet: enteric coated, sennosides 12 mg tablet, aluminium hydroxide 225 mg/5 mL + magnesium hydroxide 200 mg/5 mL oral liquid, atorvastatin 20 mg tablet, mebeverine hydrochloride 200 mg capsule: modified release, diclofenac sodium 1% (10 mg/g) gel, omeprazole 20 mg tablet: enteric coated, sennosides 12 mg tablet, aluminium hydroxide 225 mg/5 mL + magnesium hydroxide 200 mg/5 mL oral liquid, atorvastatin 20 mg tablet, mebeverine hydrochloride 200 mg capsule: modified release, diclofenac sodium 1% (10 mg/g) gel, omeprazole 20 mg tablet: enteric coated, sennosides 12 mg tablet, aluminium hydroxide 225 mg/5 mL + magnesium hydroxide 200 mg/5 mL oral liquid, atorvastatin 20 mg tablet, mebeverine hydrochloride 200 mg capsule: modified release, diclofenac sodium 1% (10 mg/g) gel, omeprazole 20 mg tablet: enteric coated, sennosides 12 mg tablet, aluminium hydroxide 225 mg/5 mL + magnesium hydroxide 200 mg/5 mL oral liquid, baclofen 10 mg tablet, betahistine dihydrochloride 16 mg tablet, baclofen 10 mg tablet, betahistine dihydrochloride 16 mg tablet, baclofen 10 mg tablet, betahistine dihydrochloride 16 mg tablet, baclofen 10 mg tablet, betahistine dihydrochloride 16 mg tablet, sennosides 12 mg tablet, sennosides 12 mg tablet, sennosides 12 mg tablet, sennosides 12 mg tablet, betahistine dihydrochloride 16 mg tablet, betahistine dihydrochloride 16 mg tablet, betahistine dihydrochloride 16 mg tablet, betahistine dihydrochloride 16 mg tablet, atorvastatin 20 mg tablet, mebeverine hydrochloride 200 mg capsule: modified release, baclofen 10 mg tablet, aluminium hydroxide 225 mg/5 mL + magnesium hydroxide 200 mg/5 mL oral liquid, atorvastatin 20 mg tablet, mebeverine hydrochloride 200 mg capsule: modified release, baclofen 10 mg tablet, aluminium hydroxide 225 mg/5 mL + magnesium hydroxide 200 mg/5 mL oral liquid, atorvastatin 20 mg tablet, mebeverine hydrochloride 200 mg capsule: modified release, baclofen 10 mg tablet, aluminium hydroxide 225 mg/5 mL + magnesium hydroxide 200 mg/5 mL oral liquid, atorvastatin 20 mg tablet, mebeverine hydrochloride 200 mg capsule: modified release, baclofen 10 mg tablet, aluminium hydroxide 225 mg/5 mL + magnesium hydroxide 200 mg/5 mL oral liquid, omeprazole 20 mg tablet: enteric coated, diclofenac sodium 1% (10 mg/g) gel, paracetamol 500 mg tablet, omeprazole 20 mg tablet: enteric coated, diclofenac sodium 1% (10 mg/g) gel, paracetamol 500 mg tablet, omeprazole 20 mg tablet: enteric coated, diclofenac sodium 1% (10 mg/g) gel, paracetamol 500 mg tablet, omeprazole 20 mg tablet: enteric coated, diclofenac sodium 1% (10 mg/g) gel, paracetamol 500 mg tablet, baclofen 10 mg tablet, sennosides 12 mg tablet, baclofen 10 mg tablet, sennosides 12 mg tablet, baclofen 10 mg tablet, sennosides 12 mg tablet, baclofen 10 mg tablet, sennosides 12 mg tablet, diclofenac sodium 1% (10 mg/g) gel, aluminium hydroxide 225 mg/5 mL + magnesium hydroxide 200 mg/5 mL oral liquid, paracetamol 500 mg tablet, atorvastatin 20 mg tablet, betahistine dihydrochloride 16 mg tablet, diclofenac sodium 1% (10 mg/g) gel, aluminium hydroxide 225 mg/5 mL + magnesium hydroxide 200 mg/5 mL oral liquid, paracetamol 500 mg tablet, atorvastatin 20 mg tablet, betahistine dihydrochloride 16 mg tablet, diclofenac sodium 1% (10 mg/g) gel, aluminium hydroxide 225 mg/5 mL + magnesium hydroxide 200 mg/5 mL oral liquid, paracetamol 500 mg tablet, atorvastatin 20 mg tablet, betahistine dihydrochloride 16 mg tablet, diclofenac sodium 1% (10 mg/g) gel, aluminium hydroxide 225 mg/5 mL + magnesium hydroxide 200 mg/5 mL oral liquid, paracetamol 500 mg tablet, atorvastatin 20 mg tablet, betahistine dihydrochloride 16 mg tablet, mebeverine hydrochloride 200 mg capsule: modified release, mebeverine hydrochloride 200 mg capsule: modified release, mebeverine hydrochloride 200 mg capsule: modified release, mebeverine hydrochloride 200 mg capsule: modified release, omeprazole 20 mg tablet: enteric coated, omeprazole 20 mg tablet: enteric coated, omeprazole 20 mg tablet: enteric coated, omeprazole 20 mg tablet: enteric coated, paracetamol 500 mg tablet, atorvastatin 20 mg tablet, paracetamol 500 mg tablet, atorvastatin 20 mg tablet, paracetamol 500 mg tablet, atorvastatin 20 mg tablet, paracetamol 500 mg tablet, atorvastatin 20 mg tablet, omeprazole 20 mg tablet: enteric coated, diclofenac sodium 1% (10 mg/g) gel, omeprazole 20 mg tablet: enteric coated, diclofenac sodium 1% (10 mg/g) gel, omeprazole 20 mg tablet: enteric coated, diclofenac sodium 1% (10 mg/g) gel, omeprazole 20 mg tablet: enteric coated, diclofenac sodium 1% (10 mg/g) gel, betahistine dihydrochloride 16 mg tablet, betahistine dihydrochloride 16 mg tablet, betahistine dihydrochloride 16 mg tablet, betahistine dihydrochloride 16 mg tablet, baclofen 10 mg tablet, mebeverine hydrochloride 200 mg capsule: modified release, aluminium hydroxide 225 mg/5 mL + magnesium hydroxide 200 mg/5 mL oral liquid, baclofen 10 mg tablet, mebeverine hydrochloride 200 mg capsule: modified release, aluminium hydroxide 225 mg/5 mL + magnesium hydroxide 200 mg/5 mL oral liquid, baclofen 10 mg tablet, mebeverine hydrochloride 200 mg capsule: modified release, aluminium hydroxide 225 mg/5 mL + magnesium hydroxide 200 mg/5 mL oral liquid, baclofen 10 mg tablet, mebeverine hydrochloride 200 mg capsule: modified release, aluminium hydroxide 225 mg/5 mL + magnesium hydroxide 200 mg/5 mL oral liquid, sennosides 12 mg tablet, sennosides 12 mg tablet, sennosides 12 mg tablet, sennosides 12 mg tablet</t>
  </si>
  <si>
    <t>Dyslipidemia, GI/PPI</t>
  </si>
  <si>
    <t>عيشه ناصر علي الزهراني</t>
  </si>
  <si>
    <t>paracetamol, diclofenac sodium</t>
  </si>
  <si>
    <t>paracetamol 500 mg tablet, paracetamol 500 mg tablet, paracetamol 500 mg tablet, diclofenac sodium 1% (10 mg/g) gel, diclofenac sodium 1% (10 mg/g) gel, diclofenac sodium 1% (10 mg/g) gel, diclofenac sodium 1% (10 mg/g) gel, diclofenac sodium 1% (10 mg/g) gel, diclofenac sodium 1% (10 mg/g) gel, paracetamol 500 mg tablet, paracetamol 500 mg tablet, paracetamol 500 mg tablet, diclofenac sodium 1% (10 mg/g) gel, diclofenac sodium 1% (10 mg/g) gel, diclofenac sodium 1% (10 mg/g) gel, paracetamol 500 mg tablet, paracetamol 500 mg tablet, paracetamol 500 mg tablet</t>
  </si>
  <si>
    <t>نواف علي عبدالرحمن التويم</t>
  </si>
  <si>
    <t>رويده امين محمد باناعمه</t>
  </si>
  <si>
    <t>atorvastatin 20 mg tablet, atorvastatin 20 mg tablet, atorvastatin 20 mg tablet, atorvastatin 20 mg tablet, atorvastatin 20 mg tablet, atorvastatin 20 mg tablet, atorvastatin 20 mg tablet, atorvastatin 20 mg tablet, atorvastatin 20 mg tablet</t>
  </si>
  <si>
    <t>محمد عبدالله محمد ابيض</t>
  </si>
  <si>
    <t>vitamin B complex (B, B, gliclazide, atorvastatin, metFORMIN hydrochloride, empagliflozin, valsartan</t>
  </si>
  <si>
    <t>vitamin B complex (B1,B6,B12) 100,200,0.2 mg Film coated tablets [oral], gliclazide 60 mg tablet: modified release, atorvastatin 20 mg tablet, vitamin B complex (B1,B6,B12) 100,200,0.2 mg Film coated tablets [oral], gliclazide 60 mg tablet: modified release, atorvastatin 20 mg tablet, vitamin B complex (B1,B6,B12) 100,200,0.2 mg Film coated tablets [oral], gliclazide 60 mg tablet: modified release, atorvastatin 20 mg tablet, vitamin B complex (B1,B6,B12) 100,200,0.2 mg Film coated tablets [oral], gliclazide 60 mg tablet: modified release, atorvastatin 20 mg tablet, metFORMIN hydrochloride 500 mg tablet, empagliflozin 25 mg tablet, valsartan 80 mg tablet, metFORMIN hydrochloride 500 mg tablet, empagliflozin 25 mg tablet, valsartan 80 mg tablet, metFORMIN hydrochloride 500 mg tablet, empagliflozin 25 mg tablet, valsartan 80 mg tablet, metFORMIN hydrochloride 500 mg tablet, empagliflozin 25 mg tablet, valsartan 80 mg tablet, empagliflozin 25 mg tablet, empagliflozin 25 mg tablet, empagliflozin 25 mg tablet, empagliflozin 25 mg tablet, vitamin B complex (B1,B6,B12) 100,200,0.2 mg Film coated tablets [oral], metFORMIN hydrochloride 500 mg tablet, atorvastatin 20 mg tablet, gliclazide 60 mg tablet: modified release, vitamin B complex (B1,B6,B12) 100,200,0.2 mg Film coated tablets [oral], metFORMIN hydrochloride 500 mg tablet, atorvastatin 20 mg tablet, gliclazide 60 mg tablet: modified release, vitamin B complex (B1,B6,B12) 100,200,0.2 mg Film coated tablets [oral], metFORMIN hydrochloride 500 mg tablet, atorvastatin 20 mg tablet, gliclazide 60 mg tablet: modified release, vitamin B complex (B1,B6,B12) 100,200,0.2 mg Film coated tablets [oral], metFORMIN hydrochloride 500 mg tablet, atorvastatin 20 mg tablet, gliclazide 60 mg tablet: modified release, valsartan 80 mg tablet, valsartan 80 mg tablet, valsartan 80 mg tablet, valsartan 80 mg tablet</t>
  </si>
  <si>
    <t>محمد سالم عمر باعربي</t>
  </si>
  <si>
    <t>acetylsalicylic acid, gliclazide, vitamin B complex (B, B, losartan potassium, rosuvastatin, omeprazole, SITagliptin</t>
  </si>
  <si>
    <t>acetylsalicylic acid 100 mg tablet: enteric coated, acetylsalicylic acid 100 mg tablet: enteric coated, acetylsalicylic acid 100 mg tablet: enteric coated, acetylsalicylic acid 100 mg tablet: enteric coated, gliclazide 60 mg tablet: modified release, gliclazide 60 mg tablet: modified release, gliclazide 60 mg tablet: modified release, gliclazide 60 mg tablet: modified release, vitamin B complex (B1,B6,B12) 100,200,0.2 mg Film coated tablets [oral], vitamin B complex (B1,B6,B12) 100,200,0.2 mg Film coated tablets [oral], vitamin B complex (B1,B6,B12) 100,200,0.2 mg Film coated tablets [oral], vitamin B complex (B1,B6,B12) 100,200,0.2 mg Film coated tablets [oral], losartan potassium 50 mg tablet, rosuvastatin 20 mg tablet, omeprazole 20 mg tablet: enteric coated, losartan potassium 50 mg tablet, rosuvastatin 20 mg tablet, omeprazole 20 mg tablet: enteric coated, losartan potassium 50 mg tablet, rosuvastatin 20 mg tablet, omeprazole 20 mg tablet: enteric coated, losartan potassium 50 mg tablet, rosuvastatin 20 mg tablet, omeprazole 20 mg tablet: enteric coated, SITagliptin 100 mg tablet, SITagliptin 100 mg tablet, SITagliptin 100 mg tablet, SITagliptin 100 mg tablet, acetylsalicylic acid 100 mg tablet: enteric coated, vitamin B complex (B1,B6,B12) 100,200,0.2 mg Film coated tablets [oral], SITagliptin 100 mg tablet, acetylsalicylic acid 100 mg tablet: enteric coated, vitamin B complex (B1,B6,B12) 100,200,0.2 mg Film coated tablets [oral], SITagliptin 100 mg tablet, acetylsalicylic acid 100 mg tablet: enteric coated, vitamin B complex (B1,B6,B12) 100,200,0.2 mg Film coated tablets [oral], SITagliptin 100 mg tablet, acetylsalicylic acid 100 mg tablet: enteric coated, vitamin B complex (B1,B6,B12) 100,200,0.2 mg Film coated tablets [oral], SITagliptin 100 mg tablet, omeprazole 20 mg tablet: enteric coated, omeprazole 20 mg tablet: enteric coated, omeprazole 20 mg tablet: enteric coated, omeprazole 20 mg tablet: enteric coated, gliclazide 60 mg tablet: modified release, rosuvastatin 20 mg tablet, losartan potassium 50 mg tablet, gliclazide 60 mg tablet: modified release, rosuvastatin 20 mg tablet, losartan potassium 50 mg tablet, gliclazide 60 mg tablet: modified release, rosuvastatin 20 mg tablet, losartan potassium 50 mg tablet, gliclazide 60 mg tablet: modified release, rosuvastatin 20 mg tablet, losartan potassium 50 mg tablet, acetylsalicylic acid 100 mg tablet: enteric coated, acetylsalicylic acid 100 mg tablet: enteric coated, acetylsalicylic acid 100 mg tablet: enteric coated, acetylsalicylic acid 100 mg tablet: enteric coated, vitamin B complex (B1,B6,B12) 100,200,0.2 mg Film coated tablets [oral], rosuvastatin 20 mg tablet, gliclazide 60 mg tablet: modified release, vitamin B complex (B1,B6,B12) 100,200,0.2 mg Film coated tablets [oral], rosuvastatin 20 mg tablet, gliclazide 60 mg tablet: modified release, vitamin B complex (B1,B6,B12) 100,200,0.2 mg Film coated tablets [oral], rosuvastatin 20 mg tablet, gliclazide 60 mg tablet: modified release, vitamin B complex (B1,B6,B12) 100,200,0.2 mg Film coated tablets [oral], rosuvastatin 20 mg tablet, gliclazide 60 mg tablet: modified release, SITagliptin 100 mg tablet, losartan potassium 50 mg tablet, omeprazole 20 mg tablet: enteric coated, SITagliptin 100 mg tablet, losartan potassium 50 mg tablet, omeprazole 20 mg tablet: enteric coated, SITagliptin 100 mg tablet, losartan potassium 50 mg tablet, omeprazole 20 mg tablet: enteric coated, SITagliptin 100 mg tablet, losartan potassium 50 mg tablet, omeprazole 20 mg tablet: enteric coated, acetylsalicylic acid 100 mg tablet: enteric coated, gliclazide 60 mg tablet: modified release, losartan potassium 50 mg tablet, acetylsalicylic acid 100 mg tablet: enteric coated, gliclazide 60 mg tablet: modified release, losartan potassium 50 mg tablet, acetylsalicylic acid 100 mg tablet: enteric coated, gliclazide 60 mg tablet: modified release, losartan potassium 50 mg tablet, acetylsalicylic acid 100 mg tablet: enteric coated, gliclazide 60 mg tablet: modified release, losartan potassium 50 mg tablet, vitamin B complex (B1,B6,B12) 100,200,0.2 mg Film coated tablets [oral], vitamin B complex (B1,B6,B12) 100,200,0.2 mg Film coated tablets [oral], vitamin B complex (B1,B6,B12) 100,200,0.2 mg Film coated tablets [oral], vitamin B complex (B1,B6,B12) 100,200,0.2 mg Film coated tablets [oral], omeprazole 20 mg tablet: enteric coated, SITagliptin 100 mg tablet, omeprazole 20 mg tablet: enteric coated, SITagliptin 100 mg tablet, omeprazole 20 mg tablet: enteric coated, SITagliptin 100 mg tablet, omeprazole 20 mg tablet: enteric coated, SITagliptin 100 mg tablet, rosuvastatin 20 mg tablet, rosuvastatin 20 mg tablet, rosuvastatin 20 mg tablet, rosuvastatin 20 mg tablet, SITagliptin 100 mg tablet, acetylsalicylic acid 100 mg tablet: enteric coated, rosuvastatin 20 mg tablet, SITagliptin 100 mg tablet, acetylsalicylic acid 100 mg tablet: enteric coated, rosuvastatin 20 mg tablet, SITagliptin 100 mg tablet, acetylsalicylic acid 100 mg tablet: enteric coated, rosuvastatin 20 mg tablet, SITagliptin 100 mg tablet, acetylsalicylic acid 100 mg tablet: enteric coated, rosuvastatin 20 mg tablet, losartan potassium 50 mg tablet, losartan potassium 50 mg tablet, losartan potassium 50 mg tablet, losartan potassium 50 mg tablet, vitamin B complex (B1,B6,B12) 100,200,0.2 mg Film coated tablets [oral], vitamin B complex (B1,B6,B12) 100,200,0.2 mg Film coated tablets [oral], vitamin B complex (B1,B6,B12) 100,200,0.2 mg Film coated tablets [oral], vitamin B complex (B1,B6,B12) 100,200,0.2 mg Film coated tablets [oral], gliclazide 60 mg tablet: modified release, gliclazide 60 mg tablet: modified release, gliclazide 60 mg tablet: modified release, gliclazide 60 mg tablet: modified release, omeprazole 20 mg tablet: enteric coated, omeprazole 20 mg tablet: enteric coated, omeprazole 20 mg tablet: enteric coated, omeprazole 20 mg tablet: enteric coated, vitamin B complex (B1,B6,B12) 100,200,0.2 mg Film coated tablets [oral], losartan potassium 50 mg tablet, vitamin B complex (B1,B6,B12) 100,200,0.2 mg Film coated tablets [oral], losartan potassium 50 mg tablet, vitamin B complex (B1,B6,B12) 100,200,0.2 mg Film coated tablets [oral], losartan potassium 50 mg tablet, vitamin B complex (B1,B6,B12) 100,200,0.2 mg Film coated tablets [oral], losartan potassium 50 mg tablet, SITagliptin 100 mg tablet, acetylsalicylic acid 100 mg tablet: enteric coated, SITagliptin 100 mg tablet, acetylsalicylic acid 100 mg tablet: enteric coated, SITagliptin 100 mg tablet, acetylsalicylic acid 100 mg tablet: enteric coated, SITagliptin 100 mg tablet, acetylsalicylic acid 100 mg tablet: enteric coated, gliclazide 60 mg tablet: modified release, rosuvastatin 20 mg tablet, gliclazide 60 mg tablet: modified release, rosuvastatin 20 mg tablet, gliclazide 60 mg tablet: modified release, rosuvastatin 20 mg tablet, gliclazide 60 mg tablet: modified release, rosuvastatin 20 mg tablet, omeprazole 20 mg tablet: enteric coated, omeprazole 20 mg tablet: enteric coated, omeprazole 20 mg tablet: enteric coated, omeprazole 20 mg tablet: enteric coated, SITagliptin 100 mg tablet, SITagliptin 100 mg tablet, SITagliptin 100 mg tablet, SITagliptin 100 mg tablet, vitamin B complex (B1,B6,B12) 100,200,0.2 mg Film coated tablets [oral], rosuvastatin 20 mg tablet, vitamin B complex (B1,B6,B12) 100,200,0.2 mg Film coated tablets [oral], rosuvastatin 20 mg tablet, vitamin B complex (B1,B6,B12) 100,200,0.2 mg Film coated tablets [oral], rosuvastatin 20 mg tablet, vitamin B complex (B1,B6,B12) 100,200,0.2 mg Film coated tablets [oral], rosuvastatin 20 mg tablet, omeprazole 20 mg tablet: enteric coated, omeprazole 20 mg tablet: enteric coated, omeprazole 20 mg tablet: enteric coated, omeprazole 20 mg tablet: enteric coated, losartan potassium 50 mg tablet, acetylsalicylic acid 100 mg tablet: enteric coated, losartan potassium 50 mg tablet, acetylsalicylic acid 100 mg tablet: enteric coated, losartan potassium 50 mg tablet, acetylsalicylic acid 100 mg tablet: enteric coated, losartan potassium 50 mg tablet, acetylsalicylic acid 100 mg tablet: enteric coated</t>
  </si>
  <si>
    <t>نوف صالح محمد راشد</t>
  </si>
  <si>
    <t>celecoxib, mebeverine hydrochloride</t>
  </si>
  <si>
    <t>celecoxib 200 mg capsule, celecoxib 200 mg capsule, mebeverine hydrochloride 200 mg capsule: modified release, mebeverine hydrochloride 200 mg capsule: modified release, celecoxib 200 mg capsule, celecoxib 200 mg capsule, mebeverine hydrochloride 200 mg capsule: modified release, mebeverine hydrochloride 200 mg capsule: modified release, celecoxib 200 mg capsule, celecoxib 200 mg capsule, mebeverine hydrochloride 200 mg capsule: modified release, mebeverine hydrochloride 200 mg capsule: modified release</t>
  </si>
  <si>
    <t>عبير مصلح سعيد الرشيدي</t>
  </si>
  <si>
    <t>valsartan, vitamin B complex (B, B, metFORMIN hydrochloride, amLODIPine, rosuvastatin</t>
  </si>
  <si>
    <t>valsartan 80 mg tablet, vitamin B complex (B1,B6,B12) 100,200,0.2 mg Film coated tablets [oral], metFORMIN hydrochloride 500 mg tablet, valsartan 80 mg tablet, vitamin B complex (B1,B6,B12) 100,200,0.2 mg Film coated tablets [oral], metFORMIN hydrochloride 500 mg tablet, amLODIPine 5 mg tablet, amLODIPine 5 mg tablet, rosuvastatin 20 mg tablet, rosuvastatin 20 mg tablet, metFORMIN hydrochloride 500 mg tablet, metFORMIN hydrochloride 500 mg tablet, vitamin B complex (B1,B6,B12) 100,200,0.2 mg Film coated tablets [oral], vitamin B complex (B1,B6,B12) 100,200,0.2 mg Film coated tablets [oral], valsartan 80 mg tablet, amLODIPine 5 mg tablet, valsartan 80 mg tablet, amLODIPine 5 mg tablet, rosuvastatin 20 mg tablet, rosuvastatin 20 mg tablet, vitamin B complex (B1,B6,B12) 100,200,0.2 mg Film coated tablets [oral], amLODIPine 5 mg tablet, vitamin B complex (B1,B6,B12) 100,200,0.2 mg Film coated tablets [oral], amLODIPine 5 mg tablet, valsartan 80 mg tablet, rosuvastatin 20 mg tablet, valsartan 80 mg tablet, rosuvastatin 20 mg tablet, metFORMIN hydrochloride 500 mg tablet, metFORMIN hydrochloride 500 mg tablet</t>
  </si>
  <si>
    <t>شادي حسين رجاء الحارثي</t>
  </si>
  <si>
    <t>mometasone furoate</t>
  </si>
  <si>
    <t>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t>
  </si>
  <si>
    <t>كريمه بنت عبدالرحيم بن توفيق السادات</t>
  </si>
  <si>
    <t>empagliflozin, bisoprolol fumarate, rosuvastatin, amLODIPine, metFORMIN hydrochloride, colecalciferol, omeprazole, valsartan, levothyroxine sodium</t>
  </si>
  <si>
    <t>empagliflozin 10 mg tablet, empagliflozin 10 mg tablet, empagliflozin 10 mg tablet, empagliflozin 10 mg tablet, empagliflozin 10 mg tablet, bisoprolol fumarate 5 mg tablet, bisoprolol fumarate 5 mg tablet, bisoprolol fumarate 5 mg tablet, bisoprolol fumarate 5 mg tablet, bisoprolol fumarate 5 mg tablet, rosuvastatin 10 mg tablet, rosuvastatin 10 mg tablet, rosuvastatin 10 mg tablet, rosuvastatin 10 mg tablet, rosuvastatin 10 mg tablet, amLODIPine 10 mg capsule, metFORMIN hydrochloride 500 mg tablet, colecalciferol 50 000 international units tablet, omeprazole 20 mg tablet: enteric coated, valsartan 80 mg tablet, amLODIPine 10 mg capsule, metFORMIN hydrochloride 500 mg tablet, colecalciferol 50 000 international units tablet, omeprazole 20 mg tablet: enteric coated, valsartan 80 mg tablet, amLODIPine 10 mg capsule, metFORMIN hydrochloride 500 mg tablet, colecalciferol 50 000 international units tablet, omeprazole 20 mg tablet: enteric coated, valsartan 80 mg tablet, amLODIPine 10 mg capsule, metFORMIN hydrochloride 500 mg tablet, colecalciferol 50 000 international units tablet, omeprazole 20 mg tablet: enteric coated, valsartan 80 mg tablet, amLODIPine 10 mg capsule, metFORMIN hydrochloride 500 mg tablet, colecalciferol 50 000 international units tablet, omeprazole 20 mg tablet: enteric coated, valsartan 80 mg tablet, levothyroxine sodium 25 microgram tablet, levothyroxine sodium 25 microgram tablet, levothyroxine sodium 25 microgram tablet, levothyroxine sodium 25 microgram tablet, levothyroxine sodium 25 microgram tablet, valsartan 80 mg tablet, rosuvastatin 10 mg tablet, omeprazole 20 mg tablet: enteric coated, valsartan 80 mg tablet, rosuvastatin 10 mg tablet, omeprazole 20 mg tablet: enteric coated, valsartan 80 mg tablet, rosuvastatin 10 mg tablet, omeprazole 20 mg tablet: enteric coated, valsartan 80 mg tablet, rosuvastatin 10 mg tablet, omeprazole 20 mg tablet: enteric coated, valsartan 80 mg tablet, rosuvastatin 10 mg tablet, omeprazole 20 mg tablet: enteric coated, colecalciferol 50 000 international units tablet, colecalciferol 50 000 international units tablet, colecalciferol 50 000 international units tablet, colecalciferol 50 000 international units tablet, colecalciferol 50 000 international units tablet, metFORMIN hydrochloride 500 mg tablet, metFORMIN hydrochloride 500 mg tablet, metFORMIN hydrochloride 500 mg tablet, metFORMIN hydrochloride 500 mg tablet, metFORMIN hydrochloride 500 mg tablet, levothyroxine sodium 25 microgram tablet, amLODIPine 10 mg capsule, bisoprolol fumarate 5 mg tablet, empagliflozin 10 mg tablet, levothyroxine sodium 25 microgram tablet, amLODIPine 10 mg capsule, bisoprolol fumarate 5 mg tablet, empagliflozin 10 mg tablet, levothyroxine sodium 25 microgram tablet, amLODIPine 10 mg capsule, bisoprolol fumarate 5 mg tablet, empagliflozin 10 mg tablet, levothyroxine sodium 25 microgram tablet, amLODIPine 10 mg capsule, bisoprolol fumarate 5 mg tablet, empagliflozin 10 mg tablet, levothyroxine sodium 25 microgram tablet, amLODIPine 10 mg capsule, bisoprolol fumarate 5 mg tablet, empagliflozin 10 mg tablet, omeprazole 20 mg tablet: enteric coated, rosuvastatin 10 mg tablet, omeprazole 20 mg tablet: enteric coated, rosuvastatin 10 mg tablet, omeprazole 20 mg tablet: enteric coated, rosuvastatin 10 mg tablet, omeprazole 20 mg tablet: enteric coated, rosuvastatin 10 mg tablet, omeprazole 20 mg tablet: enteric coated, rosuvastatin 10 mg tablet, amLODIPine 10 mg capsule, amLODIPine 10 mg capsule, amLODIPine 10 mg capsule, amLODIPine 10 mg capsule, amLODIPine 10 mg capsule, empagliflozin 10 mg tablet, levothyroxine sodium 25 microgram tablet, empagliflozin 10 mg tablet, levothyroxine sodium 25 microgram tablet, empagliflozin 10 mg tablet, levothyroxine sodium 25 microgram tablet, empagliflozin 10 mg tablet, levothyroxine sodium 25 microgram tablet, empagliflozin 10 mg tablet, levothyroxine sodium 25 microgram tablet, bisoprolol fumarate 5 mg tablet, valsartan 80 mg tablet, metFORMIN hydrochloride 500 mg tablet, colecalciferol 50 000 international units tablet, bisoprolol fumarate 5 mg tablet, valsartan 80 mg tablet, metFORMIN hydrochloride 500 mg tablet, colecalciferol 50 000 international units tablet, bisoprolol fumarate 5 mg tablet, valsartan 80 mg tablet, metFORMIN hydrochloride 500 mg tablet, colecalciferol 50 000 international units tablet, bisoprolol fumarate 5 mg tablet, valsartan 80 mg tablet, metFORMIN hydrochloride 500 mg tablet, colecalciferol 50 000 international units tablet, bisoprolol fumarate 5 mg tablet, valsartan 80 mg tablet, metFORMIN hydrochloride 500 mg tablet, colecalciferol 50 000 international units tablet, omeprazole 20 mg tablet: enteric coated, omeprazole 20 mg tablet: enteric coated, omeprazole 20 mg tablet: enteric coated, omeprazole 20 mg tablet: enteric coated, omeprazole 20 mg tablet: enteric coated, levothyroxine sodium 25 microgram tablet, amLODIPine 10 mg capsule, colecalciferol 50 000 international units tablet, valsartan 80 mg tablet, levothyroxine sodium 25 microgram tablet, amLODIPine 10 mg capsule, colecalciferol 50 000 international units tablet, valsartan 80 mg tablet, levothyroxine sodium 25 microgram tablet, amLODIPine 10 mg capsule, colecalciferol 50 000 international units tablet, valsartan 80 mg tablet, levothyroxine sodium 25 microgram tablet, amLODIPine 10 mg capsule, colecalciferol 50 000 international units tablet, valsartan 80 mg tablet, levothyroxine sodium 25 microgram tablet, amLODIPine 10 mg capsule, colecalciferol 50 000 international units tablet, valsartan 80 mg tablet, rosuvastatin 10 mg tablet, rosuvastatin 10 mg tablet, rosuvastatin 10 mg tablet, rosuvastatin 10 mg tablet, rosuvastatin 10 mg tablet, metFORMIN hydrochloride 500 mg tablet, empagliflozin 10 mg tablet, bisoprolol fumarate 5 mg tablet, metFORMIN hydrochloride 500 mg tablet, empagliflozin 10 mg tablet, bisoprolol fumarate 5 mg tablet, metFORMIN hydrochloride 500 mg tablet, empagliflozin 10 mg tablet, bisoprolol fumarate 5 mg tablet, metFORMIN hydrochloride 500 mg tablet, empagliflozin 10 mg tablet, bisoprolol fumarate 5 mg tablet, metFORMIN hydrochloride 500 mg tablet, empagliflozin 10 mg tablet, bisoprolol fumarate 5 mg tablet</t>
  </si>
  <si>
    <t>Diabetes, Dyslipidemia, GI/PPI, Hypertension, Thyroid, Vitamins/Supplements</t>
  </si>
  <si>
    <t>محمد احمد يحى القحطاني</t>
  </si>
  <si>
    <t>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t>
  </si>
  <si>
    <t>هند عبدالعزيز احمد حسام الدين</t>
  </si>
  <si>
    <t>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t>
  </si>
  <si>
    <t>نور عثمان محمدسعيد سمكري</t>
  </si>
  <si>
    <t>levothyroxine sodium, amLODIPine, atorvastatin</t>
  </si>
  <si>
    <t>levothyroxine sodium 100 microgram tablet, levothyroxine sodium 100 microgram tablet, levothyroxine sodium 100 microgram tablet, levothyroxine sodium 100 microgram tablet, amLODIPine 5 mg tablet, amLODIPine 5 mg tablet, amLODIPine 5 mg tablet, amLODIPine 5 mg tablet, atorvastatin 20 mg tablet, atorvastatin 20 mg tablet, atorvastatin 20 mg tablet, atorvastatin 20 mg tablet, atorvastatin 20 mg tablet, levothyroxine sodium 100 microgram tablet, amLODIPine 5 mg tablet, atorvastatin 20 mg tablet, levothyroxine sodium 100 microgram tablet, amLODIPine 5 mg tablet, atorvastatin 20 mg tablet, levothyroxine sodium 100 microgram tablet, amLODIPine 5 mg tablet, atorvastatin 20 mg tablet, levothyroxine sodium 100 microgram tablet, amLODIPine 5 mg tablet</t>
  </si>
  <si>
    <t>Dyslipidemia, Hypertension, Thyroid</t>
  </si>
  <si>
    <t>DM meds needed; HTN meds match; DLP meds match</t>
  </si>
  <si>
    <t>الهام عبدالوهاب سعدالله بخاري</t>
  </si>
  <si>
    <t>atorvastatin, perindopril arginine, diclofenac sodium, omeprazole, amLODIPine, baclofen</t>
  </si>
  <si>
    <t>atorvastatin 20 mg tablet, atorvastatin 20 mg tablet, atorvastatin 20 mg tablet, perindopril arginine 5 mg tablet, perindopril arginine 5 mg tablet, perindopril arginine 5 mg tablet, diclofenac sodium 1% (10 mg/g) gel, omeprazole 20 mg tablet: enteric coated, amLODIPine 5 mg tablet, baclofen 10 mg tablet, diclofenac sodium 1% (10 mg/g) gel, omeprazole 20 mg tablet: enteric coated, amLODIPine 5 mg tablet, baclofen 10 mg tablet, diclofenac sodium 1% (10 mg/g) gel, omeprazole 20 mg tablet: enteric coated, amLODIPine 5 mg tablet, baclofen 10 mg tablet, perindopril arginine 5 mg tablet, perindopril arginine 5 mg tablet, perindopril arginine 5 mg tablet, atorvastatin 20 mg tablet, baclofen 10 mg tablet, omeprazole 20 mg tablet: enteric coated, atorvastatin 20 mg tablet, baclofen 10 mg tablet, omeprazole 20 mg tablet: enteric coated, atorvastatin 20 mg tablet, baclofen 10 mg tablet, omeprazole 20 mg tablet: enteric coated, amLODIPine 5 mg tablet, diclofenac sodium 1% (10 mg/g) gel, amLODIPine 5 mg tablet, diclofenac sodium 1% (10 mg/g) gel, amLODIPine 5 mg tablet, diclofenac sodium 1% (10 mg/g) gel</t>
  </si>
  <si>
    <t>Dyslipidemia, GI/PPI, Hypertension</t>
  </si>
  <si>
    <t>عائشه مغرم حمدان علي</t>
  </si>
  <si>
    <t>metFORMIN hydrochloride, vitamin B complex (B, B</t>
  </si>
  <si>
    <t>metFORMIN hydrochloride 500 mg tablet, metFORMIN hydrochloride 500 mg tablet, metFORMIN hydrochloride 500 mg tablet, vitamin B complex (B1,B6,B12) 100,200,0.2 mg Film coated tablets [oral], vitamin B complex (B1,B6,B12) 100,200,0.2 mg Film coated tablets [oral], vitamin B complex (B1,B6,B12) 100,200,0.2 mg Film coated tablets [oral], metFORMIN hydrochloride 500 mg tablet, metFORMIN hydrochloride 500 mg tablet, metFORMIN hydrochloride 500 mg tablet, vitamin B complex (B1,B6,B12) 100,200,0.2 mg Film coated tablets [oral], vitamin B complex (B1,B6,B12) 100,200,0.2 mg Film coated tablets [oral], vitamin B complex (B1,B6,B12) 100,200,0.2 mg Film coated tablets [oral], metFORMIN hydrochloride 500 mg tablet, metFORMIN hydrochloride 500 mg tablet, metFORMIN hydrochloride 500 mg tablet, vitamin B complex (B1,B6,B12) 100,200,0.2 mg Film coated tablets [oral], vitamin B complex (B1,B6,B12) 100,200,0.2 mg Film coated tablets [oral], vitamin B complex (B1,B6,B12) 100,200,0.2 mg Film coated tablets [oral]</t>
  </si>
  <si>
    <t>شرف نويفع فيصل الجراري</t>
  </si>
  <si>
    <t>فهد عبدالكريم تردي بخاري</t>
  </si>
  <si>
    <t>empagliflozin, vitamin B complex (B, B, acetylsalicylic acid, rosuvastatin, metFORMIN hydrochloride</t>
  </si>
  <si>
    <t>empagliflozin 10 mg tablet, empagliflozin 10 mg tablet, empagliflozin 10 mg tablet, empagliflozin 10 mg tablet, vitamin B complex (B1,B6,B12) 100,200,0.2 mg Film coated tablets [oral], vitamin B complex (B1,B6,B12) 100,200,0.2 mg Film coated tablets [oral], vitamin B complex (B1,B6,B12) 100,200,0.2 mg Film coated tablets [oral], vitamin B complex (B1,B6,B12) 100,200,0.2 mg Film coated tablets [oral], acetylsalicylic acid 100 mg tablet: enteric coated, rosuvastatin 20 mg tablet, metFORMIN hydrochloride 500 mg tablet, acetylsalicylic acid 100 mg tablet: enteric coated, rosuvastatin 20 mg tablet, metFORMIN hydrochloride 500 mg tablet, acetylsalicylic acid 100 mg tablet: enteric coated, rosuvastatin 20 mg tablet, metFORMIN hydrochloride 500 mg tablet, acetylsalicylic acid 100 mg tablet: enteric coated, rosuvastatin 20 mg tablet, metFORMIN hydrochloride 500 mg tablet, metFORMIN hydrochloride 500 mg tablet, metFORMIN hydrochloride 500 mg tablet, metFORMIN hydrochloride 500 mg tablet, metFORMIN hydrochloride 500 mg tablet, vitamin B complex (B1,B6,B12) 100,200,0.2 mg Film coated tablets [oral], rosuvastatin 20 mg tablet, vitamin B complex (B1,B6,B12) 100,200,0.2 mg Film coated tablets [oral], rosuvastatin 20 mg tablet, vitamin B complex (B1,B6,B12) 100,200,0.2 mg Film coated tablets [oral], rosuvastatin 20 mg tablet, vitamin B complex (B1,B6,B12) 100,200,0.2 mg Film coated tablets [oral], rosuvastatin 20 mg tablet, acetylsalicylic acid 100 mg tablet: enteric coated, acetylsalicylic acid 100 mg tablet: enteric coated, acetylsalicylic acid 100 mg tablet: enteric coated, acetylsalicylic acid 100 mg tablet: enteric coated, empagliflozin 10 mg tablet, empagliflozin 10 mg tablet, empagliflozin 10 mg tablet, empagliflozin 10 mg tablet</t>
  </si>
  <si>
    <t>منال محمد بن تكر فلاته</t>
  </si>
  <si>
    <t>ناصر محمد مصلح صبغه</t>
  </si>
  <si>
    <t>empagliflozin 10 mg tablet, empagliflozin 10 mg tablet, empagliflozin 10 mg tablet, empagliflozin 10 mg tablet, empagliflozin 10 mg tablet, empagliflozin 10 mg tablet, empagliflozin 10 mg tablet, empagliflozin 10 mg tablet, empagliflozin 10 mg tablet, empagliflozin 10 mg tablet</t>
  </si>
  <si>
    <t>ندا خالد علي باحكيم</t>
  </si>
  <si>
    <t>عبدالرحمن ابن ابراهيم ابن عبدالملك خياط</t>
  </si>
  <si>
    <t>ibuprofen, miconazole nitrate</t>
  </si>
  <si>
    <t>ibuprofen 400 mg tablet, miconazole nitrate 2% (20 mg/g) oral gel, ibuprofen 400 mg tablet, miconazole nitrate 2% (20 mg/g) oral gel, ibuprofen 400 mg tablet, miconazole nitrate 2% (20 mg/g) oral gel, ibuprofen 400 mg tablet, miconazole nitrate 2% (20 mg/g) oral gel, ibuprofen 400 mg tablet, miconazole nitrate 2% (20 mg/g) oral gel, miconazole nitrate 2% (20 mg/g) oral gel, miconazole nitrate 2% (20 mg/g) oral gel, miconazole nitrate 2% (20 mg/g) oral gel, miconazole nitrate 2% (20 mg/g) oral gel, miconazole nitrate 2% (20 mg/g) oral gel, ibuprofen 400 mg tablet, ibuprofen 400 mg tablet, ibuprofen 400 mg tablet, ibuprofen 400 mg tablet, ibuprofen 400 mg tablet, ibuprofen 400 mg tablet, miconazole nitrate 2% (20 mg/g) oral gel, ibuprofen 400 mg tablet, miconazole nitrate 2% (20 mg/g) oral gel, ibuprofen 400 mg tablet, miconazole nitrate 2% (20 mg/g) oral gel, ibuprofen 400 mg tablet, miconazole nitrate 2% (20 mg/g) oral gel, ibuprofen 400 mg tablet, miconazole nitrate 2% (20 mg/g) oral gel</t>
  </si>
  <si>
    <t>نزار احمد سراج سماره</t>
  </si>
  <si>
    <t>colecalciferol, diclofenac sodium, diphenhydrAMINE hydrochloride, perindopril arginine</t>
  </si>
  <si>
    <t>colecalciferol 5000 international units Capsules [oral], diclofenac sodium 1% (10 mg/g) gel, diphenhydrAMINE hydrochloride 7 mg/5 mL + menthol 550 microgram/5 mL + sodium citrate 28.5 mg/5 mL oral liquid, perindopril arginine 5 mg tablet, colecalciferol 5000 international units Capsules [oral], diclofenac sodium 1% (10 mg/g) gel, diphenhydrAMINE hydrochloride 7 mg/5 mL + menthol 550 microgram/5 mL + sodium citrate 28.5 mg/5 mL oral liquid, perindopril arginine 5 mg tablet, colecalciferol 5000 international units Capsules [oral], diclofenac sodium 1% (10 mg/g) gel, diphenhydrAMINE hydrochloride 7 mg/5 mL + menthol 550 microgram/5 mL + sodium citrate 28.5 mg/5 mL oral liquid, perindopril arginine 5 mg tablet, diphenhydrAMINE hydrochloride 7 mg/5 mL + menthol 550 microgram/5 mL + sodium citrate 28.5 mg/5 mL oral liquid, diphenhydrAMINE hydrochloride 7 mg/5 mL + menthol 550 microgram/5 mL + sodium citrate 28.5 mg/5 mL oral liquid, diphenhydrAMINE hydrochloride 7 mg/5 mL + menthol 550 microgram/5 mL + sodium citrate 28.5 mg/5 mL oral liquid, perindopril arginine 5 mg tablet, perindopril arginine 5 mg tablet, perindopril arginine 5 mg tablet, diclofenac sodium 1% (10 mg/g) gel, diclofenac sodium 1% (10 mg/g) gel, diclofenac sodium 1% (10 mg/g) gel, colecalciferol 5000 international units Capsules [oral], colecalciferol 5000 international units Capsules [oral], colecalciferol 5000 international units Capsules [oral], diclofenac sodium 1% (10 mg/g) gel, diphenhydrAMINE hydrochloride 7 mg/5 mL + menthol 550 microgram/5 mL + sodium citrate 28.5 mg/5 mL oral liquid, diclofenac sodium 1% (10 mg/g) gel, diphenhydrAMINE hydrochloride 7 mg/5 mL + menthol 550 microgram/5 mL + sodium citrate 28.5 mg/5 mL oral liquid, diclofenac sodium 1% (10 mg/g) gel, diphenhydrAMINE hydrochloride 7 mg/5 mL + menthol 550 microgram/5 mL + sodium citrate 28.5 mg/5 mL oral liquid, colecalciferol 5000 international units Capsules [oral], colecalciferol 5000 international units Capsules [oral], colecalciferol 5000 international units Capsules [oral], perindopril arginine 5 mg tablet, perindopril arginine 5 mg tablet, perindopril arginine 5 mg tablet, colecalciferol 5000 international units Capsules [oral], colecalciferol 5000 international units Capsules [oral], colecalciferol 5000 international units Capsules [oral], diphenhydrAMINE hydrochloride 7 mg/5 mL + menthol 550 microgram/5 mL + sodium citrate 28.5 mg/5 mL oral liquid, diclofenac sodium 1% (10 mg/g) gel, diphenhydrAMINE hydrochloride 7 mg/5 mL + menthol 550 microgram/5 mL + sodium citrate 28.5 mg/5 mL oral liquid, diclofenac sodium 1% (10 mg/g) gel, diphenhydrAMINE hydrochloride 7 mg/5 mL + menthol 550 microgram/5 mL + sodium citrate 28.5 mg/5 mL oral liquid, diclofenac sodium 1% (10 mg/g) gel, perindopril arginine 5 mg tablet, perindopril arginine 5 mg tablet, perindopril arginine 5 mg tablet, diphenhydrAMINE hydrochloride 7 mg/5 mL + menthol 550 microgram/5 mL + sodium citrate 28.5 mg/5 mL oral liquid, diphenhydrAMINE hydrochloride 7 mg/5 mL + menthol 550 microgram/5 mL + sodium citrate 28.5 mg/5 mL oral liquid, diphenhydrAMINE hydrochloride 7 mg/5 mL + menthol 550 microgram/5 mL + sodium citrate 28.5 mg/5 mL oral liquid, diclofenac sodium 1% (10 mg/g) gel, diclofenac sodium 1% (10 mg/g) gel, diclofenac sodium 1% (10 mg/g) gel, perindopril arginine 5 mg tablet, colecalciferol 5000 international units Capsules [oral], perindopril arginine 5 mg tablet, colecalciferol 5000 international units Capsules [oral], perindopril arginine 5 mg tablet, colecalciferol 5000 international units Capsules [oral]</t>
  </si>
  <si>
    <t>عبيد يسلم عبيد كعدور</t>
  </si>
  <si>
    <t>atorvastatin, calcium carbonate, colecalciferol, vitamin B complex (B, B</t>
  </si>
  <si>
    <t>atorvastatin 10 mg tablet, calcium carbonate 600 mg - colecalciferol 200 international units Film coated tablets [oral], colecalciferol 5000 international units Capsules [oral], atorvastatin 10 mg tablet, calcium carbonate 600 mg - colecalciferol 200 international units Film coated tablets [oral], colecalciferol 5000 international units Capsules [oral], vitamin B complex (B1,B6,B12) 100,200,0.2 mg Film coated tablets [oral], vitamin B complex (B1,B6,B12) 100,200,0.2 mg Film coated tablets [oral], atorvastatin 10 mg tablet, atorvastatin 10 mg tablet, calcium carbonate 600 mg - colecalciferol 200 international units Film coated tablets [oral], calcium carbonate 600 mg - colecalciferol 200 international units Film coated tablets [oral], vitamin B complex (B1,B6,B12) 100,200,0.2 mg Film coated tablets [oral], vitamin B complex (B1,B6,B12) 100,200,0.2 mg Film coated tablets [oral], colecalciferol 5000 international units Capsules [oral], colecalciferol 5000 international units Capsules [oral], colecalciferol 5000 international units Capsules [oral], calcium carbonate 600 mg - colecalciferol 200 international units Film coated tablets [oral], colecalciferol 5000 international units Capsules [oral], calcium carbonate 600 mg - colecalciferol 200 international units Film coated tablets [oral], atorvastatin 10 mg tablet, vitamin B complex (B1,B6,B12) 100,200,0.2 mg Film coated tablets [oral], atorvastatin 10 mg tablet, vitamin B complex (B1,B6,B12) 100,200,0.2 mg Film coated tablets [oral], colecalciferol 5000 international units Capsules [oral], atorvastatin 10 mg tablet, colecalciferol 5000 international units Capsules [oral], atorvastatin 10 mg tablet, calcium carbonate 600 mg - colecalciferol 200 international units Film coated tablets [oral], calcium carbonate 600 mg - colecalciferol 200 international units Film coated tablets [oral], vitamin B complex (B1,B6,B12) 100,200,0.2 mg Film coated tablets [oral], vitamin B complex (B1,B6,B12) 100,200,0.2 mg Film coated tablets [oral]</t>
  </si>
  <si>
    <t>فائزه احمد سعيد باهامل</t>
  </si>
  <si>
    <t>amLODIPine, valsartan, levothyroxine sodium, mebeverine hydrochloride, colecalciferol, rosuvastatin</t>
  </si>
  <si>
    <t>amLODIPine 5 mg tablet, valsartan 80 mg tablet, levothyroxine sodium 25 microgram tablet, mebeverine hydrochloride 200 mg capsule: modified release, colecalciferol 1 000 international units capsule, rosuvastatin 10 mg tablet, amLODIPine 5 mg tablet, valsartan 80 mg tablet, levothyroxine sodium 25 microgram tablet, mebeverine hydrochloride 200 mg capsule: modified release, colecalciferol 1 000 international units capsule, rosuvastatin 10 mg tablet, amLODIPine 5 mg tablet, valsartan 80 mg tablet, levothyroxine sodium 25 microgram tablet, mebeverine hydrochloride 200 mg capsule: modified release, colecalciferol 1 000 international units capsule, rosuvastatin 10 mg tablet, amLODIPine 5 mg tablet, valsartan 80 mg tablet, levothyroxine sodium 25 microgram tablet, mebeverine hydrochloride 200 mg capsule: modified release, colecalciferol 1 000 international units capsule, rosuvastatin 10 mg tablet, amLODIPine 5 mg tablet, valsartan 80 mg tablet, levothyroxine sodium 25 microgram tablet, mebeverine hydrochloride 200 mg capsule: modified release, colecalciferol 1 000 international units capsule, rosuvastatin 10 mg tablet, amLODIPine 5 mg tablet, valsartan 80 mg tablet, levothyroxine sodium 25 microgram tablet, mebeverine hydrochloride 200 mg capsule: modified release, colecalciferol 1 000 international units capsule, rosuvastatin 10 mg tablet, amLODIPine 5 mg tablet, rosuvastatin 10 mg tablet, amLODIPine 5 mg tablet, rosuvastatin 10 mg tablet, amLODIPine 5 mg tablet, rosuvastatin 10 mg tablet, amLODIPine 5 mg tablet, rosuvastatin 10 mg tablet, amLODIPine 5 mg tablet, rosuvastatin 10 mg tablet, amLODIPine 5 mg tablet, rosuvastatin 10 mg tablet, valsartan 80 mg tablet, valsartan 80 mg tablet, valsartan 80 mg tablet, valsartan 80 mg tablet, valsartan 80 mg tablet, valsartan 80 mg tablet, mebeverine hydrochloride 200 mg capsule: modified release, levothyroxine sodium 25 microgram tablet, colecalciferol 1 000 international units capsule, mebeverine hydrochloride 200 mg capsule: modified release, levothyroxine sodium 25 microgram tablet, colecalciferol 1 000 international units capsule, mebeverine hydrochloride 200 mg capsule: modified release, levothyroxine sodium 25 microgram tablet, colecalciferol 1 000 international units capsule, mebeverine hydrochloride 200 mg capsule: modified release, levothyroxine sodium 25 microgram tablet, colecalciferol 1 000 international units capsule, mebeverine hydrochloride 200 mg capsule: modified release, levothyroxine sodium 25 microgram tablet, colecalciferol 1 000 international units capsule, mebeverine hydrochloride 200 mg capsule: modified release, levothyroxine sodium 25 microgram tablet, colecalciferol 1 000 international units capsule, valsartan 80 mg tablet, valsartan 80 mg tablet, valsartan 80 mg tablet, valsartan 80 mg tablet, valsartan 80 mg tablet, valsartan 80 mg tablet,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valsartan 80 mg tablet, amLODIPine 5 mg tablet, valsartan 80 mg tablet, amLODIPine 5 mg tablet, valsartan 80 mg tablet, amLODIPine 5 mg tablet, valsartan 80 mg tablet, amLODIPine 5 mg tablet, valsartan 80 mg tablet, amLODIPine 5 mg tablet, valsartan 80 mg tablet, amLODIPine 5 mg tablet,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levothyroxine sodium 25 microgram tablet, rosuvastatin 10 mg tablet, levothyroxine sodium 25 microgram tablet, rosuvastatin 10 mg tablet, levothyroxine sodium 25 microgram tablet, rosuvastatin 10 mg tablet, levothyroxine sodium 25 microgram tablet, rosuvastatin 10 mg tablet, levothyroxine sodium 25 microgram tablet, rosuvastatin 10 mg tablet, levothyroxine sodium 25 microgram tablet, rosuvastatin 10 mg tablet, colecalciferol 1 000 international units capsule, valsartan 80 mg tablet, colecalciferol 1 000 international units capsule, valsartan 80 mg tablet, colecalciferol 1 000 international units capsule, valsartan 80 mg tablet, colecalciferol 1 000 international units capsule, valsartan 80 mg tablet, colecalciferol 1 000 international units capsule, valsartan 80 mg tablet, colecalciferol 1 000 international units capsule, valsartan 80 mg tablet, mebeverine hydrochloride 200 mg capsule: modified release, levothyroxine sodium 25 microgram tablet, mebeverine hydrochloride 200 mg capsule: modified release, levothyroxine sodium 25 microgram tablet, mebeverine hydrochloride 200 mg capsule: modified release, levothyroxine sodium 25 microgram tablet, mebeverine hydrochloride 200 mg capsule: modified release, levothyroxine sodium 25 microgram tablet, mebeverine hydrochloride 200 mg capsule: modified release, levothyroxine sodium 25 microgram tablet, mebeverine hydrochloride 200 mg capsule: modified release, levothyroxine sodium 25 microgram tablet, rosuvastatin 10 mg tablet, amLODIPine 5 mg tablet, rosuvastatin 10 mg tablet, amLODIPine 5 mg tablet, rosuvastatin 10 mg tablet, amLODIPine 5 mg tablet, rosuvastatin 10 mg tablet, amLODIPine 5 mg tablet, rosuvastatin 10 mg tablet, amLODIPine 5 mg tablet, rosuvastatin 10 mg tablet, amLODIPine 5 mg tablet</t>
  </si>
  <si>
    <t>Dyslipidemia, Hypertension, Thyroid, Vitamins/Supplements</t>
  </si>
  <si>
    <t>محمد محمود احمد نور</t>
  </si>
  <si>
    <t>betamethasone (as valerate), diclofenac sodium</t>
  </si>
  <si>
    <t>betamethasone (as valerate) 0.1% (1 mg/g) + fusidic acid 2% (20 mg/g) cream, betamethasone (as valerate) 0.1% (1 mg/g) + fusidic acid 2% (20 mg/g) cream, diclofenac sodium 1% (10 mg/g) gel, diclofenac sodium 1% (10 mg/g) gel, diclofenac sodium 1% (10 mg/g) gel, betamethasone (as valerate) 0.1% (1 mg/g) + fusidic acid 2% (20 mg/g) cream, diclofenac sodium 1% (10 mg/g) gel, betamethasone (as valerate) 0.1% (1 mg/g) + fusidic acid 2% (20 mg/g) cream, diclofenac sodium 1% (10 mg/g) gel, diclofenac sodium 1% (10 mg/g) gel, betamethasone (as valerate) 0.1% (1 mg/g) + fusidic acid 2% (20 mg/g) cream, betamethasone (as valerate) 0.1% (1 mg/g) + fusidic acid 2% (20 mg/g) cream, diclofenac sodium 1% (10 mg/g) gel, betamethasone (as valerate) 0.1% (1 mg/g) + fusidic acid 2% (20 mg/g) cream, diclofenac sodium 1% (10 mg/g) gel, betamethasone (as valerate) 0.1% (1 mg/g) + fusidic acid 2% (20 mg/g) cream, betamethasone (as valerate) 0.1% (1 mg/g) + fusidic acid 2% (20 mg/g) cream, betamethasone (as valerate) 0.1% (1 mg/g) + fusidic acid 2% (20 mg/g) cream</t>
  </si>
  <si>
    <t>بدريه مرزوق عويض السلمي</t>
  </si>
  <si>
    <t>metFORMIN hydrochloride, atorvastatin, colecalciferol</t>
  </si>
  <si>
    <t>metFORMIN hydrochloride 500 mg tablet, metFORMIN hydrochloride 500 mg tablet, metFORMIN hydrochloride 500 mg tablet, atorvastatin 20 mg tablet, atorvastatin 20 mg tablet, atorvastatin 20 mg tablet, colecalciferol 50 000 international units tablet, colecalciferol 50 000 international units tablet, colecalciferol 50 000 international units tablet, atorvastatin 20 mg tablet, atorvastatin 20 mg tablet, atorvastatin 20 mg tablet, metFORMIN hydrochloride 500 mg tablet, metFORMIN hydrochloride 500 mg tablet, metFORMIN hydrochloride 500 mg tablet, colecalciferol 50 000 international units tablet, colecalciferol 50 000 international units tablet, colecalciferol 50 000 international units tablet</t>
  </si>
  <si>
    <t>امال محمد احمد حمق</t>
  </si>
  <si>
    <t>chlorzoxazone, atorvastatin, vitamins (A, B, C, D, celecoxib</t>
  </si>
  <si>
    <t>chlorzoxazone 250 mg + paracetamol 300 mg capsule, atorvastatin 10 mg tablet, chlorzoxazone 250 mg + paracetamol 300 mg capsule, atorvastatin 10 mg tablet, chlorzoxazone 250 mg + paracetamol 300 mg capsule, atorvastatin 10 mg tablet, chlorzoxazone 250 mg + paracetamol 300 mg capsule, atorvastatin 10 mg tablet, chlorzoxazone 250 mg + paracetamol 300 mg capsule, atorvastatin 10 mg tablet, chlorzoxazone 250 mg + paracetamol 300 mg capsule, atorvastatin 10 mg tablet, chlorzoxazone 250 mg + paracetamol 300 mg capsule, atorvastatin 10 mg tablet, chlorzoxazone 250 mg + paracetamol 300 mg capsule, atorvastatin 10 mg tablet, chlorzoxazone 250 mg + paracetamol 300 mg capsule, atorvastatin 10 mg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celecoxib 200 mg capsule, celecoxib 200 mg capsule, celecoxib 200 mg capsule, celecoxib 200 mg capsule, celecoxib 200 mg capsule, celecoxib 200 mg capsule, celecoxib 200 mg capsule, celecoxib 200 mg capsule, celecoxib 200 mg capsule, celecoxib 200 mg capsule, vitamins (A, B1, B2, B3, C, D3) tablet, chlorzoxazone 250 mg + paracetamol 300 mg capsule, celecoxib 200 mg capsule, vitamins (A, B1, B2, B3, C, D3) tablet, chlorzoxazone 250 mg + paracetamol 300 mg capsule, celecoxib 200 mg capsule, vitamins (A, B1, B2, B3, C, D3) tablet, chlorzoxazone 250 mg + paracetamol 300 mg capsule, celecoxib 200 mg capsule, vitamins (A, B1, B2, B3, C, D3) tablet, chlorzoxazone 250 mg + paracetamol 300 mg capsule, celecoxib 200 mg capsule, vitamins (A, B1, B2, B3, C, D3) tablet, chlorzoxazone 250 mg + paracetamol 300 mg capsule, celecoxib 200 mg capsule, vitamins (A, B1, B2, B3, C, D3) tablet, chlorzoxazone 250 mg + paracetamol 300 mg capsule, celecoxib 200 mg capsule, vitamins (A, B1, B2, B3, C, D3) tablet, chlorzoxazone 250 mg + paracetamol 300 mg capsule, celecoxib 200 mg capsule, vitamins (A, B1, B2, B3, C, D3) tablet, chlorzoxazone 250 mg + paracetamol 300 mg capsule, celecoxib 200 mg capsule, vitamins (A, B1, B2, B3, C, D3) tablet, chlorzoxazone 250 mg + paracetamol 300 mg capsule, atorvastatin 10 mg tablet, atorvastatin 10 mg tablet, atorvastatin 10 mg tablet, atorvastatin 10 mg tablet, atorvastatin 10 mg tablet, atorvastatin 10 mg tablet, atorvastatin 10 mg tablet, atorvastatin 10 mg tablet, atorvastatin 10 mg tablet, celecoxib 200 mg capsule, atorvastatin 10 mg tablet, celecoxib 200 mg capsule, atorvastatin 10 mg tablet, celecoxib 200 mg capsule, atorvastatin 10 mg tablet, celecoxib 200 mg capsule, atorvastatin 10 mg tablet, celecoxib 200 mg capsule, atorvastatin 10 mg tablet, celecoxib 200 mg capsule, atorvastatin 10 mg tablet, celecoxib 200 mg capsule, atorvastatin 10 mg tablet, celecoxib 200 mg capsule, atorvastatin 10 mg tablet, celecoxib 200 mg capsule, atorvastatin 10 mg tablet, chlorzoxazone 250 mg + paracetamol 300 mg capsule, vitamins (A, B1, B2, B3, C, D3) tablet, chlorzoxazone 250 mg + paracetamol 300 mg capsule, vitamins (A, B1, B2, B3, C, D3) tablet, chlorzoxazone 250 mg + paracetamol 300 mg capsule, vitamins (A, B1, B2, B3, C, D3) tablet, chlorzoxazone 250 mg + paracetamol 300 mg capsule, vitamins (A, B1, B2, B3, C, D3) tablet, chlorzoxazone 250 mg + paracetamol 300 mg capsule, vitamins (A, B1, B2, B3, C, D3) tablet, chlorzoxazone 250 mg + paracetamol 300 mg capsule, vitamins (A, B1, B2, B3, C, D3) tablet, chlorzoxazone 250 mg + paracetamol 300 mg capsule, vitamins (A, B1, B2, B3, C, D3) tablet, chlorzoxazone 250 mg + paracetamol 300 mg capsule, vitamins (A, B1, B2, B3, C, D3) tablet, chlorzoxazone 250 mg + paracetamol 300 mg capsule, vitamins (A, B1, B2, B3, C, D3) tablet</t>
  </si>
  <si>
    <t>محمد عواد عطية الله الصيدلاني</t>
  </si>
  <si>
    <t>Insulin Pen Needle, Lancets (Accu-Check), amLODIPine, vitamin B complex (B, B, atorvastatin, calcium carbonate, apixaban, valsartan, Strips (Accu-Check)</t>
  </si>
  <si>
    <t>Insulin Pen Needle 4mm Needle [sc], Insulin Pen Needle 4mm Needle [sc], Insulin Pen Needle 4mm Needle [sc], Insulin Pen Needle 4mm Needle [sc], Lancets (Accu-Check) 1 box Lancets [n/a], Lancets (Accu-Check) 1 box Lancets [n/a], Lancets (Accu-Check) 1 box Lancets [n/a], Lancets (Accu-Check) 1 box Lancets [n/a], amLODIPine 5 mg tablet, vitamin B complex (B1,B6,B12) 100,200,0.2 mg Film coated tablets [oral], atorvastatin 20 mg tablet, amLODIPine 5 mg tablet, vitamin B complex (B1,B6,B12) 100,200,0.2 mg Film coated tablets [oral], atorvastatin 20 mg tablet, amLODIPine 5 mg tablet, vitamin B complex (B1,B6,B12) 100,200,0.2 mg Film coated tablets [oral], atorvastatin 20 mg tablet, amLODIPine 5 mg tablet, vitamin B complex (B1,B6,B12) 100,200,0.2 mg Film coated tablets [oral], atorvastatin 20 mg tablet, calcium carbonate 600 mg - colecalciferol 200 international units Film coated tablets [oral], apixaban 2.5 mg tablet, valsartan 80 mg tablet, calcium carbonate 600 mg - colecalciferol 200 international units Film coated tablets [oral], apixaban 2.5 mg tablet, valsartan 80 mg tablet, calcium carbonate 600 mg - colecalciferol 200 international units Film coated tablets [oral], apixaban 2.5 mg tablet, valsartan 80 mg tablet, calcium carbonate 600 mg - colecalciferol 200 international units Film coated tablets [oral], apixaban 2.5 mg tablet, valsartan 80 mg tablet, Strips (Accu-Check) 1 box Strip [n/a], empagliflozin 10 mg tablet, insulin glargine (lantus) 100 international units/mL injection, 3 mL prefilled pen, Strips (Accu-Check) 1 box Strip [n/a], empagliflozin 10 mg tablet, insulin glargine (lantus) 100 international units/mL injection, 3 mL prefilled pen, Strips (Accu-Check) 1 box Strip [n/a], empagliflozin 10 mg tablet, insulin glargine (lantus) 100 international units/mL injection, 3 mL prefilled pen, Strips (Accu-Check) 1 box Strip [n/a], empagliflozin 10 mg tablet, insulin glargine (lantus) 100 international units/mL injection, 3 mL prefilled pen, insulin aspart 100 international units/mL injection, 3 mL prefilled pen, omeprazole 20 mg tablet: enteric coated, allopurinol 300 mg tablet, insulin aspart 100 international units/mL injection, 3 mL prefilled pen, omeprazole 20 mg tablet: enteric coated, allopurinol 300 mg tablet, insulin aspart 100 international units/mL injection, 3 mL prefilled pen, omeprazole 20 mg tablet: enteric coated, allopurinol 300 mg tablet, insulin aspart 100 international units/mL injection, 3 mL prefilled pen, omeprazole 20 mg tablet: enteric coated, allopurinol 300 mg tablet, Insulin Pen Needle 4mm Needle [sc], Insulin Pen Needle 4mm Needle [sc], Insulin Pen Needle 4mm Needle [sc], Insulin Pen Needle 4mm Needle [sc], Lancets (Accu-Check) 1 box Lancets [n/a], Lancets (Accu-Check) 1 box Lancets [n/a], Lancets (Accu-Check) 1 box Lancets [n/a], Lancets (Accu-Check) 1 box Lancets [n/a], calcium carbonate 600 mg - colecalciferol 200 international units Film coated tablets [oral], insulin aspart 100 international units/mL injection, 3 mL prefilled pen, calcium carbonate 600 mg - colecalciferol 200 international units Film coated tablets [oral], insulin aspart 100 international units/mL injection, 3 mL prefilled pen, calcium carbonate 600 mg - colecalciferol 200 international units Film coated tablets [oral], insulin aspart 100 international units/mL injection, 3 mL prefilled pen, calcium carbonate 600 mg - colecalciferol 200 international units Film coated tablets [oral], insulin aspart 100 international units/mL injection, 3 mL prefilled pen, insulin glargine (lantus) 100 international units/mL injection, 3 mL prefilled pen, omeprazole 20 mg tablet: enteric coated, insulin glargine (lantus) 100 international units/mL injection, 3 mL prefilled pen, omeprazole 20 mg tablet: enteric coated, insulin glargine (lantus) 100 international units/mL injection, 3 mL prefilled pen, omeprazole 20 mg tablet: enteric coated, insulin glargine (lantus) 100 international units/mL injection, 3 mL prefilled pen, omeprazole 20 mg tablet: enteric coated, allopurinol 300 mg tablet, allopurinol 300 mg tablet, allopurinol 300 mg tablet, allopurinol 300 mg tablet, Strips (Accu-Check) 1 box Strip [n/a], Strips (Accu-Check) 1 box Strip [n/a], Strips (Accu-Check) 1 box Strip [n/a], Strips (Accu-Check) 1 box Strip [n/a], Lancets (Accu-Check) 1 box Lancets [n/a], vitamin B complex (B1,B6,B12) 100,200,0.2 mg Film coated tablets [oral], Lancets (Accu-Check) 1 box Lancets [n/a], vitamin B complex (B1,B6,B12) 100,200,0.2 mg Film coated tablets [oral], Lancets (Accu-Check) 1 box Lancets [n/a], vitamin B complex (B1,B6,B12) 100,200,0.2 mg Film coated tablets [oral], Lancets (Accu-Check) 1 box Lancets [n/a], vitamin B complex (B1,B6,B12) 100,200,0.2 mg Film coated tablets [oral], empagliflozin 10 mg tablet, atorvastatin 20 mg tablet, allopurinol 300 mg tablet, Insulin Pen Needle 4mm Needle [sc], valsartan 80 mg tablet, empagliflozin 10 mg tablet, atorvastatin 20 mg tablet, allopurinol 300 mg tablet, Insulin Pen Needle 4mm Needle [sc], valsartan 80 mg tablet, empagliflozin 10 mg tablet, atorvastatin 20 mg tablet, allopurinol 300 mg tablet, Insulin Pen Needle 4mm Needle [sc], valsartan 80 mg tablet, empagliflozin 10 mg tablet, atorvastatin 20 mg tablet, allopurinol 300 mg tablet, Insulin Pen Needle 4mm Needle [sc], valsartan 80 mg tablet, insulin glargine (lantus) 100 international units/mL injection, 3 mL prefilled pen, insulin aspart 100 international units/mL injection, 3 mL prefilled pen, apixaban 2.5 mg tablet, omeprazole 20 mg tablet: enteric coated, amLODIPine 5 mg tablet, Strips (Accu-Check) 1 box Strip [n/a], insulin glargine (lantus) 100 international units/mL injection, 3 mL prefilled pen, insulin aspart 100 international units/mL injection, 3 mL prefilled pen, apixaban 2.5 mg tablet, omeprazole 20 mg tablet: enteric coated, amLODIPine 5 mg tablet, Strips (Accu-Check) 1 box Strip [n/a], insulin glargine (lantus) 100 international units/mL injection, 3 mL prefilled pen, insulin aspart 100 international units/mL injection, 3 mL prefilled pen, apixaban 2.5 mg tablet, omeprazole 20 mg tablet: enteric coated, amLODIPine 5 mg tablet, Strips (Accu-Check) 1 box Strip [n/a], insulin glargine (lantus) 100 international units/mL injection, 3 mL prefilled pen, insulin aspart 100 international units/mL injection, 3 mL prefilled pen, apixaban 2.5 mg tablet, omeprazole 20 mg tablet: enteric coated, amLODIPine 5 mg tablet, Strips (Accu-Check) 1 box Strip [n/a],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empagliflozin 10 mg tablet, vitamin B complex (B1,B6,B12) 100,200,0.2 mg Film coated tablets [oral], allopurinol 300 mg tablet, Insulin Pen Needle 4mm Needle [sc], empagliflozin 10 mg tablet, vitamin B complex (B1,B6,B12) 100,200,0.2 mg Film coated tablets [oral], allopurinol 300 mg tablet, Insulin Pen Needle 4mm Needle [sc], empagliflozin 10 mg tablet, vitamin B complex (B1,B6,B12) 100,200,0.2 mg Film coated tablets [oral], allopurinol 300 mg tablet, Insulin Pen Needle 4mm Needle [sc], empagliflozin 10 mg tablet, vitamin B complex (B1,B6,B12) 100,200,0.2 mg Film coated tablets [oral], allopurinol 300 mg tablet, Insulin Pen Needle 4mm Needle [sc], Strips (Accu-Check) 1 box Strip [n/a], Strips (Accu-Check) 1 box Strip [n/a], Strips (Accu-Check) 1 box Strip [n/a], Strips (Accu-Check) 1 box Strip [n/a], valsartan 80 mg tablet, apixaban 2.5 mg tablet, valsartan 80 mg tablet, apixaban 2.5 mg tablet, valsartan 80 mg tablet, apixaban 2.5 mg tablet, valsartan 80 mg tablet, apixaban 2.5 mg tablet, vitamin B complex (B1,B6,B12) 100,200,0.2 mg Film coated tablets [oral], calcium carbonate 600 mg - colecalciferol 200 international units Film coated tablets [oral], Strips (Accu-Check) 1 box Strip [n/a], atorvastatin 20 mg tablet, Lancets (Accu-Check) 1 box Lancets [n/a], insulin glargine (lantus) 100 international units/mL injection, 3 mL prefilled pen, vitamin B complex (B1,B6,B12) 100,200,0.2 mg Film coated tablets [oral], calcium carbonate 600 mg - colecalciferol 200 international units Film coated tablets [oral], Strips (Accu-Check) 1 box Strip [n/a], atorvastatin 20 mg tablet, Lancets (Accu-Check) 1 box Lancets [n/a], insulin glargine (lantus) 100 international units/mL injection, 3 mL prefilled pen, vitamin B complex (B1,B6,B12) 100,200,0.2 mg Film coated tablets [oral], calcium carbonate 600 mg - colecalciferol 200 international units Film coated tablets [oral], Strips (Accu-Check) 1 box Strip [n/a], atorvastatin 20 mg tablet, Lancets (Accu-Check) 1 box Lancets [n/a], insulin glargine (lantus) 100 international units/mL injection, 3 mL prefilled pen, vitamin B complex (B1,B6,B12) 100,200,0.2 mg Film coated tablets [oral], calcium carbonate 600 mg - colecalciferol 200 international units Film coated tablets [oral], Strips (Accu-Check) 1 box Strip [n/a], atorvastatin 20 mg tablet, Lancets (Accu-Check) 1 box Lancets [n/a], insulin glargine (lantus) 100 international units/mL injection, 3 mL prefilled pen, allopurinol 300 mg tablet, omeprazole 20 mg tablet: enteric coated, Insulin Pen Needle 4mm Needle [sc], allopurinol 300 mg tablet, omeprazole 20 mg tablet: enteric coated, Insulin Pen Needle 4mm Needle [sc], allopurinol 300 mg tablet, omeprazole 20 mg tablet: enteric coated, Insulin Pen Needle 4mm Needle [sc], allopurinol 300 mg tablet, omeprazole 20 mg tablet: enteric coated, Insulin Pen Needle 4mm Needle [sc], empagliflozin 10 mg tablet, insulin aspart 100 international units/mL injection, 3 mL prefilled pen, amLODIPine 5 mg tablet, empagliflozin 10 mg tablet, insulin aspart 100 international units/mL injection, 3 mL prefilled pen, amLODIPine 5 mg tablet, empagliflozin 10 mg tablet, insulin aspart 100 international units/mL injection, 3 mL prefilled pen, amLODIPine 5 mg tablet, empagliflozin 10 mg tablet, insulin aspart 100 international units/mL injection, 3 mL prefilled pen, amLODIPine 5 mg tablet, omeprazole 20 mg tablet: enteric coated, atorvastatin 20 mg tablet, insulin aspart 100 international units/mL injection, 3 mL prefilled pen, empagliflozin 10 mg tablet, valsartan 80 mg tablet, vitamin B complex (B1,B6,B12) 100,200,0.2 mg Film coated tablets [oral], apixaban 2.5 mg tablet, calcium carbonate 600 mg - colecalciferol 200 international units Film coated tablets [oral], Insulin Pen Needle 4mm Needle [sc], allopurinol 300 mg tablet, Strips (Accu-Check) 1 box Strip [n/a], Lancets (Accu-Check) 1 box Lancets [n/a], omeprazole 20 mg tablet: enteric coated, atorvastatin 20 mg tablet, insulin aspart 100 international units/mL injection, 3 mL prefilled pen, empagliflozin 10 mg tablet, valsartan 80 mg tablet, vitamin B complex (B1,B6,B12) 100,200,0.2 mg Film coated tablets [oral], apixaban 2.5 mg tablet, calcium carbonate 600 mg - colecalciferol 200 international units Film coated tablets [oral], Insulin Pen Needle 4mm Needle [sc], allopurinol 300 mg tablet, Strips (Accu-Check) 1 box Strip [n/a], Lancets (Accu-Check) 1 box Lancets [n/a], omeprazole 20 mg tablet: enteric coated, atorvastatin 20 mg tablet, insulin aspart 100 international units/mL injection, 3 mL prefilled pen, empagliflozin 10 mg tablet, valsartan 80 mg tablet, vitamin B complex (B1,B6,B12) 100,200,0.2 mg Film coated tablets [oral], apixaban 2.5 mg tablet, calcium carbonate 600 mg - colecalciferol 200 international units Film coated tablets [oral], Insulin Pen Needle 4mm Needle [sc], allopurinol 300 mg tablet, Strips (Accu-Check) 1 box Strip [n/a], Lancets (Accu-Check) 1 box Lancets [n/a], omeprazole 20 mg tablet: enteric coated, atorvastatin 20 mg tablet, insulin aspart 100 international units/mL injection, 3 mL prefilled pen, empagliflozin 10 mg tablet, valsartan 80 mg tablet, vitamin B complex (B1,B6,B12) 100,200,0.2 mg Film coated tablets [oral], apixaban 2.5 mg tablet, calcium carbonate 600 mg - colecalciferol 200 international units Film coated tablets [oral], Insulin Pen Needle 4mm Needle [sc], allopurinol 300 mg tablet, Strips (Accu-Check) 1 box Strip [n/a], Lancets (Accu-Check) 1 box Lancets [n/a], amLODIPine 5 mg tablet, amLODIPine 5 mg tablet, amLODIPine 5 mg tablet, amLODIPine 5 mg tablet</t>
  </si>
  <si>
    <t>سهام عمر الدقيل</t>
  </si>
  <si>
    <t>حنان علي معيض القحطانى</t>
  </si>
  <si>
    <t>vitamins (A, B, C, D, paracetamol, metFORMIN hydrochloride</t>
  </si>
  <si>
    <t>vitamins (A, B1, B2, B3, C, D3) tablet, paracetamol 500 mg tablet, vitamins (A, B1, B2, B3, C, D3) tablet, paracetamol 500 mg tablet, vitamins (A, B1, B2, B3, C, D3) tablet, paracetamol 500 mg tablet, vitamins (A, B1, B2, B3, C, D3) tablet, paracetamol 500 mg tablet, paracetamol 500 mg + codeine phosphate 8 mg + caffeine 30 mg tablet, paracetamol 500 mg + codeine phosphate 8 mg + caffeine 30 mg tablet, paracetamol 500 mg + codeine phosphate 8 mg + caffeine 30 mg tablet, paracetamol 500 mg + codeine phosphate 8 mg + caffeine 30 mg tablet, metFORMIN hydrochloride 750 mg tablet: modified release, metFORMIN hydrochloride 750 mg tablet: modified release, metFORMIN hydrochloride 750 mg tablet: modified release, metFORMIN hydrochloride 750 mg tablet: modified release, paracetamol 500 mg tablet, paracetamol 500 mg tablet, paracetamol 500 mg tablet, paracetamol 500 mg tablet, paracetamol 500 mg + codeine phosphate 8 mg + caffeine 30 mg tablet, metFORMIN hydrochloride 750 mg tablet: modified release, paracetamol 500 mg + codeine phosphate 8 mg + caffeine 30 mg tablet, metFORMIN hydrochloride 750 mg tablet: modified release, paracetamol 500 mg + codeine phosphate 8 mg + caffeine 30 mg tablet, metFORMIN hydrochloride 750 mg tablet: modified release, paracetamol 500 mg + codeine phosphate 8 mg + caffeine 30 mg tablet, metFORMIN hydrochloride 750 mg tablet: modified release, vitamins (A, B1, B2, B3, C, D3) tablet, vitamins (A, B1, B2, B3, C, D3) tablet, vitamins (A, B1, B2, B3, C, D3) tablet, vitamins (A, B1, B2, B3, C, D3) tablet, vitamins (A, B1, B2, B3, C, D3) tablet, vitamins (A, B1, B2, B3, C, D3) tablet, vitamins (A, B1, B2, B3, C, D3) tablet, vitamins (A, B1, B2, B3, C, D3) tablet, paracetamol 500 mg + codeine phosphate 8 mg + caffeine 30 mg tablet, paracetamol 500 mg tablet, metFORMIN hydrochloride 750 mg tablet: modified release, paracetamol 500 mg + codeine phosphate 8 mg + caffeine 30 mg tablet, paracetamol 500 mg tablet, metFORMIN hydrochloride 750 mg tablet: modified release, paracetamol 500 mg + codeine phosphate 8 mg + caffeine 30 mg tablet, paracetamol 500 mg tablet, metFORMIN hydrochloride 750 mg tablet: modified release, paracetamol 500 mg + codeine phosphate 8 mg + caffeine 30 mg tablet, paracetamol 500 mg tablet, metFORMIN hydrochloride 750 mg tablet: modified release</t>
  </si>
  <si>
    <t>طالعه سليمان عطيه الخضيري</t>
  </si>
  <si>
    <t>gliclazide, amLODIPine, SITagliptin, atorvastatin, valsartan, vitamin B complex (B, B, metFORMIN hydrochloride, levothyroxine sodium</t>
  </si>
  <si>
    <t>gliclazide 60 mg tablet: modified release, gliclazide 60 mg tablet: modified release, gliclazide 60 mg tablet: modified release, amLODIPine 5 mg tablet, SITagliptin 100 mg tablet, amLODIPine 5 mg tablet, SITagliptin 100 mg tablet, amLODIPine 5 mg tablet, SITagliptin 100 mg tablet, atorvastatin 20 mg tablet, atorvastatin 20 mg tablet, atorvastatin 20 mg tablet, gliclazide 60 mg tablet: modified release, gliclazide 60 mg tablet: modified release, gliclazide 60 mg tablet: modified release, valsartan 80 mg tablet, valsartan 80 mg tablet, valsartan 80 mg tablet, vitamin B complex (B1,B6,B12) 100,200,0.2 mg Film coated tablets [oral], metFORMIN hydrochloride 750 mg tablet: modified release, levothyroxine sodium 50 microgram tablet, vitamin B complex (B1,B6,B12) 100,200,0.2 mg Film coated tablets [oral], metFORMIN hydrochloride 750 mg tablet: modified release, levothyroxine sodium 50 microgram tablet, vitamin B complex (B1,B6,B12) 100,200,0.2 mg Film coated tablets [oral], metFORMIN hydrochloride 750 mg tablet: modified release, levothyroxine sodium 50 microgram tablet, amLODIPine 5 mg tablet, atorvastatin 20 mg tablet, amLODIPine 5 mg tablet, atorvastatin 20 mg tablet, amLODIPine 5 mg tablet, atorvastatin 20 mg tablet, SITagliptin 100 mg tablet, SITagliptin 100 mg tablet, SITagliptin 100 mg tablet, gliclazide 60 mg tablet: modified release, gliclazide 60 mg tablet: modified release, gliclazide 60 mg tablet: modified release, levothyroxine sodium 50 microgram tablet, vitamin B complex (B1,B6,B12) 100,200,0.2 mg Film coated tablets [oral], levothyroxine sodium 50 microgram tablet, vitamin B complex (B1,B6,B12) 100,200,0.2 mg Film coated tablets [oral], levothyroxine sodium 50 microgram tablet, vitamin B complex (B1,B6,B12) 100,200,0.2 mg Film coated tablets [oral], metFORMIN hydrochloride 750 mg tablet: modified release, valsartan 80 mg tablet, metFORMIN hydrochloride 750 mg tablet: modified release, valsartan 80 mg tablet, metFORMIN hydrochloride 750 mg tablet: modified release, valsartan 80 mg tablet, amLODIPine 5 mg tablet, SITagliptin 100 mg tablet, amLODIPine 5 mg tablet, SITagliptin 100 mg tablet, amLODIPine 5 mg tablet, SITagliptin 100 mg tablet, atorvastatin 20 mg tablet, atorvastatin 20 mg tablet, atorvastatin 20 mg tablet, vitamin B complex (B1,B6,B12) 100,200,0.2 mg Film coated tablets [oral], vitamin B complex (B1,B6,B12) 100,200,0.2 mg Film coated tablets [oral], vitamin B complex (B1,B6,B12) 100,200,0.2 mg Film coated tablets [oral], valsartan 80 mg tablet, valsartan 80 mg tablet, valsartan 80 mg tablet, levothyroxine sodium 50 microgram tablet, metFORMIN hydrochloride 750 mg tablet: modified release, levothyroxine sodium 50 microgram tablet, metFORMIN hydrochloride 750 mg tablet: modified release, levothyroxine sodium 50 microgram tablet, metFORMIN hydrochloride 750 mg tablet: modified release</t>
  </si>
  <si>
    <t>Diabetes, Dyslipidemia, Hypertension, Thyroid, Vitamins/Supplements</t>
  </si>
  <si>
    <t>عائض حسين عبدالله المالكي</t>
  </si>
  <si>
    <t>mebeverine hydrochloride, metFORMIN hydrochloride</t>
  </si>
  <si>
    <t>mebeverine hydrochloride 200 mg capsule: modified release, metFORMIN hydrochloride 500 mg tablet, mebeverine hydrochloride 200 mg capsule: modified release, metFORMIN hydrochloride 500 mg tablet, mebeverine hydrochloride 200 mg capsule: modified release, metFORMIN hydrochloride 500 mg tablet, mebeverine hydrochloride 200 mg capsule: modified release, metFORMIN hydrochloride 500 mg tablet, mebeverine hydrochloride 200 mg capsule: modified release, metFORMIN hydrochloride 500 mg tablet, mebeverine hydrochloride 200 mg capsule: modified release, metFORMIN hydrochloride 500 mg tablet, mebeverine hydrochloride 200 mg capsule: modified release, metFORMIN hydrochloride 500 mg tablet, metFORMIN hydrochloride 500 mg tablet, mebeverine hydrochloride 200 mg capsule: modified release, metFORMIN hydrochloride 500 mg tablet, mebeverine hydrochloride 200 mg capsule: modified release, metFORMIN hydrochloride 500 mg tablet, mebeverine hydrochloride 200 mg capsule: modified release, metFORMIN hydrochloride 500 mg tablet, mebeverine hydrochloride 200 mg capsule: modified release, metFORMIN hydrochloride 500 mg tablet, mebeverine hydrochloride 200 mg capsule: modified release, metFORMIN hydrochloride 500 mg tablet, mebeverine hydrochloride 200 mg capsule: modified release, metFORMIN hydrochloride 500 mg tablet, mebeverine hydrochloride 200 mg capsule: modified release, mebeverine hydrochloride 200 mg capsule: modified release, metFORMIN hydrochloride 500 mg tablet, mebeverine hydrochloride 200 mg capsule: modified release, metFORMIN hydrochloride 500 mg tablet, mebeverine hydrochloride 200 mg capsule: modified release, metFORMIN hydrochloride 500 mg tablet, mebeverine hydrochloride 200 mg capsule: modified release, metFORMIN hydrochloride 500 mg tablet, mebeverine hydrochloride 200 mg capsule: modified release, metFORMIN hydrochloride 500 mg tablet, mebeverine hydrochloride 200 mg capsule: modified release, metFORMIN hydrochloride 500 mg tablet, mebeverine hydrochloride 200 mg capsule: modified release, metFORMIN hydrochloride 500 mg tablet</t>
  </si>
  <si>
    <t>احمد محمد عبدالله قيسي</t>
  </si>
  <si>
    <t>atorvastatin, bisoprolol fumarate, perindopril arginine</t>
  </si>
  <si>
    <t>atorvastatin 20 mg tablet, bisoprolol fumarate 5 mg tablet, atorvastatin 20 mg tablet, bisoprolol fumarate 5 mg tablet, atorvastatin 20 mg tablet, bisoprolol fumarate 5 mg tablet, atorvastatin 20 mg tablet, bisoprolol fumarate 5 mg tablet, perindopril arginine 5 mg tablet, perindopril arginine 5 mg tablet, perindopril arginine 5 mg tablet, perindopril arginine 5 mg tablet, perindopril arginine 5 mg tablet, atorvastatin 20 mg tablet, perindopril arginine 5 mg tablet, atorvastatin 20 mg tablet, perindopril arginine 5 mg tablet, atorvastatin 20 mg tablet, perindopril arginine 5 mg tablet, atorvastatin 20 mg tablet, bisoprolol fumarate 5 mg tablet, bisoprolol fumarate 5 mg tablet, bisoprolol fumarate 5 mg tablet, bisoprolol fumarate 5 mg tablet</t>
  </si>
  <si>
    <t>ياسر جعفر محمد ثابت</t>
  </si>
  <si>
    <t>fenofibrate, celecoxib, allopurinol, rosuvastatin</t>
  </si>
  <si>
    <t>fenofibrate 145 mg tablet, celecoxib 200 mg capsule, fenofibrate 145 mg tablet, celecoxib 200 mg capsule, fenofibrate 145 mg tablet, celecoxib 200 mg capsule, fenofibrate 145 mg tablet, celecoxib 200 mg capsule, fenofibrate 145 mg tablet, celecoxib 200 mg capsule, fenofibrate 145 mg tablet, celecoxib 200 mg capsule, allopurinol 100 mg tablet, allopurinol 100 mg tablet, allopurinol 100 mg tablet, allopurinol 100 mg tablet, allopurinol 100 mg tablet, allopurinol 100 mg tablet, rosuvastatin 10 mg tablet, fenofibrate 145 mg tablet, rosuvastatin 10 mg tablet, fenofibrate 145 mg tablet, rosuvastatin 10 mg tablet, fenofibrate 145 mg tablet, rosuvastatin 10 mg tablet, fenofibrate 145 mg tablet, rosuvastatin 10 mg tablet, fenofibrate 145 mg tablet, rosuvastatin 10 mg tablet, fenofibrate 145 mg tablet, celecoxib 200 mg capsule, celecoxib 200 mg capsule, celecoxib 200 mg capsule, celecoxib 200 mg capsule, celecoxib 200 mg capsule, celecoxib 200 mg capsule, allopurinol 100 mg tablet, allopurinol 100 mg tablet, allopurinol 100 mg tablet, allopurinol 100 mg tablet, allopurinol 100 mg tablet, allopurinol 100 mg tablet, rosuvastatin 10 mg tablet, rosuvastatin 10 mg tablet, rosuvastatin 10 mg tablet, rosuvastatin 10 mg tablet, rosuvastatin 10 mg tablet, rosuvastatin 10 mg tablet, celecoxib 200 mg capsule, celecoxib 200 mg capsule, celecoxib 200 mg capsule, celecoxib 200 mg capsule, celecoxib 200 mg capsule, celecoxib 200 mg capsule, allopurinol 100 mg tablet, allopurinol 100 mg tablet, allopurinol 100 mg tablet, allopurinol 100 mg tablet, allopurinol 100 mg tablet, allopurinol 100 mg tablet, rosuvastatin 10 mg tablet, rosuvastatin 10 mg tablet, rosuvastatin 10 mg tablet, rosuvastatin 10 mg tablet, rosuvastatin 10 mg tablet, rosuvastatin 10 mg tablet, fenofibrate 145 mg tablet, fenofibrate 145 mg tablet, fenofibrate 145 mg tablet, fenofibrate 145 mg tablet, fenofibrate 145 mg tablet, fenofibrate 145 mg tablet</t>
  </si>
  <si>
    <t>محمد سالم عيظه الزهراني</t>
  </si>
  <si>
    <t>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t>
  </si>
  <si>
    <t>ناجي محمدعلي احمد بطيش</t>
  </si>
  <si>
    <t>sennosides</t>
  </si>
  <si>
    <t>sennosides 12 mg tablet, sennosides 12 mg tablet, sennosides 12 mg tablet, sennosides 12 mg tablet, sennosides 12 mg tablet, sennosides 12 mg tablet, sennosides 12 mg tablet, sennosides 12 mg tablet, sennosides 12 mg tablet, sennosides 12 mg tablet, sennosides 12 mg tablet, sennosides 12 mg tablet</t>
  </si>
  <si>
    <t>فردوس نجم الدين صلاح الدين سمرقندي</t>
  </si>
  <si>
    <t>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t>
  </si>
  <si>
    <t>صلاح عثمان سيد احمد حامد</t>
  </si>
  <si>
    <t>vitamin B complex (B, B, metFORMIN hydrochloride, acetylsalicylic acid, empagliflozin, SITagliptin</t>
  </si>
  <si>
    <t>vitamin B complex (B1,B6,B12) 100,200,0.2 mg Film coated tablets [oral], vitamin B complex (B1,B6,B12) 100,200,0.2 mg Film coated tablets [oral], vitamin B complex (B1,B6,B12) 100,200,0.2 mg Film coated tablets [oral], metFORMIN hydrochloride 750 mg tablet: modified release, acetylsalicylic acid 100 mg tablet: enteric coated, metFORMIN hydrochloride 750 mg tablet: modified release, acetylsalicylic acid 100 mg tablet: enteric coated, metFORMIN hydrochloride 750 mg tablet: modified release, acetylsalicylic acid 100 mg tablet: enteric coated, empagliflozin 10 mg tablet, empagliflozin 10 mg tablet, empagliflozin 10 mg tablet, SITagliptin 100 mg tablet, SITagliptin 100 mg tablet, SITagliptin 100 mg tablet</t>
  </si>
  <si>
    <t>عبدالباسط محمد احمد الاهدل</t>
  </si>
  <si>
    <t>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t>
  </si>
  <si>
    <t>فاطمه زيد عوده العبيدي</t>
  </si>
  <si>
    <t>levothyroxine sodium, fenofibrate, atorvastatin, amLODIPine, vitamin B complex (B, B, valsartan, metFORMIN hydrochloride</t>
  </si>
  <si>
    <t>levothyroxine sodium 25 microgram tablet, levothyroxine sodium 25 microgram tablet, levothyroxine sodium 25 microgram tablet, levothyroxine sodium 25 microgram tablet, levothyroxine sodium 25 microgram tablet, levothyroxine sodium 100 microgram tablet, levothyroxine sodium 100 microgram tablet, levothyroxine sodium 100 microgram tablet, levothyroxine sodium 100 microgram tablet, levothyroxine sodium 100 microgram tablet, fenofibrate 145 mg tablet, fenofibrate 145 mg tablet, fenofibrate 145 mg tablet, fenofibrate 145 mg tablet, fenofibrate 145 mg tablet, atorvastatin 10 mg tablet, amLODIPine 5 mg tablet, vitamin B complex (B1,B6,B12) 100,200,0.2 mg Film coated tablets [oral], atorvastatin 10 mg tablet, amLODIPine 5 mg tablet, vitamin B complex (B1,B6,B12) 100,200,0.2 mg Film coated tablets [oral], atorvastatin 10 mg tablet, amLODIPine 5 mg tablet, vitamin B complex (B1,B6,B12) 100,200,0.2 mg Film coated tablets [oral], atorvastatin 10 mg tablet, amLODIPine 5 mg tablet, vitamin B complex (B1,B6,B12) 100,200,0.2 mg Film coated tablets [oral], atorvastatin 10 mg tablet, amLODIPine 5 mg tablet, vitamin B complex (B1,B6,B12) 100,200,0.2 mg Film coated tablets [oral], valsartan 80 mg tablet, metFORMIN hydrochloride 500 mg tablet, valsartan 80 mg tablet, metFORMIN hydrochloride 500 mg tablet, valsartan 80 mg tablet, metFORMIN hydrochloride 500 mg tablet, valsartan 80 mg tablet, metFORMIN hydrochloride 500 mg tablet, valsartan 80 mg tablet, metFORMIN hydrochloride 500 mg tablet, levothyroxine sodium 100 microgram tablet, levothyroxine sodium 25 microgram tablet, metFORMIN hydrochloride 500 mg tablet, levothyroxine sodium 100 microgram tablet, levothyroxine sodium 25 microgram tablet, metFORMIN hydrochloride 500 mg tablet, levothyroxine sodium 100 microgram tablet, levothyroxine sodium 25 microgram tablet, metFORMIN hydrochloride 500 mg tablet, levothyroxine sodium 100 microgram tablet, levothyroxine sodium 25 microgram tablet, metFORMIN hydrochloride 500 mg tablet, levothyroxine sodium 100 microgram tablet, levothyroxine sodium 25 microgram tablet, metFORMIN hydrochloride 500 mg tablet, amLODIPine 5 mg tablet, vitamin B complex (B1,B6,B12) 100,200,0.2 mg Film coated tablets [oral], fenofibrate 145 mg tablet, valsartan 80 mg tablet, amLODIPine 5 mg tablet, vitamin B complex (B1,B6,B12) 100,200,0.2 mg Film coated tablets [oral], fenofibrate 145 mg tablet, valsartan 80 mg tablet, amLODIPine 5 mg tablet, vitamin B complex (B1,B6,B12) 100,200,0.2 mg Film coated tablets [oral], fenofibrate 145 mg tablet, valsartan 80 mg tablet, amLODIPine 5 mg tablet, vitamin B complex (B1,B6,B12) 100,200,0.2 mg Film coated tablets [oral], fenofibrate 145 mg tablet, valsartan 80 mg tablet, amLODIPine 5 mg tablet, vitamin B complex (B1,B6,B12) 100,200,0.2 mg Film coated tablets [oral], fenofibrate 145 mg tablet, valsartan 80 mg tablet, atorvastatin 10 mg tablet, atorvastatin 10 mg tablet, atorvastatin 10 mg tablet, atorvastatin 10 mg tablet, atorvastatin 10 mg tablet, fenofibrate 145 mg tablet, fenofibrate 145 mg tablet, fenofibrate 145 mg tablet, fenofibrate 145 mg tablet, fenofibrate 145 mg tablet, metFORMIN hydrochloride 500 mg tablet, valsartan 80 mg tablet, levothyroxine sodium 100 microgram tablet, metFORMIN hydrochloride 500 mg tablet, valsartan 80 mg tablet, levothyroxine sodium 100 microgram tablet, metFORMIN hydrochloride 500 mg tablet, valsartan 80 mg tablet, levothyroxine sodium 100 microgram tablet, metFORMIN hydrochloride 500 mg tablet, valsartan 80 mg tablet, levothyroxine sodium 100 microgram tablet, metFORMIN hydrochloride 500 mg tablet, valsartan 80 mg tablet, levothyroxine sodium 100 microgram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amLODIPine 5 mg tablet, levothyroxine sodium 25 microgram tablet, amLODIPine 5 mg tablet, levothyroxine sodium 25 microgram tablet, amLODIPine 5 mg tablet, levothyroxine sodium 25 microgram tablet, amLODIPine 5 mg tablet, levothyroxine sodium 25 microgram tablet, amLODIPine 5 mg tablet, levothyroxine sodium 25 microgram tablet, atorvastatin 10 mg tablet, atorvastatin 10 mg tablet, atorvastatin 10 mg tablet, atorvastatin 10 mg tablet, atorvastatin 10 mg tablet</t>
  </si>
  <si>
    <t>محمد ابن علي ابن جاسر العساف</t>
  </si>
  <si>
    <t>Insulin Pen Needle</t>
  </si>
  <si>
    <t>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t>
  </si>
  <si>
    <t>رقيه هشبول سعد الغامدي</t>
  </si>
  <si>
    <t>perindopril arginine, amLODIPine</t>
  </si>
  <si>
    <t>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amLODIPine 5 mg tablet, amLODIPine 5 mg tablet, amLODIPine 5 mg tablet, amLODIPine 5 mg tablet, amLODIPine 5 mg tablet, amLODIPine 5 mg tablet, amLODIPine 5 mg tablet, amLODIPine 5 mg tablet, amLODIPine 5 mg tablet, amLODIPine 5 mg tablet, perindopril arginine 5 mg tablet, perindopril arginine 5 mg tablet, perindopril arginine 5 mg tablet, perindopril arginine 5 mg tablet, perindopril arginine 5 mg tablet, amLODIPine 5 mg tablet, amLODIPine 5 mg tablet, amLODIPine 5 mg tablet, amLODIPine 5 mg tablet, amLODIPine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amLODIPine 5 mg tablet, amLODIPine 5 mg tablet, amLODIPine 5 mg tablet, amLODIPine 5 mg tablet, amLODIPine 5 mg tablet, amLODIPine 5 mg tablet, perindopril arginine 5 mg tablet, amLODIPine 5 mg tablet, perindopril arginine 5 mg tablet, amLODIPine 5 mg tablet, perindopril arginine 5 mg tablet, amLODIPine 5 mg tablet, perindopril arginine 5 mg tablet, amLODIPine 5 mg tablet, perindopril arginine 5 mg tablet, amLODIPine 5 mg tablet, perindopril arginine 5 mg tablet, amLODIPine 5 mg tablet, perindopril arginine 5 mg tablet, amLODIPine 5 mg tablet, perindopril arginine 5 mg tablet, amLODIPine 5 mg tablet, perindopril arginine 5 mg tablet, amLODIPine 5 mg tablet, perindopril arginine 5 mg tablet, amLODIPine 5 mg tablet, amLODIPine 5 mg tablet, amLODIPine 5 mg tablet, amLODIPine 5 mg tablet, amLODIPine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amLODIPine 5 mg tablet, amLODIPine 5 mg tablet, amLODIPine 5 mg tablet, amLODIPine 5 mg tablet, amLODIPine 5 mg tablet</t>
  </si>
  <si>
    <t>صالحه مسفر عمودي الغامدي</t>
  </si>
  <si>
    <t>atorvastatin, metFORMIN hydrochloride, insulin glargine (lantus), acetylsalicylic acid, bisoprolol fumarate, perindopril arginine, amLODIPine, levothyroxine sodium</t>
  </si>
  <si>
    <t>atorvastatin 20 mg tablet, metFORMIN hydrochloride 750 mg tablet: modified release, insulin glargine (lantus) 100 international units/mL injection, 3 mL prefilled pen, acetylsalicylic acid 100 mg tablet: enteric coated, atorvastatin 20 mg tablet, metFORMIN hydrochloride 750 mg tablet: modified release, insulin glargine (lantus) 100 international units/mL injection, 3 mL prefilled pen, acetylsalicylic acid 100 mg tablet: enteric coated, atorvastatin 20 mg tablet, metFORMIN hydrochloride 750 mg tablet: modified release, insulin glargine (lantus) 100 international units/mL injection, 3 mL prefilled pen, acetylsalicylic acid 100 mg tablet: enteric coated, atorvastatin 20 mg tablet, metFORMIN hydrochloride 750 mg tablet: modified release, insulin glargine (lantus) 100 international units/mL injection, 3 mL prefilled pen, acetylsalicylic acid 100 mg tablet: enteric coated, atorvastatin 20 mg tablet, metFORMIN hydrochloride 750 mg tablet: modified release, insulin glargine (lantus) 100 international units/mL injection, 3 mL prefilled pen, acetylsalicylic acid 100 mg tablet: enteric coated, bisoprolol fumarate 5 mg tablet, perindopril arginine 5 mg tablet, amLODIPine 5 mg tablet, levothyroxine sodium 100 microgram tablet, bisoprolol fumarate 5 mg tablet, perindopril arginine 5 mg tablet, amLODIPine 5 mg tablet, levothyroxine sodium 100 microgram tablet, bisoprolol fumarate 5 mg tablet, perindopril arginine 5 mg tablet, amLODIPine 5 mg tablet, levothyroxine sodium 100 microgram tablet, bisoprolol fumarate 5 mg tablet, perindopril arginine 5 mg tablet, amLODIPine 5 mg tablet, levothyroxine sodium 100 microgram tablet, bisoprolol fumarate 5 mg tablet, perindopril arginine 5 mg tablet, amLODIPine 5 mg tablet, levothyroxine sodium 100 microgram tablet, acetylsalicylic acid 100 mg tablet: enteric coated, amLODIPine 5 mg tablet, acetylsalicylic acid 100 mg tablet: enteric coated, amLODIPine 5 mg tablet, acetylsalicylic acid 100 mg tablet: enteric coated, amLODIPine 5 mg tablet, acetylsalicylic acid 100 mg tablet: enteric coated, amLODIPine 5 mg tablet, acetylsalicylic acid 100 mg tablet: enteric coated, amLODIPine 5 mg tablet, levothyroxine sodium 100 microgram tablet, bisoprolol fumarate 5 mg tablet, insulin glargine (lantus) 100 international units/mL injection, 3 mL prefilled pen, perindopril arginine 5 mg tablet, levothyroxine sodium 100 microgram tablet, bisoprolol fumarate 5 mg tablet, insulin glargine (lantus) 100 international units/mL injection, 3 mL prefilled pen, perindopril arginine 5 mg tablet, levothyroxine sodium 100 microgram tablet, bisoprolol fumarate 5 mg tablet, insulin glargine (lantus) 100 international units/mL injection, 3 mL prefilled pen, perindopril arginine 5 mg tablet, levothyroxine sodium 100 microgram tablet, bisoprolol fumarate 5 mg tablet, insulin glargine (lantus) 100 international units/mL injection, 3 mL prefilled pen, perindopril arginine 5 mg tablet, levothyroxine sodium 100 microgram tablet, bisoprolol fumarate 5 mg tablet, insulin glargine (lantus) 100 international units/mL injection, 3 mL prefilled pen, perindopril arginine 5 mg tablet, atorvastatin 20 mg tablet, metFORMIN hydrochloride 750 mg tablet: modified release, atorvastatin 20 mg tablet, metFORMIN hydrochloride 750 mg tablet: modified release, atorvastatin 20 mg tablet, metFORMIN hydrochloride 750 mg tablet: modified release, atorvastatin 20 mg tablet, metFORMIN hydrochloride 750 mg tablet: modified release, atorvastatin 20 mg tablet, metFORMIN hydrochloride 750 mg tablet: modified release, atorvastatin 20 mg tablet, bisoprolol fumarate 5 mg tablet, atorvastatin 20 mg tablet, bisoprolol fumarate 5 mg tablet, atorvastatin 20 mg tablet, bisoprolol fumarate 5 mg tablet, atorvastatin 20 mg tablet, bisoprolol fumarate 5 mg tablet, atorvastatin 20 mg tablet, bisoprolol fumarate 5 mg tablet, amLODIPine 5 mg tablet, acetylsalicylic acid 100 mg tablet: enteric coated, amLODIPine 5 mg tablet, acetylsalicylic acid 100 mg tablet: enteric coated, amLODIPine 5 mg tablet, acetylsalicylic acid 100 mg tablet: enteric coated, amLODIPine 5 mg tablet, acetylsalicylic acid 100 mg tablet: enteric coated, amLODIPine 5 mg tablet, acetylsalicylic acid 100 mg tablet: enteric coated, insulin glargine (lantus) 100 international units/mL injection, 3 mL prefilled pen, bisoprolol fumarate 5 mg tablet, metFORMIN hydrochloride 750 mg tablet: modified release, levothyroxine sodium 100 microgram tablet, atorvastatin 20 mg tablet, insulin glargine (lantus) 100 international units/mL injection, 3 mL prefilled pen, bisoprolol fumarate 5 mg tablet, metFORMIN hydrochloride 750 mg tablet: modified release, levothyroxine sodium 100 microgram tablet, atorvastatin 20 mg tablet, insulin glargine (lantus) 100 international units/mL injection, 3 mL prefilled pen, bisoprolol fumarate 5 mg tablet, metFORMIN hydrochloride 750 mg tablet: modified release, levothyroxine sodium 100 microgram tablet, atorvastatin 20 mg tablet, insulin glargine (lantus) 100 international units/mL injection, 3 mL prefilled pen, bisoprolol fumarate 5 mg tablet, metFORMIN hydrochloride 750 mg tablet: modified release, levothyroxine sodium 100 microgram tablet, atorvastatin 20 mg tablet, insulin glargine (lantus) 100 international units/mL injection, 3 mL prefilled pen, bisoprolol fumarate 5 mg tablet, metFORMIN hydrochloride 750 mg tablet: modified release, levothyroxine sodium 100 microgram tablet, atorvastatin 20 mg tablet, perindopril arginine 5 mg tablet, perindopril arginine 5 mg tablet, perindopril arginine 5 mg tablet, perindopril arginine 5 mg tablet, perindopril arginine 5 mg tablet, levothyroxine sodium 100 microgram tablet, levothyroxine sodium 100 microgram tablet, levothyroxine sodium 100 microgram tablet, levothyroxine sodium 100 microgram tablet, levothyroxine sodium 100 microgram tablet, bisoprolol fumarate 5 mg tablet, metFORMIN hydrochloride 750 mg tablet: modified release, perindopril arginine 5 mg tablet, bisoprolol fumarate 5 mg tablet, metFORMIN hydrochloride 750 mg tablet: modified release, perindopril arginine 5 mg tablet, bisoprolol fumarate 5 mg tablet, metFORMIN hydrochloride 750 mg tablet: modified release, perindopril arginine 5 mg tablet, bisoprolol fumarate 5 mg tablet, metFORMIN hydrochloride 750 mg tablet: modified release, perindopril arginine 5 mg tablet, bisoprolol fumarate 5 mg tablet, metFORMIN hydrochloride 750 mg tablet: modified release, perindopril arginine 5 mg tablet, amLODIPine 5 mg tablet, amLODIPine 5 mg tablet, amLODIPine 5 mg tablet, amLODIPine 5 mg tablet, amLODIPine 5 mg tablet, acetylsalicylic acid 100 mg tablet: enteric coated, insulin glargine (lantus) 100 international units/mL injection, 3 mL prefilled pen, acetylsalicylic acid 100 mg tablet: enteric coated, insulin glargine (lantus) 100 international units/mL injection, 3 mL prefilled pen, acetylsalicylic acid 100 mg tablet: enteric coated, insulin glargine (lantus) 100 international units/mL injection, 3 mL prefilled pen, acetylsalicylic acid 100 mg tablet: enteric coated, insulin glargine (lantus) 100 international units/mL injection, 3 mL prefilled pen, acetylsalicylic acid 100 mg tablet: enteric coated, insulin glargine (lantus) 100 international units/mL injection, 3 mL prefilled pen, atorvastatin 20 mg tablet, atorvastatin 20 mg tablet, atorvastatin 20 mg tablet, atorvastatin 20 mg tablet, atorvastatin 20 mg tablet, acetylsalicylic acid 100 mg tablet: enteric coated, acetylsalicylic acid 100 mg tablet: enteric coated, acetylsalicylic acid 100 mg tablet: enteric coated, acetylsalicylic acid 100 mg tablet: enteric coated, acetylsalicylic acid 100 mg tablet: enteric coated, levothyroxine sodium 100 microgram tablet, levothyroxine sodium 100 microgram tablet, levothyroxine sodium 100 microgram tablet, levothyroxine sodium 100 microgram tablet, levothyroxine sodium 100 microgram tablet, amLODIPine 5 mg tablet, amLODIPine 5 mg tablet, amLODIPine 5 mg tablet, amLODIPine 5 mg tablet, amLODIPine 5 mg tablet</t>
  </si>
  <si>
    <t>Antiplatelet, Diabetes, Dyslipidemia, Hypertension, Thyroid</t>
  </si>
  <si>
    <t>مريم صالح احمد طيب</t>
  </si>
  <si>
    <t>colecalciferol 1 000 international units capsule, colecalciferol 1 000 international units capsule, colecalciferol 1 000 international units capsule, colecalciferol 1 000 international units capsule</t>
  </si>
  <si>
    <t>سميره منصور حسين فقيه</t>
  </si>
  <si>
    <t>vitamin B complex (B, B, amLODIPine, perindopril arginine, metFORMIN hydrochloride</t>
  </si>
  <si>
    <t>vitamin B complex (B1,B6,B12) 100,200,0.2 mg Film coated tablets [oral], vitamin B complex (B1,B6,B12) 100,200,0.2 mg Film coated tablets [oral], amLODIPine 5 mg tablet, amLODIPine 5 mg tablet, perindopril arginine 5 mg tablet, perindopril arginine 5 mg tablet, metFORMIN hydrochloride 500 mg tablet, metFORMIN hydrochloride 500 mg tablet, metFORMIN hydrochloride 500 mg tablet, amLODIPine 5 mg tablet, metFORMIN hydrochloride 500 mg tablet, amLODIPine 5 mg tablet, vitamin B complex (B1,B6,B12) 100,200,0.2 mg Film coated tablets [oral], perindopril arginine 5 mg tablet, vitamin B complex (B1,B6,B12) 100,200,0.2 mg Film coated tablets [oral], perindopril arginine 5 mg tablet</t>
  </si>
  <si>
    <t>محمد عبدالله علي الغامدي</t>
  </si>
  <si>
    <t>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t>
  </si>
  <si>
    <t>ناديه رضا خياط</t>
  </si>
  <si>
    <t>atorvastatin, allopurinol, vitamin B complex (B, B</t>
  </si>
  <si>
    <t>atorvastatin 20 mg tablet, allopurinol 100 mg tablet, vitamin B complex (B1,B6,B12) 100,100,0.15 mg Film coated tablets [oral], atorvastatin 20 mg tablet, allopurinol 100 mg tablet, vitamin B complex (B1,B6,B12) 100,100,0.15 mg Film coated tablets [oral], atorvastatin 20 mg tablet, allopurinol 100 mg tablet, vitamin B complex (B1,B6,B12) 100,100,0.15 mg Film coated tablets [oral], atorvastatin 20 mg tablet, allopurinol 100 mg tablet, vitamin B complex (B1,B6,B12) 100,100,0.15 mg Film coated tablets [oral], atorvastatin 20 mg tablet, allopurinol 100 mg tablet, vitamin B complex (B1,B6,B12) 100,100,0.15 mg Film coated tablets [oral], atorvastatin 20 mg tablet, allopurinol 100 mg tablet, vitamin B complex (B1,B6,B12) 100,100,0.15 mg Film coated tablets [oral], atorvastatin 20 mg tablet, allopurinol 100 mg tablet, vitamin B complex (B1,B6,B12) 100,100,0.15 mg Film coated tablets [oral], atorvastatin 20 mg tablet, allopurinol 100 mg tablet, vitamin B complex (B1,B6,B12) 100,100,0.15 mg Film coated tablets [oral], atorvastatin 20 mg tablet, allopurinol 100 mg tablet, vitamin B complex (B1,B6,B12) 100,100,0.15 mg Film coated tablets [oral], atorvastatin 20 mg tablet, allopurinol 100 mg tablet, vitamin B complex (B1,B6,B12) 100,100,0.15 mg Film coated tablets [oral], atorvastatin 20 mg tablet, allopurinol 100 mg tablet, vitamin B complex (B1,B6,B12) 100,100,0.15 mg Film coated tablets [oral], atorvastatin 20 mg tablet, allopurinol 100 mg tablet, vitamin B complex (B1,B6,B12) 100,100,0.15 mg Film coated tablets [oral], allopurinol 100 mg tablet, atorvastatin 20 mg tablet, allopurinol 100 mg tablet, atorvastatin 20 mg tablet, allopurinol 100 mg tablet, atorvastatin 20 mg tablet, allopurinol 100 mg tablet, atorvastatin 20 mg tablet, allopurinol 100 mg tablet, atorvastatin 20 mg tablet, allopurinol 100 mg tablet, atorvastatin 20 mg tablet, allopurinol 100 mg tablet, atorvastatin 20 mg tablet, allopurinol 100 mg tablet, atorvastatin 20 mg tablet, allopurinol 100 mg tablet, atorvastatin 20 mg tablet, allopurinol 100 mg tablet, atorvastatin 20 mg tablet, allopurinol 100 mg tablet, atorvastatin 20 mg tablet, allopurinol 100 mg tablet, atorvastatin 20 mg tablet,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allopurinol 100 mg tablet, allopurinol 100 mg tablet, allopurinol 100 mg tablet, allopurinol 100 mg tablet, allopurinol 100 mg tablet, allopurinol 100 mg tablet, allopurinol 100 mg tablet, allopurinol 100 mg tablet, allopurinol 100 mg tablet, allopurinol 100 mg tablet, allopurinol 100 mg tablet, allopurinol 100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allopurinol 100 mg tablet, allopurinol 100 mg tablet, allopurinol 100 mg tablet, allopurinol 100 mg tablet, allopurinol 100 mg tablet, allopurinol 100 mg tablet, allopurinol 100 mg tablet, allopurinol 100 mg tablet, allopurinol 100 mg tablet, allopurinol 100 mg tablet, allopurinol 100 mg tablet, allopurinol 100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allopurinol 100 mg tablet, allopurinol 100 mg tablet, allopurinol 100 mg tablet, allopurinol 100 mg tablet, allopurinol 100 mg tablet, allopurinol 100 mg tablet, allopurinol 100 mg tablet, allopurinol 100 mg tablet, allopurinol 100 mg tablet, allopurinol 100 mg tablet, allopurinol 100 mg tablet, allopurinol 100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vitamin B complex (B1,B6,B12) 100,100,0.15 mg Film coated tablets [oral], atorvastatin 20 mg tablet, vitamin B complex (B1,B6,B12) 100,100,0.15 mg Film coated tablets [oral], atorvastatin 20 mg tablet, vitamin B complex (B1,B6,B12) 100,100,0.15 mg Film coated tablets [oral], atorvastatin 20 mg tablet, vitamin B complex (B1,B6,B12) 100,100,0.15 mg Film coated tablets [oral], atorvastatin 20 mg tablet, vitamin B complex (B1,B6,B12) 100,100,0.15 mg Film coated tablets [oral], atorvastatin 20 mg tablet, vitamin B complex (B1,B6,B12) 100,100,0.15 mg Film coated tablets [oral], atorvastatin 20 mg tablet, vitamin B complex (B1,B6,B12) 100,100,0.15 mg Film coated tablets [oral], atorvastatin 20 mg tablet, vitamin B complex (B1,B6,B12) 100,100,0.15 mg Film coated tablets [oral], atorvastatin 20 mg tablet, vitamin B complex (B1,B6,B12) 100,100,0.15 mg Film coated tablets [oral], atorvastatin 20 mg tablet, vitamin B complex (B1,B6,B12) 100,100,0.15 mg Film coated tablets [oral], atorvastatin 20 mg tablet, vitamin B complex (B1,B6,B12) 100,100,0.15 mg Film coated tablets [oral], atorvastatin 20 mg tablet, vitamin B complex (B1,B6,B12) 100,100,0.15 mg Film coated tablets [oral], atorvastatin 20 mg tablet, allopurinol 100 mg tablet, allopurinol 100 mg tablet, allopurinol 100 mg tablet, allopurinol 100 mg tablet, allopurinol 100 mg tablet, allopurinol 100 mg tablet, allopurinol 100 mg tablet, allopurinol 100 mg tablet, allopurinol 100 mg tablet, allopurinol 100 mg tablet, allopurinol 100 mg tablet, allopurinol 100 mg tablet</t>
  </si>
  <si>
    <t>عبدالله ابوبكر علي باحداد</t>
  </si>
  <si>
    <t>metFORMIN hydrochloride, atorvastatin, clopidogrel, vitamin B complex (B, B</t>
  </si>
  <si>
    <t>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atorvastatin 10 mg tablet, clopidogrel 75 mg tablet, vitamin B complex (B1,B6,B12) 100,200,0.2 mg Film coated tablets [oral], atorvastatin 10 mg tablet, clopidogrel 75 mg tablet, vitamin B complex (B1,B6,B12) 100,200,0.2 mg Film coated tablets [oral], atorvastatin 10 mg tablet, clopidogrel 75 mg tablet, vitamin B complex (B1,B6,B12) 100,200,0.2 mg Film coated tablets [oral], atorvastatin 10 mg tablet, clopidogrel 75 mg tablet, vitamin B complex (B1,B6,B12) 100,200,0.2 mg Film coated tablets [oral], atorvastatin 10 mg tablet, clopidogrel 75 mg tablet, vitamin B complex (B1,B6,B12) 100,200,0.2 mg Film coated tablets [oral], atorvastatin 10 mg tablet, clopidogrel 75 mg tablet, vitamin B complex (B1,B6,B12) 100,200,0.2 mg Film coated tablets [oral], atorvastatin 10 mg tablet, atorvastatin 10 mg tablet, atorvastatin 10 mg tablet, atorvastatin 10 mg tablet, atorvastatin 10 mg tablet, atorvastatin 10 mg tablet, clopidogrel 75 mg tablet, clopidogrel 75 mg tablet, clopidogrel 75 mg tablet, clopidogrel 75 mg tablet, clopidogrel 75 mg tablet, clopidogrel 75 mg tablet, metFORMIN hydrochloride 750 mg tablet: modified release, vitamin B complex (B1,B6,B12) 100,200,0.2 mg Film coated tablets [oral], metFORMIN hydrochloride 750 mg tablet: modified release, vitamin B complex (B1,B6,B12) 100,200,0.2 mg Film coated tablets [oral], metFORMIN hydrochloride 750 mg tablet: modified release, vitamin B complex (B1,B6,B12) 100,200,0.2 mg Film coated tablets [oral], metFORMIN hydrochloride 750 mg tablet: modified release, vitamin B complex (B1,B6,B12) 100,200,0.2 mg Film coated tablets [oral], metFORMIN hydrochloride 750 mg tablet: modified release, vitamin B complex (B1,B6,B12) 100,200,0.2 mg Film coated tablets [oral], metFORMIN hydrochloride 750 mg tablet: modified release, vitamin B complex (B1,B6,B12) 100,200,0.2 mg Film coated tablets [oral], atorvastatin 10 mg tablet, atorvastatin 10 mg tablet, atorvastatin 10 mg tablet, atorvastatin 10 mg tablet, atorvastatin 10 mg tablet, atorvastatin 10 mg tablet, clopidogrel 75 mg tablet, clopidogrel 75 mg tablet, clopidogrel 75 mg tablet, clopidogrel 75 mg tablet, clopidogrel 75 mg tablet, clopidogrel 75 mg tablet, metFORMIN hydrochloride 750 mg tablet: modified release, vitamin B complex (B1,B6,B12) 100,200,0.2 mg Film coated tablets [oral], metFORMIN hydrochloride 750 mg tablet: modified release, vitamin B complex (B1,B6,B12) 100,200,0.2 mg Film coated tablets [oral], metFORMIN hydrochloride 750 mg tablet: modified release, vitamin B complex (B1,B6,B12) 100,200,0.2 mg Film coated tablets [oral], metFORMIN hydrochloride 750 mg tablet: modified release, vitamin B complex (B1,B6,B12) 100,200,0.2 mg Film coated tablets [oral], metFORMIN hydrochloride 750 mg tablet: modified release, vitamin B complex (B1,B6,B12) 100,200,0.2 mg Film coated tablets [oral], metFORMIN hydrochloride 750 mg tablet: modified release, vitamin B complex (B1,B6,B12) 100,200,0.2 mg Film coated tablets [oral], vitamin B complex (B1,B6,B12) 100,200,0.2 mg Film coated tablets [oral], clopidogrel 75 mg tablet, vitamin B complex (B1,B6,B12) 100,200,0.2 mg Film coated tablets [oral], clopidogrel 75 mg tablet, vitamin B complex (B1,B6,B12) 100,200,0.2 mg Film coated tablets [oral], clopidogrel 75 mg tablet, vitamin B complex (B1,B6,B12) 100,200,0.2 mg Film coated tablets [oral], clopidogrel 75 mg tablet, vitamin B complex (B1,B6,B12) 100,200,0.2 mg Film coated tablets [oral], clopidogrel 75 mg tablet, vitamin B complex (B1,B6,B12) 100,200,0.2 mg Film coated tablets [oral], clopidogrel 75 mg tablet,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atorvastatin 10 mg tablet, atorvastatin 10 mg tablet, atorvastatin 10 mg tablet, atorvastatin 10 mg tablet, atorvastatin 10 mg tablet, atorvastatin 10 mg tablet</t>
  </si>
  <si>
    <t>حسين زيد حسين عوده</t>
  </si>
  <si>
    <t>empagliflozin, atorvastatin, omeprazole, SITagliptin, metFORMIN hydrochloride, escitalopram, tamsulosin hydrochloride</t>
  </si>
  <si>
    <t>empagliflozin 25 mg tablet, empagliflozin 25 mg tablet, empagliflozin 25 mg tablet, atorvastatin 20 mg tablet, omeprazole 20 mg tablet: enteric coated, SITagliptin 100 mg tablet, atorvastatin 20 mg tablet, omeprazole 20 mg tablet: enteric coated, SITagliptin 100 mg tablet, atorvastatin 20 mg tablet, omeprazole 20 mg tablet: enteric coated, SITagliptin 100 mg tablet, metFORMIN hydrochloride 750 mg tablet: modified release, escitalopram 10 mg tablet, tamsulosin hydrochloride 400 microgram tablet: modified release, metFORMIN hydrochloride 750 mg tablet: modified release, escitalopram 10 mg tablet, tamsulosin hydrochloride 400 microgram tablet: modified release, metFORMIN hydrochloride 750 mg tablet: modified release, escitalopram 10 mg tablet, tamsulosin hydrochloride 400 microgram tablet: modified release, SITagliptin 100 mg tablet, SITagliptin 100 mg tablet, SITagliptin 100 mg tablet, metFORMIN hydrochloride 750 mg tablet: modified release, metFORMIN hydrochloride 750 mg tablet: modified release, metFORMIN hydrochloride 750 mg tablet: modified release, omeprazole 20 mg tablet: enteric coated, omeprazole 20 mg tablet: enteric coated, omeprazole 20 mg tablet: enteric coated, empagliflozin 25 mg tablet, atorvastatin 20 mg tablet, escitalopram 10 mg tablet, empagliflozin 25 mg tablet, atorvastatin 20 mg tablet, escitalopram 10 mg tablet, empagliflozin 25 mg tablet, atorvastatin 20 mg tablet, escitalopram 10 mg tablet, tamsulosin hydrochloride 400 microgram tablet: modified release, tamsulosin hydrochloride 400 microgram tablet: modified release, tamsulosin hydrochloride 400 microgram tablet: modified release, empagliflozin 25 mg tablet, omeprazole 20 mg tablet: enteric coated, empagliflozin 25 mg tablet, omeprazole 20 mg tablet: enteric coated, empagliflozin 25 mg tablet, omeprazole 20 mg tablet: enteric coated, escitalopram 10 mg tablet, metFORMIN hydrochloride 750 mg tablet: modified release, escitalopram 10 mg tablet, metFORMIN hydrochloride 750 mg tablet: modified release, escitalopram 10 mg tablet, metFORMIN hydrochloride 750 mg tablet: modified release, atorvastatin 20 mg tablet, tamsulosin hydrochloride 400 microgram tablet: modified release, SITagliptin 100 mg tablet, atorvastatin 20 mg tablet, tamsulosin hydrochloride 400 microgram tablet: modified release, SITagliptin 100 mg tablet, atorvastatin 20 mg tablet, tamsulosin hydrochloride 400 microgram tablet: modified release, SITagliptin 100 mg tablet, SITagliptin 100 mg tablet, SITagliptin 100 mg tablet, SITagliptin 100 mg tablet, escitalopram 10 mg tablet, atorvastatin 20 mg tablet, empagliflozin 25 mg tablet, escitalopram 10 mg tablet, atorvastatin 20 mg tablet, empagliflozin 25 mg tablet, escitalopram 10 mg tablet, atorvastatin 20 mg tablet, empagliflozin 25 mg tablet, tamsulosin hydrochloride 400 microgram tablet: modified release, tamsulosin hydrochloride 400 microgram tablet: modified release, tamsulosin hydrochloride 400 microgram tablet: modified release, metFORMIN hydrochloride 750 mg tablet: modified release, metFORMIN hydrochloride 750 mg tablet: modified release, metFORMIN hydrochloride 750 mg tablet: modified release, escitalopram 10 mg tablet, SITagliptin 100 mg tablet, empagliflozin 25 mg tablet, atorvastatin 20 mg tablet, escitalopram 10 mg tablet, SITagliptin 100 mg tablet, empagliflozin 25 mg tablet, atorvastatin 20 mg tablet, escitalopram 10 mg tablet, SITagliptin 100 mg tablet, empagliflozin 25 mg tablet, atorvastatin 20 mg tablet, omeprazole 20 mg tablet: enteric coated, tamsulosin hydrochloride 400 microgram tablet: modified release, omeprazole 20 mg tablet: enteric coated, tamsulosin hydrochloride 400 microgram tablet: modified release, omeprazole 20 mg tablet: enteric coated, tamsulosin hydrochloride 400 microgram tablet: modified release</t>
  </si>
  <si>
    <t>عنايه بنت عنايةالله بن دخيل العبيدي</t>
  </si>
  <si>
    <t>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t>
  </si>
  <si>
    <t>ملكه عيد محمد شحات</t>
  </si>
  <si>
    <t>rosuvastatin, bisoprolol fumarate, vitamins (A, B, C, D, vitamin B complex (B, calcium carbonate, perindopril arginine, levothyroxine sodium</t>
  </si>
  <si>
    <t>rosuvastatin 10 mg tablet, bisoprolol fumarate 5 mg tablet, rosuvastatin 10 mg tablet, bisoprolol fumarate 5 mg tablet, rosuvastatin 10 mg tablet, bisoprolol fumarate 5 mg tablet, rosuvastatin 10 mg tablet, bisoprolol fumarate 5 mg tablet, rosuvastatin 10 mg tablet, bisoprolol fumarate 5 mg tablet, rosuvastatin 10 mg tablet, bisoprolol fumarate 5 mg tablet, rosuvastatin 10 mg tablet, bisoprolol fumarate 5 mg tablet, vitamins (A, B1, B2, B3, C, D3) tablet, vitamins (A, B1, B2, B3, C, D3) tablet, vitamins (A, B1, B2, B3, C, D3) tablet, vitamins (A, B1, B2, B3, C, D3) tablet, vitamins (A, B1, B2, B3, C, D3) tablet, vitamins (A, B1, B2, B3, C, D3) tablet, vitamins (A, B1, B2, B3, C, D3) tablet, vitamin B complex (B1,B6,B12) 100,200,0.2 mg Film coated tablets [oral], calcium carbonate 600 mg - colecalciferol 200 international units Film coated tablets [oral], vitamin B complex (B1,B6,B12) 100,200,0.2 mg Film coated tablets [oral], calcium carbonate 600 mg - colecalciferol 200 international units Film coated tablets [oral], vitamin B complex (B1,B6,B12) 100,200,0.2 mg Film coated tablets [oral], calcium carbonate 600 mg - colecalciferol 200 international units Film coated tablets [oral], vitamin B complex (B1,B6,B12) 100,200,0.2 mg Film coated tablets [oral], calcium carbonate 600 mg - colecalciferol 200 international units Film coated tablets [oral], vitamin B complex (B1,B6,B12) 100,200,0.2 mg Film coated tablets [oral], calcium carbonate 600 mg - colecalciferol 200 international units Film coated tablets [oral], vitamin B complex (B1,B6,B12) 100,200,0.2 mg Film coated tablets [oral], calcium carbonate 600 mg - colecalciferol 200 international units Film coated tablets [oral], vitamin B complex (B1,B6,B12) 100,200,0.2 mg Film coated tablets [oral], calcium carbonate 600 mg - colecalciferol 200 international units Film coated tablets [oral], perindopril arginine 5 mg tablet, perindopril arginine 5 mg tablet, perindopril arginine 5 mg tablet, perindopril arginine 5 mg tablet, perindopril arginine 5 mg tablet, perindopril arginine 5 mg tablet, perindopril arginine 5 mg tablet, levothyroxine sodium 25 microgram tablet, gliclazide 30 mg tablet: modified release, levothyroxine sodium 25 microgram tablet, gliclazide 30 mg tablet: modified release, levothyroxine sodium 25 microgram tablet, gliclazide 30 mg tablet: modified release, levothyroxine sodium 25 microgram tablet, gliclazide 30 mg tablet: modified release, levothyroxine sodium 25 microgram tablet, gliclazide 30 mg tablet: modified release, levothyroxine sodium 25 microgram tablet, gliclazide 30 mg tablet: modified release, levothyroxine sodium 25 microgram tablet, gliclazide 30 mg tablet: modified release, gliclazide 30 mg tablet: modified release, vitamin B complex (B1,B6,B12) 100,200,0.2 mg Film coated tablets [oral], gliclazide 30 mg tablet: modified release, vitamin B complex (B1,B6,B12) 100,200,0.2 mg Film coated tablets [oral], gliclazide 30 mg tablet: modified release, vitamin B complex (B1,B6,B12) 100,200,0.2 mg Film coated tablets [oral], gliclazide 30 mg tablet: modified release, vitamin B complex (B1,B6,B12) 100,200,0.2 mg Film coated tablets [oral], gliclazide 30 mg tablet: modified release, vitamin B complex (B1,B6,B12) 100,200,0.2 mg Film coated tablets [oral], gliclazide 30 mg tablet: modified release, vitamin B complex (B1,B6,B12) 100,200,0.2 mg Film coated tablets [oral], gliclazide 30 mg tablet: modified release, vitamin B complex (B1,B6,B12) 100,200,0.2 mg Film coated tablets [oral], bisoprolol fumarate 5 mg tablet, bisoprolol fumarate 5 mg tablet, bisoprolol fumarate 5 mg tablet, bisoprolol fumarate 5 mg tablet, bisoprolol fumarate 5 mg tablet, bisoprolol fumarate 5 mg tablet, bisoprolol fumarate 5 mg tablet, vitamins (A, B1, B2, B3, C, D3) tablet, vitamins (A, B1, B2, B3, C, D3) tablet, vitamins (A, B1, B2, B3, C, D3) tablet, vitamins (A, B1, B2, B3, C, D3) tablet, vitamins (A, B1, B2, B3, C, D3) tablet, vitamins (A, B1, B2, B3, C, D3) tablet, vitamins (A, B1, B2, B3, C, D3) tablet, rosuvastatin 10 mg tablet, rosuvastatin 10 mg tablet, rosuvastatin 10 mg tablet, rosuvastatin 10 mg tablet, rosuvastatin 10 mg tablet, rosuvastatin 10 mg tablet, rosuvastatin 10 mg tablet, calcium carbonate 600 mg - colecalciferol 200 international units Film coated tablets [oral], perindopril arginine 5 mg tablet, levothyroxine sodium 25 microgram tablet, calcium carbonate 600 mg - colecalciferol 200 international units Film coated tablets [oral], perindopril arginine 5 mg tablet, levothyroxine sodium 25 microgram tablet, calcium carbonate 600 mg - colecalciferol 200 international units Film coated tablets [oral], perindopril arginine 5 mg tablet, levothyroxine sodium 25 microgram tablet, calcium carbonate 600 mg - colecalciferol 200 international units Film coated tablets [oral], perindopril arginine 5 mg tablet, levothyroxine sodium 25 microgram tablet, calcium carbonate 600 mg - colecalciferol 200 international units Film coated tablets [oral], perindopril arginine 5 mg tablet, levothyroxine sodium 25 microgram tablet, calcium carbonate 600 mg - colecalciferol 200 international units Film coated tablets [oral], perindopril arginine 5 mg tablet, levothyroxine sodium 25 microgram tablet, calcium carbonate 600 mg - colecalciferol 200 international units Film coated tablets [oral], perindopril arginine 5 mg tablet, levothyroxine sodium 25 microgram tablet</t>
  </si>
  <si>
    <t>زهره عمر مرزا</t>
  </si>
  <si>
    <t>FLUoxetine</t>
  </si>
  <si>
    <t>FLUoxetine 20 mg capsule, FLUoxetine 20 mg capsule, FLUoxetine 20 mg capsule, FLUoxetine 20 mg capsule, FLUoxetine 20 mg capsule, FLUoxetine 20 mg capsule, FLUoxetine 20 mg capsule, FLUoxetine 20 mg capsule, FLUoxetine 20 mg capsule, FLUoxetine 20 mg capsule, FLUoxetine 20 mg capsule, FLUoxetine 20 mg capsule</t>
  </si>
  <si>
    <t>شريفه احمد هاشم محمد</t>
  </si>
  <si>
    <t>insulin aspart, bisoprolol fumarate, valsartan, indapamide</t>
  </si>
  <si>
    <t>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bisoprolol fumarate 5 mg tablet, valsartan 80 mg tablet, indapamide 1.5 mg tablet: modified release, bisoprolol fumarate 5 mg tablet, valsartan 80 mg tablet, indapamide 1.5 mg tablet: modified release, bisoprolol fumarate 5 mg tablet, valsartan 80 mg tablet, indapamide 1.5 mg tablet: modified release, bisoprolol fumarate 5 mg tablet, valsartan 80 mg tablet, indapamide 1.5 mg tablet: modified release, bisoprolol fumarate 5 mg tablet, valsartan 80 mg tablet, indapamide 1.5 mg tablet: modified release, bisoprolol fumarate 5 mg tablet, bisoprolol fumarate 5 mg tablet, bisoprolol fumarate 5 mg tablet, bisoprolol fumarate 5 mg tablet, bisoprolol fumarate 5 mg tablet,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valsartan 80 mg tablet, valsartan 80 mg tablet, valsartan 80 mg tablet, valsartan 80 mg tablet, valsartan 80 mg tablet, bisoprolol fumarate 5 mg tablet, bisoprolol fumarate 5 mg tablet, bisoprolol fumarate 5 mg tablet, bisoprolol fumarate 5 mg tablet, bisoprolol fumarate 5 mg tablet,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indapamide 1.5 mg tablet: modified release, indapamide 1.5 mg tablet: modified release, indapamide 1.5 mg tablet: modified release, indapamide 1.5 mg tablet: modified release, indapamide 1.5 mg tablet: modified release</t>
  </si>
  <si>
    <t>مبارك كديميس غلاب العتيبي</t>
  </si>
  <si>
    <t>atorvastatin, vitamin B complex (B, B</t>
  </si>
  <si>
    <t>atorvastatin 10 mg tablet, atorvastatin 10 mg tablet, atorvastatin 10 mg tablet, vitamin B complex (B1,B6,B12) 100,200,0.2 mg Film coated tablets [oral], vitamin B complex (B1,B6,B12) 100,200,0.2 mg Film coated tablets [oral], vitamin B complex (B1,B6,B12) 100,200,0.2 mg Film coated tablets [oral], atorvastatin 10 mg tablet, atorvastatin 10 mg tablet, atorvastatin 10 mg tablet, vitamin B complex (B1,B6,B12) 100,200,0.2 mg Film coated tablets [oral], vitamin B complex (B1,B6,B12) 100,200,0.2 mg Film coated tablets [oral], vitamin B complex (B1,B6,B12) 100,200,0.2 mg Film coated tablets [oral]</t>
  </si>
  <si>
    <t>نجلاء دغيم هندي العتيبي</t>
  </si>
  <si>
    <t>Insulin Pen Needle 4mm Needle [sc], Insulin Pen Needle 4mm Needle [sc], Insulin Pen Needle 4mm Needle [sc], Insulin Pen Needle 4mm Needle [sc], Insulin Pen Needle 4mm Needle [sc], Insulin Pen Needle 4mm Needle [sc]</t>
  </si>
  <si>
    <t>عمر علي محمد مجاور</t>
  </si>
  <si>
    <t>insulin glargine, valsartan, Insulin Pen Needle, insulin aspart, bisoprolol fumarate, metFORMIN hydrochloride, acetylsalicylic acid, amLODIPine, rosuvastatin, omeprazole</t>
  </si>
  <si>
    <t>insulin glargine 300 international units/mL injection, 1.5 mL prefilled pen, insulin glargine 300 international units/mL injection, 1.5 mL prefilled pen, insulin glargine 300 international units/mL injection, 1.5 mL prefilled pen, valsartan 80 mg tablet, valsartan 80 mg tablet, valsartan 80 mg tablet, Insulin Pen Needle 4mm Needle [sc], insulin aspart 100 international units/mL injection, 3 mL prefilled pen, Insulin Pen Needle 4mm Needle [sc], insulin aspart 100 international units/mL injection, 3 mL prefilled pen, Insulin Pen Needle 4mm Needle [sc], insulin aspart 100 international units/mL injection, 3 mL prefilled pen, bisoprolol fumarate 5 mg tablet, metFORMIN hydrochloride 500 mg tablet, acetylsalicylic acid 100 mg tablet: enteric coated, amLODIPine 10 mg capsule, rosuvastatin 10 mg tablet, bisoprolol fumarate 5 mg tablet, metFORMIN hydrochloride 500 mg tablet, acetylsalicylic acid 100 mg tablet: enteric coated, amLODIPine 10 mg capsule, rosuvastatin 10 mg tablet, bisoprolol fumarate 5 mg tablet, metFORMIN hydrochloride 500 mg tablet, acetylsalicylic acid 100 mg tablet: enteric coated, amLODIPine 10 mg capsule, rosuvastatin 10 mg tablet, omeprazole 20 mg tablet: enteric coated, omeprazole 20 mg tablet: enteric coated, omeprazole 20 mg tablet: enteric coated, valsartan 80 mg tablet, rosuvastatin 10 mg tablet, valsartan 80 mg tablet, rosuvastatin 10 mg tablet, valsartan 80 mg tablet, rosuvastatin 10 mg tablet, metFORMIN hydrochloride 500 mg tablet, acetylsalicylic acid 100 mg tablet: enteric coated, metFORMIN hydrochloride 500 mg tablet, acetylsalicylic acid 100 mg tablet: enteric coated, metFORMIN hydrochloride 500 mg tablet, acetylsalicylic acid 100 mg tablet: enteric coated, omeprazole 20 mg tablet: enteric coated, omeprazole 20 mg tablet: enteric coated, omeprazole 20 mg tablet: enteric coated, insulin aspart 100 international units/mL injection, 3 mL prefilled pen, bisoprolol fumarate 5 mg tablet, amLODIPine 10 mg capsule, Insulin Pen Needle 4mm Needle [sc], insulin aspart 100 international units/mL injection, 3 mL prefilled pen, bisoprolol fumarate 5 mg tablet, amLODIPine 10 mg capsule, Insulin Pen Needle 4mm Needle [sc], insulin aspart 100 international units/mL injection, 3 mL prefilled pen, bisoprolol fumarate 5 mg tablet, amLODIPine 10 mg capsule, Insulin Pen Needle 4mm Needle [sc], insulin glargine 300 international units/mL injection, 1.5 mL prefilled pen, insulin glargine 300 international units/mL injection, 1.5 mL prefilled pen, insulin glargine 300 international units/mL injection, 1.5 mL prefilled pen</t>
  </si>
  <si>
    <t>محمد احمد محمد خلاف</t>
  </si>
  <si>
    <t>rosuvastatin, losartan potassium</t>
  </si>
  <si>
    <t>rosuvastatin 20 mg tablet, rosuvastatin 20 mg tablet, rosuvastatin 20 mg tablet, rosuvastatin 20 mg tablet, rosuvastatin 20 mg tablet, losartan potassium 50 mg tablet, losartan potassium 50 mg tablet, losartan potassium 50 mg tablet, losartan potassium 50 mg tablet, losartan potassium 50 mg tablet, rosuvastatin 20 mg tablet, rosuvastatin 20 mg tablet, rosuvastatin 20 mg tablet, rosuvastatin 20 mg tablet, rosuvastatin 20 mg tablet, losartan potassium 50 mg tablet, losartan potassium 50 mg tablet, losartan potassium 50 mg tablet, losartan potassium 50 mg tablet, losartan potassium 50 mg tablet, losartan potassium 50 mg tablet, losartan potassium 50 mg tablet, losartan potassium 50 mg tablet, losartan potassium 50 mg tablet, losartan potassium 50 mg tablet, rosuvastatin 20 mg tablet, rosuvastatin 20 mg tablet, rosuvastatin 20 mg tablet, rosuvastatin 20 mg tablet, rosuvastatin 20 mg tablet</t>
  </si>
  <si>
    <t>علي عبدون هادي عبود</t>
  </si>
  <si>
    <t>clotrimazole</t>
  </si>
  <si>
    <t>clotrimazole 1% (10 mg/g) cream, clotrimazole 1% (10 mg/g) cream, clotrimazole 1% (10 mg/g) cream, clotrimazole 1% (10 mg/g) cream, clotrimazole 1% (10 mg/g) cream, clotrimazole 1% (10 mg/g) cream, clotrimazole 1% (10 mg/g) cream, clotrimazole 1% (10 mg/g) cream, clotrimazole 1% (10 mg/g) cream, clotrimazole 1% (10 mg/g) cream, clotrimazole 1% (10 mg/g) cream, clotrimazole 1% (10 mg/g) cream</t>
  </si>
  <si>
    <t>منيره مسفر عوض المطيري</t>
  </si>
  <si>
    <t>colecalciferol, insulin aspart, levothyroxine sodium, atorvastatin, metFORMIN hydrochloride, empagliflozin, amLODIPine, linagliptin, indapamide, vitamin B complex (B</t>
  </si>
  <si>
    <t>colecalciferol 50 000 international units tablet, insulin aspart 30 international units/mL + insulin aspart protamine 70 international units/mL injection, 3 mL prefilled pen, levothyroxine sodium 25 microgram tablet, atorvastatin 20 mg tablet, metFORMIN hydrochloride 500 mg tablet, colecalciferol 50 000 international units tablet, insulin aspart 30 international units/mL + insulin aspart protamine 70 international units/mL injection, 3 mL prefilled pen, levothyroxine sodium 25 microgram tablet, atorvastatin 20 mg tablet, metFORMIN hydrochloride 500 mg tablet, colecalciferol 50 000 international units tablet, insulin aspart 30 international units/mL + insulin aspart protamine 70 international units/mL injection, 3 mL prefilled pen, levothyroxine sodium 25 microgram tablet, atorvastatin 20 mg tablet, metFORMIN hydrochloride 500 mg tablet, colecalciferol 50 000 international units tablet, insulin aspart 30 international units/mL + insulin aspart protamine 70 international units/mL injection, 3 mL prefilled pen, levothyroxine sodium 25 microgram tablet, atorvastatin 20 mg tablet, metFORMIN hydrochloride 500 mg tablet, insulin aspart 30 international units/mL + insulin aspart protamine 70 international units/mL injection, 3 mL prefilled pen, empagliflozin 10 mg tablet, amLODIPine 5 mg tablet, atorvastatin 20 mg tablet, insulin aspart 30 international units/mL + insulin aspart protamine 70 international units/mL injection, 3 mL prefilled pen, empagliflozin 10 mg tablet, amLODIPine 5 mg tablet, atorvastatin 20 mg tablet, insulin aspart 30 international units/mL + insulin aspart protamine 70 international units/mL injection, 3 mL prefilled pen, empagliflozin 10 mg tablet, amLODIPine 5 mg tablet, atorvastatin 20 mg tablet, insulin aspart 30 international units/mL + insulin aspart protamine 70 international units/mL injection, 3 mL prefilled pen, empagliflozin 10 mg tablet, amLODIPine 5 mg tablet, atorvastatin 20 mg tablet, levothyroxine sodium 25 microgram tablet, linagliptin 5 mg tablet, indapamide 1.5 mg tablet: modified release, vitamin B complex (B1,B6,B12) 100,200,0.2 mg Film coated tablets [oral], levothyroxine sodium 25 microgram tablet, linagliptin 5 mg tablet, indapamide 1.5 mg tablet: modified release, vitamin B complex (B1,B6,B12) 100,200,0.2 mg Film coated tablets [oral], levothyroxine sodium 25 microgram tablet, linagliptin 5 mg tablet, indapamide 1.5 mg tablet: modified release, vitamin B complex (B1,B6,B12) 100,200,0.2 mg Film coated tablets [oral], levothyroxine sodium 25 microgram tablet, linagliptin 5 mg tablet, indapamide 1.5 mg tablet: modified release, vitamin B complex (B1,B6,B12) 100,200,0.2 mg Film coated tablets [oral], valsartan 80 mg tablet, colecalciferol 50 000 international units tablet, losartan potassium 50 mg tablet, valsartan 80 mg tablet, colecalciferol 50 000 international units tablet, losartan potassium 50 mg tablet, valsartan 80 mg tablet, colecalciferol 50 000 international units tablet, losartan potassium 50 mg tablet, valsartan 80 mg tablet, colecalciferol 50 000 international units tablet, losartan potassium 50 mg tablet, metFORMIN hydrochloride 500 mg tablet, levothyroxine sodium 100 microgram tablet, metFORMIN hydrochloride 500 mg tablet, levothyroxine sodium 100 microgram tablet, metFORMIN hydrochloride 500 mg tablet, levothyroxine sodium 100 microgram tablet, metFORMIN hydrochloride 500 mg tablet, levothyroxine sodium 100 microgram tablet, amLODIPine 5 mg tablet, empagliflozin 10 mg tablet, amLODIPine 5 mg tablet, empagliflozin 10 mg tablet, amLODIPine 5 mg tablet, empagliflozin 10 mg tablet, amLODIPine 5 mg tablet, empagliflozin 10 mg tablet, linagliptin 5 mg tablet, valsartan 80 mg tablet, vitamin B complex (B1,B6,B12) 100,200,0.2 mg Film coated tablets [oral], levothyroxine sodium 100 microgram tablet, losartan potassium 50 mg tablet, indapamide 1.5 mg tablet: modified release, linagliptin 5 mg tablet, valsartan 80 mg tablet, vitamin B complex (B1,B6,B12) 100,200,0.2 mg Film coated tablets [oral], levothyroxine sodium 100 microgram tablet, losartan potassium 50 mg tablet, indapamide 1.5 mg tablet: modified release, linagliptin 5 mg tablet, valsartan 80 mg tablet, vitamin B complex (B1,B6,B12) 100,200,0.2 mg Film coated tablets [oral], levothyroxine sodium 100 microgram tablet, losartan potassium 50 mg tablet, indapamide 1.5 mg tablet: modified release, linagliptin 5 mg tablet, valsartan 80 mg tablet, vitamin B complex (B1,B6,B12) 100,200,0.2 mg Film coated tablets [oral], levothyroxine sodium 100 microgram tablet, losartan potassium 50 mg tablet, indapamide 1.5 mg tablet: modified release, valsartan 80 mg tablet, losartan potassium 50 mg tablet, linagliptin 5 mg tablet, valsartan 80 mg tablet, losartan potassium 50 mg tablet, linagliptin 5 mg tablet, valsartan 80 mg tablet, losartan potassium 50 mg tablet, linagliptin 5 mg tablet, valsartan 80 mg tablet, losartan potassium 50 mg tablet, linagliptin 5 mg tablet, metFORMIN hydrochloride 500 mg tablet, indapamide 1.5 mg tablet: modified release, amLODIPine 5 mg tablet, metFORMIN hydrochloride 500 mg tablet, indapamide 1.5 mg tablet: modified release, amLODIPine 5 mg tablet, metFORMIN hydrochloride 500 mg tablet, indapamide 1.5 mg tablet: modified release, amLODIPine 5 mg tablet, metFORMIN hydrochloride 500 mg tablet, indapamide 1.5 mg tablet: modified release, amLODIPine 5 mg tablet, amLODIPine 5 mg tablet, amLODIPine 5 mg tablet, amLODIPine 5 mg tablet, amLODIPine 5 mg tablet, insulin aspart 30 international units/mL + insulin aspart protamine 70 international units/mL injection, 3 mL prefilled pen, insulin aspart 30 international units/mL + insulin aspart protamine 70 international units/mL injection, 3 mL prefilled pen, insulin aspart 30 international units/mL + insulin aspart protamine 70 international units/mL injection, 3 mL prefilled pen, insulin aspart 30 international units/mL + insulin aspart protamine 70 international units/mL injection, 3 mL prefilled pen, linagliptin 5 mg tablet, vitamin B complex (B1,B6,B12) 100,200,0.2 mg Film coated tablets [oral], metFORMIN hydrochloride 500 mg tablet, indapamide 1.5 mg tablet: modified release, linagliptin 5 mg tablet, vitamin B complex (B1,B6,B12) 100,200,0.2 mg Film coated tablets [oral], metFORMIN hydrochloride 500 mg tablet, indapamide 1.5 mg tablet: modified release, linagliptin 5 mg tablet, vitamin B complex (B1,B6,B12) 100,200,0.2 mg Film coated tablets [oral], metFORMIN hydrochloride 500 mg tablet, indapamide 1.5 mg tablet: modified release, linagliptin 5 mg tablet, vitamin B complex (B1,B6,B12) 100,200,0.2 mg Film coated tablets [oral], metFORMIN hydrochloride 500 mg tablet, indapamide 1.5 mg tablet: modified release, levothyroxine sodium 25 microgram tablet, levothyroxine sodium 25 microgram tablet, levothyroxine sodium 25 microgram tablet, levothyroxine sodium 25 microgram tablet, valsartan 80 mg tablet, empagliflozin 10 mg tablet, levothyroxine sodium 100 microgram tablet, valsartan 80 mg tablet, empagliflozin 10 mg tablet, levothyroxine sodium 100 microgram tablet, valsartan 80 mg tablet, empagliflozin 10 mg tablet, levothyroxine sodium 100 microgram tablet, valsartan 80 mg tablet, empagliflozin 10 mg tablet, levothyroxine sodium 100 microgram tablet, atorvastatin 20 mg tablet, colecalciferol 50 000 international units tablet, losartan potassium 50 mg tablet, atorvastatin 20 mg tablet, colecalciferol 50 000 international units tablet, losartan potassium 50 mg tablet, atorvastatin 20 mg tablet, colecalciferol 50 000 international units tablet, losartan potassium 50 mg tablet, atorvastatin 20 mg tablet, colecalciferol 50 000 international units tablet, losartan potassium 50 mg tablet, insulin aspart 30 international units/mL + insulin aspart protamine 70 international units/mL injection, 3 mL prefilled pen, empagliflozin 10 mg tablet, amLODIPine 5 mg tablet, insulin aspart 30 international units/mL + insulin aspart protamine 70 international units/mL injection, 3 mL prefilled pen, empagliflozin 10 mg tablet, amLODIPine 5 mg tablet, insulin aspart 30 international units/mL + insulin aspart protamine 70 international units/mL injection, 3 mL prefilled pen, empagliflozin 10 mg tablet, amLODIPine 5 mg tablet, insulin aspart 30 international units/mL + insulin aspart protamine 70 international units/mL injection, 3 mL prefilled pen, empagliflozin 10 mg tablet, amLODIPine 5 mg tablet, atorvastatin 20 mg tablet, levothyroxine sodium 25 microgram tablet, linagliptin 5 mg tablet, atorvastatin 20 mg tablet, levothyroxine sodium 25 microgram tablet, linagliptin 5 mg tablet, atorvastatin 20 mg tablet, levothyroxine sodium 25 microgram tablet, linagliptin 5 mg tablet, atorvastatin 20 mg tablet, levothyroxine sodium 25 microgram tablet, linagliptin 5 mg tablet, indapamide 1.5 mg tablet: modified release, vitamin B complex (B1,B6,B12) 100,200,0.2 mg Film coated tablets [oral], indapamide 1.5 mg tablet: modified release, vitamin B complex (B1,B6,B12) 100,200,0.2 mg Film coated tablets [oral], indapamide 1.5 mg tablet: modified release, vitamin B complex (B1,B6,B12) 100,200,0.2 mg Film coated tablets [oral], indapamide 1.5 mg tablet: modified release, vitamin B complex (B1,B6,B12) 100,200,0.2 mg Film coated tablets [oral], valsartan 80 mg tablet, colecalciferol 50 000 international units tablet, valsartan 80 mg tablet, colecalciferol 50 000 international units tablet, valsartan 80 mg tablet, colecalciferol 50 000 international units tablet, valsartan 80 mg tablet, colecalciferol 50 000 international units tablet, losartan potassium 50 mg tablet, losartan potassium 50 mg tablet, losartan potassium 50 mg tablet, losartan potassium 50 mg tablet, metFORMIN hydrochloride 500 mg tablet, levothyroxine sodium 100 microgram tablet, metFORMIN hydrochloride 500 mg tablet, levothyroxine sodium 100 microgram tablet, metFORMIN hydrochloride 500 mg tablet, levothyroxine sodium 100 microgram tablet, metFORMIN hydrochloride 500 mg tablet, levothyroxine sodium 100 microgram tablet</t>
  </si>
  <si>
    <t>علوه سعيد سعيد الجهني</t>
  </si>
  <si>
    <t>colecalciferol, calcium carbonate</t>
  </si>
  <si>
    <t>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t>
  </si>
  <si>
    <t>نجلا عبدالله حمدان العبودي</t>
  </si>
  <si>
    <t>colecalciferol, vitamin B complex (B, B, calcium carbonate, paracetamol, rosuvastatin, diclofenac sodium, omeprazole</t>
  </si>
  <si>
    <t>colecalciferol 50 000 international units tablet, colecalciferol 50 000 international units tablet, colecalciferol 50 000 international units tablet, colecalciferol 50 000 international units tablet, vitamin B complex (B1,B6,B12) 100,200,0.2 mg Film coated tablets [oral], calcium carbonate 600 mg - colecalciferol 200 international units Film coated tablets [oral], paracetamol 500 mg tablet, vitamin B complex (B1,B6,B12) 100,200,0.2 mg Film coated tablets [oral], calcium carbonate 600 mg - colecalciferol 200 international units Film coated tablets [oral], paracetamol 500 mg tablet, vitamin B complex (B1,B6,B12) 100,200,0.2 mg Film coated tablets [oral], calcium carbonate 600 mg - colecalciferol 200 international units Film coated tablets [oral], paracetamol 500 mg tablet, vitamin B complex (B1,B6,B12) 100,200,0.2 mg Film coated tablets [oral], calcium carbonate 600 mg - colecalciferol 200 international units Film coated tablets [oral], paracetamol 500 mg tablet, rosuvastatin 20 mg tablet, diclofenac sodium 1% (10 mg/g) gel, omeprazole 20 mg tablet: enteric coated, rosuvastatin 20 mg tablet, diclofenac sodium 1% (10 mg/g) gel, omeprazole 20 mg tablet: enteric coated, rosuvastatin 20 mg tablet, diclofenac sodium 1% (10 mg/g) gel, omeprazole 20 mg tablet: enteric coated, rosuvastatin 20 mg tablet, diclofenac sodium 1% (10 mg/g) gel, omeprazole 20 mg tablet: enteric coated, paracetamol 500 mg tablet, omeprazole 20 mg tablet: enteric coated, diclofenac sodium 1% (10 mg/g) gel, paracetamol 500 mg tablet, omeprazole 20 mg tablet: enteric coated, diclofenac sodium 1% (10 mg/g) gel, paracetamol 500 mg tablet, omeprazole 20 mg tablet: enteric coated, diclofenac sodium 1% (10 mg/g) gel, paracetamol 500 mg tablet, omeprazole 20 mg tablet: enteric coated, diclofenac sodium 1% (10 mg/g) gel, rosuvastatin 20 mg tablet, calcium carbonate 600 mg - colecalciferol 200 international units Film coated tablets [oral], colecalciferol 50 000 international units tablet, vitamin B complex (B1,B6,B12) 100,200,0.2 mg Film coated tablets [oral], rosuvastatin 20 mg tablet, calcium carbonate 600 mg - colecalciferol 200 international units Film coated tablets [oral], colecalciferol 50 000 international units tablet, vitamin B complex (B1,B6,B12) 100,200,0.2 mg Film coated tablets [oral], rosuvastatin 20 mg tablet, calcium carbonate 600 mg - colecalciferol 200 international units Film coated tablets [oral], colecalciferol 50 000 international units tablet, vitamin B complex (B1,B6,B12) 100,200,0.2 mg Film coated tablets [oral], rosuvastatin 20 mg tablet, calcium carbonate 600 mg - colecalciferol 200 international units Film coated tablets [oral], colecalciferol 50 000 international units tablet, vitamin B complex (B1,B6,B12) 100,200,0.2 mg Film coated tablets [oral], rosuvastatin 20 mg tablet, rosuvastatin 20 mg tablet, rosuvastatin 20 mg tablet, rosuvastatin 20 mg tablet, vitamin B complex (B1,B6,B12) 100,200,0.2 mg Film coated tablets [oral], diclofenac sodium 1% (10 mg/g) gel, vitamin B complex (B1,B6,B12) 100,200,0.2 mg Film coated tablets [oral], diclofenac sodium 1% (10 mg/g) gel, vitamin B complex (B1,B6,B12) 100,200,0.2 mg Film coated tablets [oral], diclofenac sodium 1% (10 mg/g) gel, vitamin B complex (B1,B6,B12) 100,200,0.2 mg Film coated tablets [oral], diclofenac sodium 1% (10 mg/g) gel, colecalciferol 50 000 international units tablet, omeprazole 20 mg tablet: enteric coated, colecalciferol 50 000 international units tablet, omeprazole 20 mg tablet: enteric coated, colecalciferol 50 000 international units tablet, omeprazole 20 mg tablet: enteric coated, colecalciferol 50 000 international units tablet, omeprazole 20 mg tablet: enteric coated, paracetamol 500 mg tablet, calcium carbonate 600 mg - colecalciferol 200 international units Film coated tablets [oral], paracetamol 500 mg tablet, calcium carbonate 600 mg - colecalciferol 200 international units Film coated tablets [oral], paracetamol 500 mg tablet, calcium carbonate 600 mg - colecalciferol 200 international units Film coated tablets [oral], paracetamol 500 mg tablet, calcium carbonate 600 mg - colecalciferol 200 international units Film coated tablets [oral], rosuvastatin 20 mg tablet, colecalciferol 50 000 international units tablet, rosuvastatin 20 mg tablet, colecalciferol 50 000 international units tablet, rosuvastatin 20 mg tablet, colecalciferol 50 000 international units tablet, rosuvastatin 20 mg tablet, colecalciferol 50 000 international units tablet, calcium carbonate 600 mg - colecalciferol 200 international units Film coated tablets [oral], vitamin B complex (B1,B6,B12) 100,200,0.2 mg Film coated tablets [oral], paracetamol 500 mg tablet, calcium carbonate 600 mg - colecalciferol 200 international units Film coated tablets [oral], vitamin B complex (B1,B6,B12) 100,200,0.2 mg Film coated tablets [oral], paracetamol 500 mg tablet, calcium carbonate 600 mg - colecalciferol 200 international units Film coated tablets [oral], vitamin B complex (B1,B6,B12) 100,200,0.2 mg Film coated tablets [oral], paracetamol 500 mg tablet, calcium carbonate 600 mg - colecalciferol 200 international units Film coated tablets [oral], vitamin B complex (B1,B6,B12) 100,200,0.2 mg Film coated tablets [oral], paracetamol 500 mg tablet, omeprazole 20 mg tablet: enteric coated, omeprazole 20 mg tablet: enteric coated, omeprazole 20 mg tablet: enteric coated, omeprazole 20 mg tablet: enteric coated, diclofenac sodium 1% (10 mg/g) gel, diclofenac sodium 1% (10 mg/g) gel, diclofenac sodium 1% (10 mg/g) gel, diclofenac sodium 1% (10 mg/g) gel, paracetamol 500 mg tablet, vitamin B complex (B1,B6,B12) 100,200,0.2 mg Film coated tablets [oral], paracetamol 500 mg tablet, vitamin B complex (B1,B6,B12) 100,200,0.2 mg Film coated tablets [oral], paracetamol 500 mg tablet, vitamin B complex (B1,B6,B12) 100,200,0.2 mg Film coated tablets [oral], paracetamol 500 mg tablet, vitamin B complex (B1,B6,B12) 100,200,0.2 mg Film coated tablets [oral], rosuvastatin 20 mg tablet, diclofenac sodium 1% (10 mg/g) gel, colecalciferol 50 000 international units tablet, calcium carbonate 600 mg - colecalciferol 200 international units Film coated tablets [oral], omeprazole 20 mg tablet: enteric coated, rosuvastatin 20 mg tablet, diclofenac sodium 1% (10 mg/g) gel, colecalciferol 50 000 international units tablet, calcium carbonate 600 mg - colecalciferol 200 international units Film coated tablets [oral], omeprazole 20 mg tablet: enteric coated, rosuvastatin 20 mg tablet, diclofenac sodium 1% (10 mg/g) gel, colecalciferol 50 000 international units tablet, calcium carbonate 600 mg - colecalciferol 200 international units Film coated tablets [oral], omeprazole 20 mg tablet: enteric coated, rosuvastatin 20 mg tablet, diclofenac sodium 1% (10 mg/g) gel, colecalciferol 50 000 international units tablet, calcium carbonate 600 mg - colecalciferol 200 international units Film coated tablets [oral], omeprazole 20 mg tablet: enteric coated</t>
  </si>
  <si>
    <t>Dyslipidemia, GI/PPI, Vitamins/Supplements</t>
  </si>
  <si>
    <t>نجاة هاشم دخيل الله العواجي</t>
  </si>
  <si>
    <t>paracetamol, omeprazole</t>
  </si>
  <si>
    <t>paracetamol 500 mg tablet, paracetamol 500 mg tablet, paracetamol 500 mg tablet, omeprazole 20 mg tablet: enteric coated, omeprazole 20 mg tablet: enteric coated, omeprazole 20 mg tablet: enteric coated, paracetamol 500 mg tablet, omeprazole 20 mg tablet: enteric coated, paracetamol 500 mg tablet, omeprazole 20 mg tablet: enteric coated, paracetamol 500 mg tablet, omeprazole 20 mg tablet: enteric coated, omeprazole 20 mg tablet: enteric coated, paracetamol 500 mg tablet, omeprazole 20 mg tablet: enteric coated, paracetamol 500 mg tablet, omeprazole 20 mg tablet: enteric coated, paracetamol 500 mg tablet, omeprazole 20 mg tablet: enteric coated, paracetamol 500 mg tablet, omeprazole 20 mg tablet: enteric coated, paracetamol 500 mg tablet, omeprazole 20 mg tablet: enteric coated, paracetamol 500 mg tablet, paracetamol 500 mg tablet, paracetamol 500 mg tablet, paracetamol 500 mg tablet, omeprazole 20 mg tablet: enteric coated, omeprazole 20 mg tablet: enteric coated, omeprazole 20 mg tablet: enteric coated, paracetamol 500 mg tablet, paracetamol 500 mg tablet, paracetamol 500 mg tablet, omeprazole 20 mg tablet: enteric coated, omeprazole 20 mg tablet: enteric coated, omeprazole 20 mg tablet: enteric coated, paracetamol 500 mg tablet, omeprazole 20 mg tablet: enteric coated, paracetamol 500 mg tablet, omeprazole 20 mg tablet: enteric coated, paracetamol 500 mg tablet, omeprazole 20 mg tablet: enteric coated</t>
  </si>
  <si>
    <t>حصه مجبر احمد القنفذى</t>
  </si>
  <si>
    <t>metFORMIN hydrochloride, atorvastatin, gliclazide, SITagliptin, valsartan, empagliflozin</t>
  </si>
  <si>
    <t>metFORMIN hydrochloride 750 mg tablet: modified release, atorvastatin 10 mg tablet, metFORMIN hydrochloride 750 mg tablet: modified release, atorvastatin 10 mg tablet, gliclazide 60 mg tablet: modified release, gliclazide 60 mg tablet: modified release, SITagliptin 100 mg tablet, SITagliptin 100 mg tablet, valsartan 80 mg tablet, atorvastatin 10 mg tablet, valsartan 80 mg tablet, atorvastatin 10 mg tablet, metFORMIN hydrochloride 750 mg tablet: modified release, metFORMIN hydrochloride 750 mg tablet: modified release, empagliflozin 10 mg tablet, empagliflozin 10 mg tablet, metFORMIN hydrochloride 750 mg tablet: modified release, SITagliptin 100 mg tablet, gliclazide 60 mg tablet: modified release, empagliflozin 10 mg tablet, metFORMIN hydrochloride 750 mg tablet: modified release, SITagliptin 100 mg tablet, gliclazide 60 mg tablet: modified release, empagliflozin 10 mg tablet, valsartan 80 mg tablet, valsartan 80 mg tablet, atorvastatin 10 mg tablet, atorvastatin 10 mg tablet, metFORMIN hydrochloride 750 mg tablet: modified release, gliclazide 60 mg tablet: modified release, valsartan 80 mg tablet, metFORMIN hydrochloride 750 mg tablet: modified release, gliclazide 60 mg tablet: modified release, valsartan 80 mg tablet, atorvastatin 10 mg tablet, SITagliptin 100 mg tablet, atorvastatin 10 mg tablet, SITagliptin 100 mg tablet, empagliflozin 10 mg tablet, empagliflozin 10 mg tablet, empagliflozin 10 mg tablet, atorvastatin 10 mg tablet, valsartan 80 mg tablet, metFORMIN hydrochloride 750 mg tablet: modified release, SITagliptin 100 mg tablet, gliclazide 60 mg tablet: modified release, empagliflozin 10 mg tablet, atorvastatin 10 mg tablet, valsartan 80 mg tablet, metFORMIN hydrochloride 750 mg tablet: modified release, SITagliptin 100 mg tablet, gliclazide 60 mg tablet: modified release, empagliflozin 10 mg tablet, empagliflozin 10 mg tablet, metFORMIN hydrochloride 750 mg tablet: modified release, metFORMIN hydrochloride 750 mg tablet: modified release, atorvastatin 10 mg tablet, atorvastatin 10 mg tablet</t>
  </si>
  <si>
    <t>موسى احمد موسى الزيلعى</t>
  </si>
  <si>
    <t>insulin glargine (lantus), insulin aspart</t>
  </si>
  <si>
    <t>insulin glargine (lantus) 100 international units/mL injection, 3 mL prefilled pen, insulin glargine (lantus) 100 international units/mL injection, 3 mL prefilled pen, insulin glargine (lantus)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aspart 100 international units/mL injection, 3 mL prefilled pen, insulin aspart 100 international units/mL injection, 3 mL prefilled pen, insulin aspart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t>
  </si>
  <si>
    <t>سعيد محمد علي الشرقي</t>
  </si>
  <si>
    <t>metFORMIN hydrochloride, SITagliptin</t>
  </si>
  <si>
    <t>metFORMIN hydrochloride 500 mg tablet, metFORMIN hydrochloride 500 mg tablet, metFORMIN hydrochloride 500 mg tablet, metFORMIN hydrochloride 500 mg tablet, SITagliptin 100 mg tablet, SITagliptin 100 mg tablet, SITagliptin 100 mg tablet, SITagliptin 100 mg tablet, metFORMIN hydrochloride 500 mg tablet, metFORMIN hydrochloride 500 mg tablet, metFORMIN hydrochloride 500 mg tablet, metFORMIN hydrochloride 500 mg tablet, SITagliptin 100 mg tablet, SITagliptin 100 mg tablet, SITagliptin 100 mg tablet, SITagliptin 100 mg tablet, metFORMIN hydrochloride 500 mg tablet, SITagliptin 100 mg tablet, metFORMIN hydrochloride 500 mg tablet, SITagliptin 100 mg tablet, metFORMIN hydrochloride 500 mg tablet, SITagliptin 100 mg tablet, metFORMIN hydrochloride 500 mg tablet, SITagliptin 100 mg tablet</t>
  </si>
  <si>
    <t>ممدوح محمد بن توره آمان</t>
  </si>
  <si>
    <t>خالد سالم سعد الحارثي</t>
  </si>
  <si>
    <t>acetylsalicylic acid, metFORMIN hydrochloride, vitamin B complex (B, B, atorvastatin, Strips (Accu-Check)</t>
  </si>
  <si>
    <t>acetylsalicylic acid 100 mg tablet: enteric coated, metFORMIN hydrochloride 500 mg tablet, acetylsalicylic acid 100 mg tablet: enteric coated, metFORMIN hydrochloride 500 mg tablet, acetylsalicylic acid 100 mg tablet: enteric coated, metFORMIN hydrochloride 500 mg tablet, acetylsalicylic acid 100 mg tablet: enteric coated, metFORMIN hydrochloride 500 mg tablet, vitamin B complex (B1,B6,B12) 100,200,0.2 mg Film coated tablets [oral], vitamin B complex (B1,B6,B12) 100,200,0.2 mg Film coated tablets [oral], vitamin B complex (B1,B6,B12) 100,200,0.2 mg Film coated tablets [oral], vitamin B complex (B1,B6,B12) 100,200,0.2 mg Film coated tablets [oral], atorvastatin 20 mg tablet, atorvastatin 20 mg tablet, atorvastatin 20 mg tablet, atorvastatin 20 mg tablet, Strips (Accu-Check) 1 box Strip [n/a], Strips (Accu-Check) 1 box Strip [n/a], Strips (Accu-Check) 1 box Strip [n/a], Strips (Accu-Check) 1 box Strip [n/a], metFORMIN hydrochloride 500 mg tablet, metFORMIN hydrochloride 500 mg tablet, metFORMIN hydrochloride 500 mg tablet, metFORMIN hydrochloride 500 mg tablet, Strips (Accu-Check) 1 box Strip [n/a], Strips (Accu-Check) 1 box Strip [n/a], Strips (Accu-Check) 1 box Strip [n/a], Strips (Accu-Check) 1 box Strip [n/a], metFORMIN hydrochloride 500 mg tablet, vitamin B complex (B1,B6,B12) 100,200,0.2 mg Film coated tablets [oral], Strips (Accu-Check) 1 box Strip [n/a], acetylsalicylic acid 100 mg tablet: enteric coated, metFORMIN hydrochloride 500 mg tablet, vitamin B complex (B1,B6,B12) 100,200,0.2 mg Film coated tablets [oral], Strips (Accu-Check) 1 box Strip [n/a], acetylsalicylic acid 100 mg tablet: enteric coated, metFORMIN hydrochloride 500 mg tablet, vitamin B complex (B1,B6,B12) 100,200,0.2 mg Film coated tablets [oral], Strips (Accu-Check) 1 box Strip [n/a], acetylsalicylic acid 100 mg tablet: enteric coated, metFORMIN hydrochloride 500 mg tablet, vitamin B complex (B1,B6,B12) 100,200,0.2 mg Film coated tablets [oral], Strips (Accu-Check) 1 box Strip [n/a], acetylsalicylic acid 100 mg tablet: enteric coated, atorvastatin 20 mg tablet, atorvastatin 20 mg tablet, atorvastatin 20 mg tablet, atorvastatin 20 mg tablet</t>
  </si>
  <si>
    <t>عداله مهدي وصل الله السلمي</t>
  </si>
  <si>
    <t>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t>
  </si>
  <si>
    <t>هشام محمد عبدالرحمن عقيل</t>
  </si>
  <si>
    <t>Glucometer Device (Accu-Chek), Strips (Accu-Check), Lancets (Accu-Check), vitamins (A, B, C, D</t>
  </si>
  <si>
    <t>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Lancets (Accu-Check) 1 box Lancets [n/a], Glucometer Device (Accu-Chek) 1 device Device [n/a], Lancets (Accu-Check) 1 box Lancets [n/a], Glucometer Device (Accu-Chek) 1 device Device [n/a], Lancets (Accu-Check) 1 box Lancets [n/a], Glucometer Device (Accu-Chek) 1 device Device [n/a], Lancets (Accu-Check) 1 box Lancets [n/a], Glucometer Device (Accu-Chek) 1 device Device [n/a], Lancets (Accu-Check) 1 box Lancets [n/a], Glucometer Device (Accu-Chek) 1 device Device [n/a], Lancets (Accu-Check) 1 box Lancets [n/a], Glucometer Device (Accu-Chek) 1 device Device [n/a], Lancets (Accu-Check) 1 box Lancets [n/a], Glucometer Device (Accu-Chek) 1 device Device [n/a], vitamins (A, B1, B2, B3, C, D3) tablet, vitamins (A, B1, B2, B3, C, D3) tablet, vitamins (A, B1, B2, B3, C, D3) tablet, vitamins (A, B1, B2, B3, C, D3) tablet, vitamins (A, B1, B2, B3, C, D3) tablet, vitamins (A, B1, B2, B3, C, D3) tablet, vitamins (A, B1, B2, B3, C, D3) tablet, Lancets (Accu-Check) 1 box Lancets [n/a], Lancets (Accu-Check) 1 box Lancets [n/a], Lancets (Accu-Check) 1 box Lancets [n/a], Lancets (Accu-Check) 1 box Lancets [n/a], Lancets (Accu-Check) 1 box Lancets [n/a], Lancets (Accu-Check) 1 box Lancets [n/a], Lancets (Accu-Check) 1 box Lancets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Strips (Accu-Check) 1 box Strip [n/a], Strips (Accu-Check) 1 box Strip [n/a], Strips (Accu-Check) 1 box Strip [n/a], Strips (Accu-Check) 1 box Strip [n/a], Strips (Accu-Check) 1 box Strip [n/a], Strips (Accu-Check) 1 box Strip [n/a], Strips (Accu-Check) 1 box Strip [n/a], Lancets (Accu-Check) 1 box Lancets [n/a], Lancets (Accu-Check) 1 box Lancets [n/a], Lancets (Accu-Check) 1 box Lancets [n/a], Lancets (Accu-Check) 1 box Lancets [n/a], Lancets (Accu-Check) 1 box Lancets [n/a], Lancets (Accu-Check) 1 box Lancets [n/a], Lancets (Accu-Check) 1 box Lancets [n/a], vitamins (A, B1, B2, B3, C, D3) tablet, vitamins (A, B1, B2, B3, C, D3) tablet, vitamins (A, B1, B2, B3, C, D3) tablet, vitamins (A, B1, B2, B3, C, D3) tablet, vitamins (A, B1, B2, B3, C, D3) tablet, vitamins (A, B1, B2, B3, C, D3) tablet, vitamins (A, B1, B2, B3, C, D3) tablet,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Strips (Accu-Check) 1 box Strip [n/a], Lancets (Accu-Check) 1 box Lancets [n/a], Strips (Accu-Check) 1 box Strip [n/a], Lancets (Accu-Check) 1 box Lancets [n/a], Strips (Accu-Check) 1 box Strip [n/a], Lancets (Accu-Check) 1 box Lancets [n/a], Strips (Accu-Check) 1 box Strip [n/a], Lancets (Accu-Check) 1 box Lancets [n/a], Strips (Accu-Check) 1 box Strip [n/a], Lancets (Accu-Check) 1 box Lancets [n/a], Strips (Accu-Check) 1 box Strip [n/a], Lancets (Accu-Check) 1 box Lancets [n/a], Strips (Accu-Check) 1 box Strip [n/a], Lancets (Accu-Check) 1 box Lancets [n/a], vitamins (A, B1, B2, B3, C, D3) tablet, vitamins (A, B1, B2, B3, C, D3) tablet, vitamins (A, B1, B2, B3, C, D3) tablet, vitamins (A, B1, B2, B3, C, D3) tablet, vitamins (A, B1, B2, B3, C, D3) tablet, vitamins (A, B1, B2, B3, C, D3) tablet, vitamins (A, B1, B2, B3, C, D3) tablet,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vitamins (A, B1, B2, B3, C, D3) tablet, vitamins (A, B1, B2, B3, C, D3) tablet, vitamins (A, B1, B2, B3, C, D3) tablet, vitamins (A, B1, B2, B3, C, D3) tablet, vitamins (A, B1, B2, B3, C, D3) tablet, vitamins (A, B1, B2, B3, C, D3) tablet, vitamins (A, B1, B2, B3, C, D3) tablet, Lancets (Accu-Check) 1 box Lancets [n/a], Glucometer Device (Accu-Chek) 1 device Device [n/a], Strips (Accu-Check) 1 box Strip [n/a], Lancets (Accu-Check) 1 box Lancets [n/a], Glucometer Device (Accu-Chek) 1 device Device [n/a], Strips (Accu-Check) 1 box Strip [n/a], Lancets (Accu-Check) 1 box Lancets [n/a], Glucometer Device (Accu-Chek) 1 device Device [n/a], Strips (Accu-Check) 1 box Strip [n/a], Lancets (Accu-Check) 1 box Lancets [n/a], Glucometer Device (Accu-Chek) 1 device Device [n/a], Strips (Accu-Check) 1 box Strip [n/a], Lancets (Accu-Check) 1 box Lancets [n/a], Glucometer Device (Accu-Chek) 1 device Device [n/a], Strips (Accu-Check) 1 box Strip [n/a], Lancets (Accu-Check) 1 box Lancets [n/a], Glucometer Device (Accu-Chek) 1 device Device [n/a], Strips (Accu-Check) 1 box Strip [n/a], Lancets (Accu-Check) 1 box Lancets [n/a], Glucometer Device (Accu-Chek) 1 device Device [n/a], Strips (Accu-Check) 1 box Strip [n/a]</t>
  </si>
  <si>
    <t>مريم عبدالرحمن محمدسعيد قطب</t>
  </si>
  <si>
    <t>diclofenac sodium, paracetamol, celecoxib</t>
  </si>
  <si>
    <t>diclofenac sodium 1% (10 mg/g) gel, diclofenac sodium 1% (10 mg/g) gel, diclofenac sodium 1% (10 mg/g) gel, diclofenac sodium 1% (10 mg/g) gel, paracetamol 500 mg + codeine phosphate 8 mg + caffeine 30 mg tablet, paracetamol 500 mg + codeine phosphate 8 mg + caffeine 30 mg tablet, paracetamol 500 mg + codeine phosphate 8 mg + caffeine 30 mg tablet, paracetamol 500 mg + codeine phosphate 8 mg + caffeine 30 mg tablet, celecoxib 200 mg capsule, celecoxib 200 mg capsule, celecoxib 200 mg capsule, celecoxib 200 mg capsule, celecoxib 200 mg capsule, celecoxib 200 mg capsule, celecoxib 200 mg capsule, celecoxib 200 mg capsule, diclofenac sodium 1% (10 mg/g) gel, diclofenac sodium 1% (10 mg/g) gel, diclofenac sodium 1% (10 mg/g) gel, diclofenac sodium 1% (10 mg/g) gel,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celecoxib 200 mg capsule, paracetamol 500 mg + codeine phosphate 8 mg + caffeine 30 mg tablet, celecoxib 200 mg capsule, paracetamol 500 mg + codeine phosphate 8 mg + caffeine 30 mg tablet, celecoxib 200 mg capsule, paracetamol 500 mg + codeine phosphate 8 mg + caffeine 30 mg tablet, celecoxib 200 mg capsule, diclofenac sodium 1% (10 mg/g) gel, diclofenac sodium 1% (10 mg/g) gel, diclofenac sodium 1% (10 mg/g) gel, diclofenac sodium 1% (10 mg/g) gel, celecoxib 200 mg capsule, diclofenac sodium 1% (10 mg/g) gel, paracetamol 500 mg + codeine phosphate 8 mg + caffeine 30 mg tablet, celecoxib 200 mg capsule, diclofenac sodium 1% (10 mg/g) gel, paracetamol 500 mg + codeine phosphate 8 mg + caffeine 30 mg tablet, celecoxib 200 mg capsule, diclofenac sodium 1% (10 mg/g) gel, paracetamol 500 mg + codeine phosphate 8 mg + caffeine 30 mg tablet, celecoxib 200 mg capsule, diclofenac sodium 1% (10 mg/g) gel, paracetamol 500 mg + codeine phosphate 8 mg + caffeine 30 mg tablet, paracetamol 500 mg + codeine phosphate 8 mg + caffeine 30 mg tablet, celecoxib 200 mg capsule, paracetamol 500 mg + codeine phosphate 8 mg + caffeine 30 mg tablet, celecoxib 200 mg capsule, paracetamol 500 mg + codeine phosphate 8 mg + caffeine 30 mg tablet, celecoxib 200 mg capsule, paracetamol 500 mg + codeine phosphate 8 mg + caffeine 30 mg tablet, celecoxib 200 mg capsule, diclofenac sodium 1% (10 mg/g) gel, diclofenac sodium 1% (10 mg/g) gel, diclofenac sodium 1% (10 mg/g) gel, diclofenac sodium 1% (10 mg/g) gel, diclofenac sodium 1% (10 mg/g) gel, diclofenac sodium 1% (10 mg/g) gel, diclofenac sodium 1% (10 mg/g) gel, diclofenac sodium 1% (10 mg/g) gel</t>
  </si>
  <si>
    <t>عبدالاله عبدالرحمن عبدالله قطب</t>
  </si>
  <si>
    <t>cetirizine hydrochloride, sodium chloride, paracetamol</t>
  </si>
  <si>
    <t>cetirizine hydrochloride 10 mg tablet, cetirizine hydrochloride 10 mg tablet, cetirizine hydrochloride 10 mg tablet, cetirizine hydrochloride 10 mg tablet, cetirizine hydrochloride 10 mg tablet, cetirizine hydrochloride 10 mg tablet, sodium chloride 0.9% (9 mg/mL) nasal spray, sodium chloride 0.9% (9 mg/mL) nasal spray, sodium chloride 0.9% (9 mg/mL) nasal spray, sodium chloride 0.9% (9 mg/mL) nasal spray, sodium chloride 0.9% (9 mg/mL) nasal spray, sodium chloride 0.9% (9 mg/mL) nasal spray, paracetamol 500 mg tablet, paracetamol 500 mg tablet, paracetamol 500 mg tablet, paracetamol 500 mg tablet, paracetamol 500 mg tablet, paracetamol 500 mg tablet, sodium chloride 0.9% (9 mg/mL) nasal spray, sodium chloride 0.9% (9 mg/mL) nasal spray, sodium chloride 0.9% (9 mg/mL) nasal spray, sodium chloride 0.9% (9 mg/mL) nasal spray, sodium chloride 0.9% (9 mg/mL) nasal spray, sodium chloride 0.9% (9 mg/mL) nasal spray, cetirizine hydrochloride 10 mg tablet, cetirizine hydrochloride 10 mg tablet, cetirizine hydrochloride 10 mg tablet, cetirizine hydrochloride 10 mg tablet, cetirizine hydrochloride 10 mg tablet, cetirizine hydrochloride 10 mg tablet, paracetamol 500 mg tablet, paracetamol 500 mg tablet, paracetamol 500 mg tablet, paracetamol 500 mg tablet, paracetamol 500 mg tablet, paracetamol 500 mg tablet, cetirizine hydrochloride 10 mg tablet, cetirizine hydrochloride 10 mg tablet, cetirizine hydrochloride 10 mg tablet, cetirizine hydrochloride 10 mg tablet, cetirizine hydrochloride 10 mg tablet, cetirizine hydrochloride 10 mg tablet, paracetamol 500 mg tablet, paracetamol 500 mg tablet, paracetamol 500 mg tablet, paracetamol 500 mg tablet, paracetamol 500 mg tablet, paracetamol 500 mg tablet, sodium chloride 0.9% (9 mg/mL) nasal spray, sodium chloride 0.9% (9 mg/mL) nasal spray, sodium chloride 0.9% (9 mg/mL) nasal spray, sodium chloride 0.9% (9 mg/mL) nasal spray, sodium chloride 0.9% (9 mg/mL) nasal spray, sodium chloride 0.9% (9 mg/mL) nasal spray</t>
  </si>
  <si>
    <t>يوسف وهبي محمد البيشي</t>
  </si>
  <si>
    <t>ابراهيم ابن عايش ابن اسماعيل حسن</t>
  </si>
  <si>
    <t>diclofenac sodium, SITagliptin, vitamin B complex (B, B, gliclazide, metFORMIN hydrochloride</t>
  </si>
  <si>
    <t>diclofenac sodium 1% (10 mg/g) gel, SITagliptin 100 mg tablet, diclofenac sodium 1% (10 mg/g) gel, SITagliptin 100 mg tablet, vitamin B complex (B1,B6,B12) 100,200,0.2 mg Film coated tablets [oral], vitamin B complex (B1,B6,B12) 100,200,0.2 mg Film coated tablets [oral], gliclazide 30 mg tablet: modified release, metFORMIN hydrochloride 500 mg tablet, gliclazide 30 mg tablet: modified release, metFORMIN hydrochloride 500 mg tablet, vitamin B complex (B1,B6,B12) 100,200,0.2 mg Film coated tablets [oral], diclofenac sodium 1% (10 mg/g) gel, SITagliptin 100 mg tablet, vitamin B complex (B1,B6,B12) 100,200,0.2 mg Film coated tablets [oral], diclofenac sodium 1% (10 mg/g) gel, SITagliptin 100 mg tablet, metFORMIN hydrochloride 500 mg tablet, gliclazide 30 mg tablet: modified release, metFORMIN hydrochloride 500 mg tablet, gliclazide 30 mg tablet: modified release</t>
  </si>
  <si>
    <t>طارق عمر علي محمد كابلي</t>
  </si>
  <si>
    <t>carvedilol, finasteride, valsartan, vitamins (A, B, C, D</t>
  </si>
  <si>
    <t>carvedilol 6.25 mg tablet, carvedilol 6.25 mg tablet, carvedilol 6.25 mg tablet, carvedilol 6.25 mg tablet, carvedilol 6.25 mg tablet, carvedilol 6.25 mg tablet, carvedilol 6.25 mg tablet, finasteride 5 mg tablet, valsartan 80 mg tablet, finasteride 5 mg tablet, valsartan 80 mg tablet, finasteride 5 mg tablet, valsartan 80 mg tablet, finasteride 5 mg tablet, valsartan 80 mg tablet, finasteride 5 mg tablet, valsartan 80 mg tablet, finasteride 5 mg tablet, valsartan 80 mg tablet, finasteride 5 mg tablet, valsartan 80 mg tablet, vitamins (A, B1, B2, B3, C, D3) tablet, vitamins (A, B1, B2, B3, C, D3) tablet, vitamins (A, B1, B2, B3, C, D3) tablet, vitamins (A, B1, B2, B3, C, D3) tablet, vitamins (A, B1, B2, B3, C, D3) tablet, vitamins (A, B1, B2, B3, C, D3) tablet, vitamins (A, B1, B2, B3, C, D3) tablet, finasteride 5 mg tablet, finasteride 5 mg tablet, finasteride 5 mg tablet, finasteride 5 mg tablet, finasteride 5 mg tablet, finasteride 5 mg tablet, finasteride 5 mg tablet, valsartan 80 mg tablet, valsartan 80 mg tablet, valsartan 80 mg tablet, valsartan 80 mg tablet, valsartan 80 mg tablet, valsartan 80 mg tablet, valsartan 80 mg tablet, carvedilol 6.25 mg tablet, vitamins (A, B1, B2, B3, C, D3) tablet, carvedilol 6.25 mg tablet, vitamins (A, B1, B2, B3, C, D3) tablet, carvedilol 6.25 mg tablet, vitamins (A, B1, B2, B3, C, D3) tablet, carvedilol 6.25 mg tablet, vitamins (A, B1, B2, B3, C, D3) tablet, carvedilol 6.25 mg tablet, vitamins (A, B1, B2, B3, C, D3) tablet, carvedilol 6.25 mg tablet, vitamins (A, B1, B2, B3, C, D3) tablet, carvedilol 6.25 mg tablet, vitamins (A, B1, B2, B3, C, D3) tablet, finasteride 5 mg tablet, finasteride 5 mg tablet, finasteride 5 mg tablet, finasteride 5 mg tablet, finasteride 5 mg tablet, finasteride 5 mg tablet, finasteride 5 mg tablet, carvedilol 6.25 mg tablet, carvedilol 6.25 mg tablet, carvedilol 6.25 mg tablet, carvedilol 6.25 mg tablet, carvedilol 6.25 mg tablet, carvedilol 6.25 mg tablet, carvedilol 6.25 mg tablet, valsartan 80 mg tablet, vitamins (A, B1, B2, B3, C, D3) tablet, valsartan 80 mg tablet, vitamins (A, B1, B2, B3, C, D3) tablet, valsartan 80 mg tablet, vitamins (A, B1, B2, B3, C, D3) tablet, valsartan 80 mg tablet, vitamins (A, B1, B2, B3, C, D3) tablet, valsartan 80 mg tablet, vitamins (A, B1, B2, B3, C, D3) tablet, valsartan 80 mg tablet, vitamins (A, B1, B2, B3, C, D3) tablet, valsartan 80 mg tablet, vitamins (A, B1, B2, B3, C, D3) tablet</t>
  </si>
  <si>
    <t>خالد محمد عيد صلاح الخطابي</t>
  </si>
  <si>
    <t>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t>
  </si>
  <si>
    <t>سعد علي محمد البسامي</t>
  </si>
  <si>
    <t>metFORMIN hydrochloride, gliclazide</t>
  </si>
  <si>
    <t>metFORMIN hydrochloride 500 mg tablet, metFORMIN hydrochloride 500 mg tablet, gliclazide 60 mg tablet: modified release, gliclazide 60 mg tablet: modified release, gliclazide 60 mg tablet: modified release, gliclazide 60 mg tablet: modified release, metFORMIN hydrochloride 500 mg tablet, metFORMIN hydrochloride 500 mg tablet, metFORMIN hydrochloride 500 mg tablet, gliclazide 60 mg tablet: modified release, metFORMIN hydrochloride 500 mg tablet, gliclazide 60 mg tablet: modified release</t>
  </si>
  <si>
    <t>فوزى بن حسن حلوانى</t>
  </si>
  <si>
    <t>montelukast, loratadine, salbutamol, fluticasone propionate</t>
  </si>
  <si>
    <t>montelukast 10 mg tablet, montelukast 10 mg tablet, montelukast 10 mg tablet, montelukast 10 mg tablet, loratadine 1 mg/mL oral liquid, loratadine 1 mg/mL oral liquid, loratadine 1 mg/mL oral liquid, loratadine 1 mg/mL oral liquid, salbutamol 100 microgram/actuation inhaler, salbutamol 100 microgram/actuation inhaler, salbutamol 100 microgram/actuation inhaler, salbutamol 100 microgram/actuation inhaler, fluticasone propionate 125 microgram/actuation + salmeterol 25 microgram/actuation inhaler, fluticasone propionate 125 microgram/actuation + salmeterol 25 microgram/actuation inhaler, fluticasone propionate 125 microgram/actuation + salmeterol 25 microgram/actuation inhaler, fluticasone propionate 125 microgram/actuation + salmeterol 25 microgram/actuation inhaler, salbutamol 100 microgram/actuation inhaler, fluticasone propionate 125 microgram/actuation + salmeterol 25 microgram/actuation inhaler, salbutamol 100 microgram/actuation inhaler, fluticasone propionate 125 microgram/actuation + salmeterol 25 microgram/actuation inhaler, salbutamol 100 microgram/actuation inhaler, fluticasone propionate 125 microgram/actuation + salmeterol 25 microgram/actuation inhaler, salbutamol 100 microgram/actuation inhaler, fluticasone propionate 125 microgram/actuation + salmeterol 25 microgram/actuation inhaler, montelukast 10 mg tablet, loratadine 1 mg/mL oral liquid, montelukast 10 mg tablet, loratadine 1 mg/mL oral liquid, montelukast 10 mg tablet, loratadine 1 mg/mL oral liquid, montelukast 10 mg tablet, loratadine 1 mg/mL oral liquid, montelukast 10 mg tablet, montelukast 10 mg tablet, montelukast 10 mg tablet, montelukast 10 mg tablet, salbutamol 100 microgram/actuation inhaler, salbutamol 100 microgram/actuation inhaler, salbutamol 100 microgram/actuation inhaler, salbutamol 100 microgram/actuation inhaler, salbutamol 100 microgram/actuation inhaler, fluticasone propionate 125 microgram/actuation + salmeterol 25 microgram/actuation inhaler, salbutamol 100 microgram/actuation inhaler, fluticasone propionate 125 microgram/actuation + salmeterol 25 microgram/actuation inhaler, salbutamol 100 microgram/actuation inhaler, fluticasone propionate 125 microgram/actuation + salmeterol 25 microgram/actuation inhaler, salbutamol 100 microgram/actuation inhaler, fluticasone propionate 125 microgram/actuation + salmeterol 25 microgram/actuation inhaler, loratadine 1 mg/mL oral liquid, loratadine 1 mg/mL oral liquid, loratadine 1 mg/mL oral liquid, loratadine 1 mg/mL oral liquid, montelukast 10 mg tablet, montelukast 10 mg tablet, montelukast 10 mg tablet, montelukast 10 mg tablet</t>
  </si>
  <si>
    <t>ابراهيم حسن عبدالرحمن حلوانى</t>
  </si>
  <si>
    <t>valsartan, amLODIPine, paracetamol</t>
  </si>
  <si>
    <t>valsartan 80 mg tablet, valsartan 80 mg tablet, valsartan 80 mg tablet, valsartan 80 mg tablet, amLODIPine 10 mg capsule, amLODIPine 10 mg capsule, amLODIPine 10 mg capsule, amLODIPine 10 mg capsule, paracetamol 500 mg tablet, paracetamol 500 mg tablet, paracetamol 500 mg tablet, paracetamol 500 mg tablet, amLODIPine 10 mg capsule, amLODIPine 10 mg capsule, amLODIPine 10 mg capsule, amLODIPine 10 mg capsule, paracetamol 500 mg tablet, valsartan 80 mg tablet, paracetamol 500 mg tablet, valsartan 80 mg tablet, paracetamol 500 mg tablet, valsartan 80 mg tablet, paracetamol 500 mg tablet, valsartan 80 mg tablet, paracetamol 500 mg tablet, paracetamol 500 mg tablet, paracetamol 500 mg tablet, paracetamol 500 mg tablet, valsartan 80 mg tablet, valsartan 80 mg tablet, valsartan 80 mg tablet, valsartan 80 mg tablet, amLODIPine 10 mg capsule, amLODIPine 10 mg capsule, amLODIPine 10 mg capsule, amLODIPine 10 mg capsule</t>
  </si>
  <si>
    <t>عبدالاله بن ناصر بن عبدالرحمن الجهني</t>
  </si>
  <si>
    <t>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t>
  </si>
  <si>
    <t>عباسيه دخيل الله علي التميري</t>
  </si>
  <si>
    <t>diclofenac sodium 1% (10 mg/g) gel, diclofenac sodium 1% (10 mg/g) gel, diclofenac sodium 1% (10 mg/g) gel</t>
  </si>
  <si>
    <t>فوزيه عبدالرحمن علي الزهراني</t>
  </si>
  <si>
    <t>valsartan, levothyroxine sodium</t>
  </si>
  <si>
    <t>valsartan 80 mg tablet, levothyroxine sodium 50 microgram tablet, valsartan 80 mg tablet, levothyroxine sodium 50 microgram tablet, valsartan 80 mg tablet, valsartan 80 mg tablet, levothyroxine sodium 50 microgram tablet, levothyroxine sodium 50 microgram tablet, valsartan 80 mg tablet, levothyroxine sodium 50 microgram tablet, valsartan 80 mg tablet, levothyroxine sodium 50 microgram tablet</t>
  </si>
  <si>
    <t>Hypertension, Thyroid</t>
  </si>
  <si>
    <t>يحي علي عطيه الزهراني</t>
  </si>
  <si>
    <t>colecalciferol, metFORMIN hydrochloride, atorvastatin, Strips (Accu-Check)</t>
  </si>
  <si>
    <t>colecalciferol 50 000 international units tablet, colecalciferol 50 000 international units tablet, metFORMIN hydrochloride 500 mg tablet, metFORMIN hydrochloride 500 mg tablet, atorvastatin 20 mg tablet, atorvastatin 20 mg tablet, Strips (Accu-Check) 1 box Strip [n/a], Strips (Accu-Check) 1 box Strip [n/a], metFORMIN hydrochloride 500 mg tablet, metFORMIN hydrochloride 500 mg tablet, atorvastatin 20 mg tablet, Strips (Accu-Check) 1 box Strip [n/a], atorvastatin 20 mg tablet, Strips (Accu-Check) 1 box Strip [n/a], colecalciferol 50 000 international units tablet, colecalciferol 50 000 international units tablet, Strips (Accu-Check) 1 box Strip [n/a], Strips (Accu-Check) 1 box Strip [n/a], atorvastatin 20 mg tablet, atorvastatin 20 mg tablet, colecalciferol 50 000 international units tablet, colecalciferol 50 000 international units tablet, metFORMIN hydrochloride 500 mg tablet, metFORMIN hydrochloride 500 mg tablet</t>
  </si>
  <si>
    <t>سامي يحي علي الزهراني</t>
  </si>
  <si>
    <t>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t>
  </si>
  <si>
    <t>سالم سلمان سليم المطيري</t>
  </si>
  <si>
    <t>colecalciferol, levothyroxine sodium, valsartan, atorvastatin</t>
  </si>
  <si>
    <t>colecalciferol 5000 international units Capsules [oral], levothyroxine sodium 100 microgram tablet, levothyroxine sodium 25 microgram tablet, colecalciferol 5000 international units Capsules [oral], levothyroxine sodium 100 microgram tablet, levothyroxine sodium 25 microgram tablet, valsartan 80 mg tablet, valsartan 80 mg tablet, colecalciferol 5000 international units Capsules [oral], valsartan 80 mg tablet, atorvastatin 10 mg tablet, levothyroxine sodium 25 microgram tablet, colecalciferol 5000 international units Capsules [oral], valsartan 80 mg tablet, atorvastatin 10 mg tablet, levothyroxine sodium 25 microgram tablet, levothyroxine sodium 100 microgram tablet, levothyroxine sodium 100 microgram tablet, levothyroxine sodium 25 microgram tablet, levothyroxine sodium 25 microgram tablet, atorvastatin 10 mg tablet, atorvastatin 10 mg tablet, valsartan 80 mg tablet, valsartan 80 mg tablet, colecalciferol 5000 international units Capsules [oral], levothyroxine sodium 100 microgram tablet, colecalciferol 5000 international units Capsules [oral], levothyroxine sodium 100 microgram tablet, atorvastatin 10 mg tablet, levothyroxine sodium 100 microgram tablet, atorvastatin 10 mg tablet, levothyroxine sodium 100 microgram tablet, colecalciferol 5000 international units Capsules [oral], colecalciferol 5000 international units Capsules [oral], valsartan 80 mg tablet, levothyroxine sodium 25 microgram tablet, valsartan 80 mg tablet, levothyroxine sodium 25 microgram tablet, levothyroxine sodium 100 microgram tablet, valsartan 80 mg tablet, atorvastatin 10 mg tablet, levothyroxine sodium 25 microgram tablet, colecalciferol 5000 international units Capsules [oral], levothyroxine sodium 100 microgram tablet, valsartan 80 mg tablet, atorvastatin 10 mg tablet, levothyroxine sodium 25 microgram tablet, colecalciferol 5000 international units Capsules [oral], colecalciferol 5000 international units Capsules [oral], colecalciferol 5000 international units Capsules [oral], atorvastatin 10 mg tablet, atorvastatin 10 mg tablet, valsartan 80 mg tablet, valsartan 80 mg tablet, levothyroxine sodium 100 microgram tablet, levothyroxine sodium 25 microgram tablet, levothyroxine sodium 100 microgram tablet, levothyroxine sodium 25 microgram tablet, levothyroxine sodium 25 microgram tablet, levothyroxine sodium 100 microgram tablet, colecalciferol 5000 international units Capsules [oral], levothyroxine sodium 25 microgram tablet, levothyroxine sodium 100 microgram tablet, colecalciferol 5000 international units Capsules [oral], valsartan 80 mg tablet, valsartan 80 mg tablet, levothyroxine sodium 100 microgram tablet, levothyroxine sodium 100 microgram tablet, colecalciferol 5000 international units Capsules [oral], colecalciferol 5000 international units Capsules [oral], levothyroxine sodium 25 microgram tablet, levothyroxine sodium 25 microgram tablet, valsartan 80 mg tablet, valsartan 80 mg tablet</t>
  </si>
  <si>
    <t>شذي جلال ياسر هاشم</t>
  </si>
  <si>
    <t>سلوى سويعد حظيظ المحمدي</t>
  </si>
  <si>
    <t>metFORMIN hydrochloride, levothyroxine sodium</t>
  </si>
  <si>
    <t>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levothyroxine sodium 100 microgram tablet, levothyroxine sodium 100 microgram tablet, levothyroxine sodium 100 microgram tablet, levothyroxine sodium 100 microgram tablet, levothyroxine sodium 100 microgram tablet, levothyroxine sodium 100 microgram tablet, levothyroxine sodium 100 microgram tablet, levothyroxine sodium 100 microgram tablet, levothyroxine sodium 100 microgram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levothyroxine sodium 50 microgram tablet, levothyroxine sodium 50 microgram tablet, levothyroxine sodium 50 microgram tablet, levothyroxine sodium 50 microgram tablet, levothyroxine sodium 50 microgram tablet, levothyroxine sodium 50 microgram tablet, levothyroxine sodium 50 microgram tablet, levothyroxine sodium 50 microgram tablet, levothyroxine sodium 50 microgram tablet, levothyroxine sodium 100 microgram tablet, levothyroxine sodium 100 microgram tablet, levothyroxine sodium 100 microgram tablet, levothyroxine sodium 100 microgram tablet, levothyroxine sodium 100 microgram tablet, levothyroxine sodium 100 microgram tablet, levothyroxine sodium 100 microgram tablet, levothyroxine sodium 100 microgram tablet, levothyroxine sodium 100 microgram tablet, metFORMIN hydrochloride 500 mg tablet, levothyroxine sodium 50 microgram tablet, metFORMIN hydrochloride 500 mg tablet, levothyroxine sodium 50 microgram tablet, metFORMIN hydrochloride 500 mg tablet, levothyroxine sodium 50 microgram tablet, metFORMIN hydrochloride 500 mg tablet, levothyroxine sodium 50 microgram tablet, metFORMIN hydrochloride 500 mg tablet, levothyroxine sodium 50 microgram tablet, metFORMIN hydrochloride 500 mg tablet, levothyroxine sodium 50 microgram tablet, metFORMIN hydrochloride 500 mg tablet, levothyroxine sodium 50 microgram tablet, metFORMIN hydrochloride 500 mg tablet, levothyroxine sodium 50 microgram tablet, metFORMIN hydrochloride 500 mg tablet, levothyroxine sodium 50 microgram tablet, levothyroxine sodium 100 microgram tablet, levothyroxine sodium 100 microgram tablet, levothyroxine sodium 100 microgram tablet, levothyroxine sodium 100 microgram tablet, levothyroxine sodium 100 microgram tablet, levothyroxine sodium 100 microgram tablet, levothyroxine sodium 100 microgram tablet, levothyroxine sodium 100 microgram tablet, levothyroxine sodium 100 microgram tablet, levothyroxine sodium 100 microgram tablet, levothyroxine sodium 50 microgram tablet, metFORMIN hydrochloride 500 mg tablet, levothyroxine sodium 100 microgram tablet, levothyroxine sodium 50 microgram tablet, metFORMIN hydrochloride 500 mg tablet, levothyroxine sodium 100 microgram tablet, levothyroxine sodium 50 microgram tablet, metFORMIN hydrochloride 500 mg tablet, levothyroxine sodium 100 microgram tablet, levothyroxine sodium 50 microgram tablet, metFORMIN hydrochloride 500 mg tablet, levothyroxine sodium 100 microgram tablet, levothyroxine sodium 50 microgram tablet, metFORMIN hydrochloride 500 mg tablet, levothyroxine sodium 100 microgram tablet, levothyroxine sodium 50 microgram tablet, metFORMIN hydrochloride 500 mg tablet, levothyroxine sodium 100 microgram tablet, levothyroxine sodium 50 microgram tablet, metFORMIN hydrochloride 500 mg tablet, levothyroxine sodium 100 microgram tablet, levothyroxine sodium 50 microgram tablet, metFORMIN hydrochloride 500 mg tablet, levothyroxine sodium 100 microgram tablet, levothyroxine sodium 50 microgram tablet, metFORMIN hydrochloride 500 mg tablet, levothyroxine sodium 100 microgram tablet, metFORMIN hydrochloride 500 mg tablet, levothyroxine sodium 100 microgram tablet, metFORMIN hydrochloride 500 mg tablet, levothyroxine sodium 100 microgram tablet, metFORMIN hydrochloride 500 mg tablet, levothyroxine sodium 100 microgram tablet, metFORMIN hydrochloride 500 mg tablet, levothyroxine sodium 100 microgram tablet, metFORMIN hydrochloride 500 mg tablet, levothyroxine sodium 100 microgram tablet, metFORMIN hydrochloride 500 mg tablet, levothyroxine sodium 100 microgram tablet, metFORMIN hydrochloride 500 mg tablet, levothyroxine sodium 100 microgram tablet, metFORMIN hydrochloride 500 mg tablet, levothyroxine sodium 100 microgram tablet, metFORMIN hydrochloride 500 mg tablet, levothyroxine sodium 50 microgram tablet, levothyroxine sodium 50 microgram tablet, levothyroxine sodium 50 microgram tablet, levothyroxine sodium 50 microgram tablet, levothyroxine sodium 50 microgram tablet, levothyroxine sodium 50 microgram tablet, levothyroxine sodium 50 microgram tablet, levothyroxine sodium 50 microgram tablet, levothyroxine sodium 50 microgram tablet, levothyroxine sodium 50 microgram tablet, levothyroxine sodium 100 microgram tablet, levothyroxine sodium 50 microgram tablet, levothyroxine sodium 100 microgram tablet, levothyroxine sodium 50 microgram tablet, levothyroxine sodium 100 microgram tablet, levothyroxine sodium 50 microgram tablet, levothyroxine sodium 100 microgram tablet, levothyroxine sodium 50 microgram tablet, levothyroxine sodium 100 microgram tablet, levothyroxine sodium 50 microgram tablet, levothyroxine sodium 100 microgram tablet, levothyroxine sodium 50 microgram tablet, levothyroxine sodium 100 microgram tablet, levothyroxine sodium 50 microgram tablet, levothyroxine sodium 100 microgram tablet, levothyroxine sodium 50 microgram tablet, levothyroxine sodium 100 microgram tablet</t>
  </si>
  <si>
    <t>Diabetes, Thyroid</t>
  </si>
  <si>
    <t>سهاد بكر محمد رشيدي</t>
  </si>
  <si>
    <t>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t>
  </si>
  <si>
    <t>فاتن صلاح عبدالقادر سالم</t>
  </si>
  <si>
    <t>موضي نايف عالي الحربي</t>
  </si>
  <si>
    <t>atorvastatin, metFORMIN hydrochloride</t>
  </si>
  <si>
    <t>atorvastatin 20 mg tablet, atorvastatin 20 mg tablet, atorvastatin 20 mg tablet, atorvastatin 20 mg tablet, metFORMIN hydrochloride 750 mg tablet: modified release, metFORMIN hydrochloride 750 mg tablet: modified release, metFORMIN hydrochloride 750 mg tablet: modified release, metFORMIN hydrochloride 750 mg tablet: modified release, atorvastatin 20 mg tablet, atorvastatin 20 mg tablet, atorvastatin 20 mg tablet, atorvastatin 20 mg tablet, metFORMIN hydrochloride 750 mg tablet: modified release, metFORMIN hydrochloride 750 mg tablet: modified release, metFORMIN hydrochloride 750 mg tablet: modified release, metFORMIN hydrochloride 750 mg tablet: modified release, atorvastatin 20 mg tablet, atorvastatin 20 mg tablet, atorvastatin 20 mg tablet, atorvastatin 20 mg tablet, metFORMIN hydrochloride 750 mg tablet: modified release, metFORMIN hydrochloride 750 mg tablet: modified release, metFORMIN hydrochloride 750 mg tablet: modified release, metFORMIN hydrochloride 750 mg tablet: modified release, metFORMIN hydrochloride 750 mg tablet: modified release, atorvastatin 20 mg tablet, metFORMIN hydrochloride 750 mg tablet: modified release, atorvastatin 20 mg tablet, metFORMIN hydrochloride 750 mg tablet: modified release, atorvastatin 20 mg tablet, metFORMIN hydrochloride 750 mg tablet: modified release, atorvastatin 20 mg tablet, atorvastatin 20 mg tablet, atorvastatin 20 mg tablet, atorvastatin 20 mg tablet, atorvastatin 20 mg tablet,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t>
  </si>
  <si>
    <t>لبنى خليل ابراهيم نعمان</t>
  </si>
  <si>
    <t>فاديه علي جمعان الغامدي</t>
  </si>
  <si>
    <t>ibuprofen, metroNIDAZOLE, amoxicillin</t>
  </si>
  <si>
    <t>ibuprofen 400 mg tablet, ibuprofen 400 mg tablet, ibuprofen 400 mg tablet, ibuprofen 400 mg tablet, ibuprofen 400 mg tablet, ibuprofen 400 mg tablet, metroNIDAZOLE 500 mg tablet, metroNIDAZOLE 500 mg tablet, metroNIDAZOLE 500 mg tablet, metroNIDAZOLE 500 mg tablet, metroNIDAZOLE 500 mg tablet, metroNIDAZOLE 500 mg tablet, ibuprofen 400 mg tablet, ibuprofen 400 mg tablet, ibuprofen 400 mg tablet, ibuprofen 400 mg tablet, ibuprofen 400 mg tablet, ibuprofen 400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metroNIDAZOLE 500 mg tablet, metroNIDAZOLE 500 mg tablet, metroNIDAZOLE 500 mg tablet, metroNIDAZOLE 500 mg tablet, metroNIDAZOLE 500 mg tablet, metroNIDAZOLE 500 mg tablet, ibuprofen 400 mg tablet, ibuprofen 400 mg tablet, ibuprofen 400 mg tablet, ibuprofen 400 mg tablet, ibuprofen 400 mg tablet, ibuprofen 400 mg tablet, metroNIDAZOLE 500 mg tablet, metroNIDAZOLE 500 mg tablet, metroNIDAZOLE 500 mg tablet, metroNIDAZOLE 500 mg tablet, metroNIDAZOLE 500 mg tablet, metroNIDAZOLE 500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ibuprofen 400 mg tablet, ibuprofen 400 mg tablet, ibuprofen 400 mg tablet, ibuprofen 400 mg tablet, ibuprofen 400 mg tablet, ibuprofen 400 mg tablet, ibuprofen 400 mg tablet, metroNIDAZOLE 500 mg tablet, amoxicillin 500 mg + clavulanic acid 125 mg tablet, ibuprofen 400 mg tablet, metroNIDAZOLE 500 mg tablet, amoxicillin 500 mg + clavulanic acid 125 mg tablet, ibuprofen 400 mg tablet, metroNIDAZOLE 500 mg tablet, amoxicillin 500 mg + clavulanic acid 125 mg tablet, ibuprofen 400 mg tablet, metroNIDAZOLE 500 mg tablet, amoxicillin 500 mg + clavulanic acid 125 mg tablet, ibuprofen 400 mg tablet, metroNIDAZOLE 500 mg tablet, amoxicillin 500 mg + clavulanic acid 125 mg tablet, ibuprofen 400 mg tablet, metroNIDAZOLE 500 mg tablet, amoxicillin 500 mg + clavulanic acid 125 mg tablet, ibuprofen 400 mg tablet, ibuprofen 400 mg tablet, ibuprofen 400 mg tablet, ibuprofen 400 mg tablet, ibuprofen 400 mg tablet, ibuprofen 400 mg tablet, metroNIDAZOLE 500 mg tablet, metroNIDAZOLE 500 mg tablet, metroNIDAZOLE 500 mg tablet, metroNIDAZOLE 500 mg tablet, metroNIDAZOLE 500 mg tablet, metroNIDAZOLE 500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metroNIDAZOLE 500 mg tablet, metroNIDAZOLE 500 mg tablet, metroNIDAZOLE 500 mg tablet, metroNIDAZOLE 500 mg tablet, metroNIDAZOLE 500 mg tablet, metroNIDAZOLE 500 mg tablet, ibuprofen 400 mg tablet, amoxicillin 500 mg + clavulanic acid 125 mg tablet, ibuprofen 400 mg tablet, amoxicillin 500 mg + clavulanic acid 125 mg tablet, ibuprofen 400 mg tablet, amoxicillin 500 mg + clavulanic acid 125 mg tablet, ibuprofen 400 mg tablet, amoxicillin 500 mg + clavulanic acid 125 mg tablet, ibuprofen 400 mg tablet, amoxicillin 500 mg + clavulanic acid 125 mg tablet, ibuprofen 400 mg tablet, amoxicillin 500 mg + clavulanic acid 125 mg tablet, metroNIDAZOLE 500 mg tablet, metroNIDAZOLE 500 mg tablet, metroNIDAZOLE 500 mg tablet, metroNIDAZOLE 500 mg tablet, metroNIDAZOLE 500 mg tablet, metroNIDAZOLE 500 mg tablet, ibuprofen 400 mg tablet, ibuprofen 400 mg tablet, ibuprofen 400 mg tablet, ibuprofen 400 mg tablet, ibuprofen 400 mg tablet, ibuprofen 400 mg tablet, ibuprofen 400 mg tablet, ibuprofen 400 mg tablet, ibuprofen 400 mg tablet, ibuprofen 400 mg tablet, ibuprofen 400 mg tablet, ibuprofen 400 mg tablet</t>
  </si>
  <si>
    <t>منيره عمر عبدالرحمن فخري</t>
  </si>
  <si>
    <t>perindopril arginine, metFORMIN hydrochloride, amLODIPine, chlorzoxazone, vitamin B complex (B, B, furosemide, diclofenac sodium, rosuvastatin</t>
  </si>
  <si>
    <t>perindopril arginine 5 mg tablet, metFORMIN hydrochloride 500 mg tablet, perindopril arginine 5 mg tablet, metFORMIN hydrochloride 500 mg tablet, perindopril arginine 5 mg tablet, metFORMIN hydrochloride 500 mg tablet, perindopril arginine 5 mg tablet, metFORMIN hydrochloride 500 mg tablet, perindopril arginine 5 mg tablet, metFORMIN hydrochloride 500 mg tablet, perindopril arginine 5 mg tablet, metFORMIN hydrochloride 500 mg tablet, perindopril arginine 5 mg tablet, metFORMIN hydrochloride 500 mg tablet, amLODIPine 5 mg tablet, amLODIPine 5 mg tablet, amLODIPine 5 mg tablet, amLODIPine 5 mg tablet, amLODIPine 5 mg tablet, amLODIPine 5 mg tablet, amLODIPine 5 mg tablet, chlorzoxazone 250 mg + paracetamol 300 mg capsule, vitamin B complex (B1,B6,B12) 100,200,0.2 mg Film coated tablets [oral], furosemide 40 mg tablet, chlorzoxazone 250 mg + paracetamol 300 mg capsule, vitamin B complex (B1,B6,B12) 100,200,0.2 mg Film coated tablets [oral], furosemide 40 mg tablet, chlorzoxazone 250 mg + paracetamol 300 mg capsule, vitamin B complex (B1,B6,B12) 100,200,0.2 mg Film coated tablets [oral], furosemide 40 mg tablet, chlorzoxazone 250 mg + paracetamol 300 mg capsule, vitamin B complex (B1,B6,B12) 100,200,0.2 mg Film coated tablets [oral], furosemide 40 mg tablet, chlorzoxazone 250 mg + paracetamol 300 mg capsule, vitamin B complex (B1,B6,B12) 100,200,0.2 mg Film coated tablets [oral], furosemide 40 mg tablet, chlorzoxazone 250 mg + paracetamol 300 mg capsule, vitamin B complex (B1,B6,B12) 100,200,0.2 mg Film coated tablets [oral], furosemide 40 mg tablet, chlorzoxazone 250 mg + paracetamol 300 mg capsule, vitamin B complex (B1,B6,B12) 100,200,0.2 mg Film coated tablets [oral], furosemide 40 mg tablet, diclofenac sodium 1% (10 mg/g) gel, diclofenac sodium 1% (10 mg/g) gel, diclofenac sodium 1% (10 mg/g) gel, diclofenac sodium 1% (10 mg/g) gel, diclofenac sodium 1% (10 mg/g) gel, diclofenac sodium 1% (10 mg/g) gel, diclofenac sodium 1% (10 mg/g) gel, rosuvastatin 10 mg tablet, rosuvastatin 10 mg tablet, rosuvastatin 10 mg tablet, rosuvastatin 10 mg tablet, rosuvastatin 10 mg tablet, rosuvastatin 10 mg tablet, rosuvastatin 10 mg tablet, furosemide 40 mg tablet, chlorzoxazone 250 mg + paracetamol 300 mg capsule, metFORMIN hydrochloride 500 mg tablet, perindopril arginine 5 mg tablet, furosemide 40 mg tablet, chlorzoxazone 250 mg + paracetamol 300 mg capsule, metFORMIN hydrochloride 500 mg tablet, perindopril arginine 5 mg tablet, furosemide 40 mg tablet, chlorzoxazone 250 mg + paracetamol 300 mg capsule, metFORMIN hydrochloride 500 mg tablet, perindopril arginine 5 mg tablet, furosemide 40 mg tablet, chlorzoxazone 250 mg + paracetamol 300 mg capsule, metFORMIN hydrochloride 500 mg tablet, perindopril arginine 5 mg tablet, furosemide 40 mg tablet, chlorzoxazone 250 mg + paracetamol 300 mg capsule, metFORMIN hydrochloride 500 mg tablet, perindopril arginine 5 mg tablet, furosemide 40 mg tablet, chlorzoxazone 250 mg + paracetamol 300 mg capsule, metFORMIN hydrochloride 500 mg tablet, perindopril arginine 5 mg tablet, furosemide 40 mg tablet, chlorzoxazone 250 mg + paracetamol 300 mg capsule, metFORMIN hydrochloride 500 mg tablet, perindopril arginine 5 mg tablet, amLODIPine 5 mg tablet, amLODIPine 5 mg tablet, amLODIPine 5 mg tablet, amLODIPine 5 mg tablet, amLODIPine 5 mg tablet, amLODIPine 5 mg tablet, amLODIPine 5 mg tablet, diclofenac sodium 1% (10 mg/g) gel, rosuvastatin 10 mg tablet, vitamin B complex (B1,B6,B12) 100,200,0.2 mg Film coated tablets [oral], diclofenac sodium 1% (10 mg/g) gel, rosuvastatin 10 mg tablet, vitamin B complex (B1,B6,B12) 100,200,0.2 mg Film coated tablets [oral], diclofenac sodium 1% (10 mg/g) gel, rosuvastatin 10 mg tablet, vitamin B complex (B1,B6,B12) 100,200,0.2 mg Film coated tablets [oral], diclofenac sodium 1% (10 mg/g) gel, rosuvastatin 10 mg tablet, vitamin B complex (B1,B6,B12) 100,200,0.2 mg Film coated tablets [oral], diclofenac sodium 1% (10 mg/g) gel, rosuvastatin 10 mg tablet, vitamin B complex (B1,B6,B12) 100,200,0.2 mg Film coated tablets [oral], diclofenac sodium 1% (10 mg/g) gel, rosuvastatin 10 mg tablet, vitamin B complex (B1,B6,B12) 100,200,0.2 mg Film coated tablets [oral], diclofenac sodium 1% (10 mg/g) gel, rosuvastatin 10 mg tablet, vitamin B complex (B1,B6,B12) 100,200,0.2 mg Film coated tablets [oral], amLODIPine 5 mg tablet, amLODIPine 5 mg tablet, amLODIPine 5 mg tablet, amLODIPine 5 mg tablet, amLODIPine 5 mg tablet, amLODIPine 5 mg tablet, amLODIPine 5 mg tablet, vitamin B complex (B1,B6,B12) 100,200,0.2 mg Film coated tablets [oral], chlorzoxazone 250 mg + paracetamol 300 mg capsule, vitamin B complex (B1,B6,B12) 100,200,0.2 mg Film coated tablets [oral], chlorzoxazone 250 mg + paracetamol 300 mg capsule, vitamin B complex (B1,B6,B12) 100,200,0.2 mg Film coated tablets [oral], chlorzoxazone 250 mg + paracetamol 300 mg capsule, vitamin B complex (B1,B6,B12) 100,200,0.2 mg Film coated tablets [oral], chlorzoxazone 250 mg + paracetamol 300 mg capsule, vitamin B complex (B1,B6,B12) 100,200,0.2 mg Film coated tablets [oral], chlorzoxazone 250 mg + paracetamol 300 mg capsule, vitamin B complex (B1,B6,B12) 100,200,0.2 mg Film coated tablets [oral], chlorzoxazone 250 mg + paracetamol 300 mg capsule, vitamin B complex (B1,B6,B12) 100,200,0.2 mg Film coated tablets [oral], chlorzoxazone 250 mg + paracetamol 300 mg capsule, furosemide 40 mg tablet, furosemide 40 mg tablet, furosemide 40 mg tablet, furosemide 40 mg tablet, furosemide 40 mg tablet, furosemide 40 mg tablet, furosemide 40 mg tablet, metFORMIN hydrochloride 500 mg tablet, metFORMIN hydrochloride 500 mg tablet, metFORMIN hydrochloride 500 mg tablet, metFORMIN hydrochloride 500 mg tablet, metFORMIN hydrochloride 500 mg tablet, metFORMIN hydrochloride 500 mg tablet, metFORMIN hydrochloride 500 mg tablet, rosuvastatin 10 mg tablet, diclofenac sodium 1% (10 mg/g) gel, perindopril arginine 5 mg tablet, rosuvastatin 10 mg tablet, diclofenac sodium 1% (10 mg/g) gel, perindopril arginine 5 mg tablet, rosuvastatin 10 mg tablet, diclofenac sodium 1% (10 mg/g) gel, perindopril arginine 5 mg tablet, rosuvastatin 10 mg tablet, diclofenac sodium 1% (10 mg/g) gel, perindopril arginine 5 mg tablet, rosuvastatin 10 mg tablet, diclofenac sodium 1% (10 mg/g) gel, perindopril arginine 5 mg tablet, rosuvastatin 10 mg tablet, diclofenac sodium 1% (10 mg/g) gel, perindopril arginine 5 mg tablet, rosuvastatin 10 mg tablet, diclofenac sodium 1% (10 mg/g) gel, perindopril arginine 5 mg tablet</t>
  </si>
  <si>
    <t>جمال احمد داود اسكندر</t>
  </si>
  <si>
    <t>fenofibrate, beta-sitosterol, fusidic acid</t>
  </si>
  <si>
    <t>fenofibrate 145 mg tablet, fenofibrate 145 mg tablet, fenofibrate 145 mg tablet, beta-sitosterol 0.25% (2.5 mg/g) ointment, beta-sitosterol 0.25% (2.5 mg/g) ointment, beta-sitosterol 0.25% (2.5 mg/g) ointment, fusidic acid 2% (20 mg/g) cream, fusidic acid 2% (20 mg/g) cream, fusidic acid 2% (20 mg/g) cream, beta-sitosterol 0.25% (2.5 mg/g) ointment, fenofibrate 145 mg tablet, beta-sitosterol 0.25% (2.5 mg/g) ointment, fenofibrate 145 mg tablet, beta-sitosterol 0.25% (2.5 mg/g) ointment, fenofibrate 145 mg tablet, fusidic acid 2% (20 mg/g) cream, fusidic acid 2% (20 mg/g) cream, fusidic acid 2% (20 mg/g) cream</t>
  </si>
  <si>
    <t>ابراهيم عبدالله محمد الغامدي</t>
  </si>
  <si>
    <t>atorvastatin, colecalciferol</t>
  </si>
  <si>
    <t>atorvastatin 20 mg tablet, atorvastatin 20 mg tablet, atorvastatin 20 mg tablet, atorvastatin 20 mg tablet, atorvastatin 20 mg tablet, atorvastatin 20 mg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atorvastatin 20 mg tablet, atorvastatin 20 mg tablet, atorvastatin 20 mg tablet, atorvastatin 20 mg tablet, atorvastatin 20 mg tablet, atorvastatin 20 mg tablet, colecalciferol 50 000 international units tablet, atorvastatin 20 mg tablet, colecalciferol 50 000 international units tablet, atorvastatin 20 mg tablet, colecalciferol 50 000 international units tablet, atorvastatin 20 mg tablet, colecalciferol 50 000 international units tablet, atorvastatin 20 mg tablet, colecalciferol 50 000 international units tablet, atorvastatin 20 mg tablet, colecalciferol 50 000 international units tablet, atorvastatin 20 mg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t>
  </si>
  <si>
    <t>عبدالله عابد ابن قاري جان</t>
  </si>
  <si>
    <t>محسنه سعيد مبارك الحارثي</t>
  </si>
  <si>
    <t>atorvastatin 10 mg tablet, atorvastatin 10 mg tablet, atorvastatin 10 mg tablet, atorvastatin 10 mg tablet, atorvastatin 10 mg tablet, atorvastatin 10 mg tablet</t>
  </si>
  <si>
    <t>غازي مذيكر فايز المطيري</t>
  </si>
  <si>
    <t>levothyroxine sodium, atorvastatin</t>
  </si>
  <si>
    <t>levothyroxine sodium 50 microgram tablet, levothyroxine sodium 25 microgram tablet, levothyroxine sodium 50 microgram tablet, levothyroxine sodium 25 microgram tablet, levothyroxine sodium 50 microgram tablet, levothyroxine sodium 25 microgram tablet, levothyroxine sodium 50 microgram tablet, levothyroxine sodium 25 microgram tablet, levothyroxine sodium 50 microgram tablet, levothyroxine sodium 25 microgram tablet, levothyroxine sodium 50 microgram tablet, levothyroxine sodium 25 microgram tablet, atorvastatin 20 mg tablet, atorvastatin 20 mg tablet, atorvastatin 20 mg tablet, atorvastatin 20 mg tablet, atorvastatin 20 mg tablet, atorvastatin 20 mg tablet, levothyroxine sodium 50 microgram tablet, levothyroxine sodium 25 microgram tablet, levothyroxine sodium 50 microgram tablet, levothyroxine sodium 25 microgram tablet, levothyroxine sodium 50 microgram tablet, levothyroxine sodium 25 microgram tablet, levothyroxine sodium 50 microgram tablet, levothyroxine sodium 25 microgram tablet, levothyroxine sodium 50 microgram tablet, levothyroxine sodium 25 microgram tablet, levothyroxine sodium 50 microgram tablet, levothyroxine sodium 25 microgram tablet, atorvastatin 20 mg tablet, atorvastatin 20 mg tablet, atorvastatin 20 mg tablet, atorvastatin 20 mg tablet, atorvastatin 20 mg tablet, atorvastatin 20 mg tablet</t>
  </si>
  <si>
    <t>Dyslipidemia, Thyroid</t>
  </si>
  <si>
    <t>فاطمه محمد حسن عسيري</t>
  </si>
  <si>
    <t>valsartan 80 mg tablet, valsartan 80 mg tablet, valsartan 80 mg tablet, valsartan 80 mg tablet, amLODIPine 5 mg tablet, amLODIPine 5 mg tablet, amLODIPine 5 mg tablet, amLODIPine 5 mg tablet, amLODIPine 5 mg tablet, amLODIPine 5 mg tablet, amLODIPine 5 mg tablet, amLODIPine 5 mg tablet, valsartan 80 mg tablet, valsartan 80 mg tablet, valsartan 80 mg tablet, valsartan 80 mg tablet</t>
  </si>
  <si>
    <t>عبدالرحمن مسعود سنان عريش</t>
  </si>
  <si>
    <t>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t>
  </si>
  <si>
    <t>ابراهيم نويفع سعد الردادي</t>
  </si>
  <si>
    <t>gliclazide, isosorbide dinitrate, rosuvastatin, bisoprolol fumarate</t>
  </si>
  <si>
    <t>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isosorbide dinitrate 20 mg capsule: modified release, rosuvastatin 20 mg tablet, bisoprolol fumarate 5 mg tablet, isosorbide dinitrate 20 mg capsule: modified release, rosuvastatin 20 mg tablet, bisoprolol fumarate 5 mg tablet, isosorbide dinitrate 20 mg capsule: modified release, rosuvastatin 20 mg tablet, bisoprolol fumarate 5 mg tablet, isosorbide dinitrate 20 mg capsule: modified release, rosuvastatin 20 mg tablet, bisoprolol fumarate 5 mg tablet, isosorbide dinitrate 20 mg capsule: modified release, rosuvastatin 20 mg tablet, bisoprolol fumarate 5 mg tablet, isosorbide dinitrate 20 mg capsule: modified release, rosuvastatin 20 mg tablet, bisoprolol fumarate 5 mg tablet, isosorbide dinitrate 20 mg capsule: modified release, rosuvastatin 20 mg tablet, bisoprolol fumarate 5 mg tablet, isosorbide dinitrate 20 mg capsule: modified release, rosuvastatin 20 mg tablet, bisoprolol fumarate 5 mg tablet, isosorbide dinitrate 20 mg capsule: modified release, rosuvastatin 20 mg tablet, bisoprolol fumarate 5 mg tablet, gliclazide 60 mg tablet: modified release, bisoprolol fumarate 5 mg tablet, gliclazide 60 mg tablet: modified release, bisoprolol fumarate 5 mg tablet, gliclazide 60 mg tablet: modified release, bisoprolol fumarate 5 mg tablet, gliclazide 60 mg tablet: modified release, bisoprolol fumarate 5 mg tablet, gliclazide 60 mg tablet: modified release, bisoprolol fumarate 5 mg tablet, gliclazide 60 mg tablet: modified release, bisoprolol fumarate 5 mg tablet, gliclazide 60 mg tablet: modified release, bisoprolol fumarate 5 mg tablet, gliclazide 60 mg tablet: modified release, bisoprolol fumarate 5 mg tablet, gliclazide 60 mg tablet: modified release, bisoprolol fumarate 5 mg tablet, isosorbide dinitrate 20 mg capsule: modified release, isosorbide dinitrate 20 mg capsule: modified release, isosorbide dinitrate 20 mg capsule: modified release, isosorbide dinitrate 20 mg capsule: modified release, isosorbide dinitrate 20 mg capsule: modified release, isosorbide dinitrate 20 mg capsule: modified release, isosorbide dinitrate 20 mg capsule: modified release, isosorbide dinitrate 20 mg capsule: modified release, isosorbide dinitrate 20 mg capsule: modified release, rosuvastatin 20 mg tablet, rosuvastatin 20 mg tablet, rosuvastatin 20 mg tablet, rosuvastatin 20 mg tablet, rosuvastatin 20 mg tablet, rosuvastatin 20 mg tablet, rosuvastatin 20 mg tablet, rosuvastatin 20 mg tablet, rosuvastatin 20 mg tablet, bisoprolol fumarate 5 mg tablet, gliclazide 60 mg tablet: modified release, rosuvastatin 20 mg tablet, isosorbide dinitrate 20 mg capsule: modified release, bisoprolol fumarate 5 mg tablet, gliclazide 60 mg tablet: modified release, rosuvastatin 20 mg tablet, isosorbide dinitrate 20 mg capsule: modified release, bisoprolol fumarate 5 mg tablet, gliclazide 60 mg tablet: modified release, rosuvastatin 20 mg tablet, isosorbide dinitrate 20 mg capsule: modified release, bisoprolol fumarate 5 mg tablet, gliclazide 60 mg tablet: modified release, rosuvastatin 20 mg tablet, isosorbide dinitrate 20 mg capsule: modified release, bisoprolol fumarate 5 mg tablet, gliclazide 60 mg tablet: modified release, rosuvastatin 20 mg tablet, isosorbide dinitrate 20 mg capsule: modified release, bisoprolol fumarate 5 mg tablet, gliclazide 60 mg tablet: modified release, rosuvastatin 20 mg tablet, isosorbide dinitrate 20 mg capsule: modified release, bisoprolol fumarate 5 mg tablet, gliclazide 60 mg tablet: modified release, rosuvastatin 20 mg tablet, isosorbide dinitrate 20 mg capsule: modified release, bisoprolol fumarate 5 mg tablet, gliclazide 60 mg tablet: modified release, rosuvastatin 20 mg tablet, isosorbide dinitrate 20 mg capsule: modified release, bisoprolol fumarate 5 mg tablet, gliclazide 60 mg tablet: modified release, rosuvastatin 20 mg tablet, isosorbide dinitrate 20 mg capsule: modified release, bisoprolol fumarate 5 mg tablet, bisoprolol fumarate 5 mg tablet, bisoprolol fumarate 5 mg tablet, bisoprolol fumarate 5 mg tablet, bisoprolol fumarate 5 mg tablet, bisoprolol fumarate 5 mg tablet, bisoprolol fumarate 5 mg tablet, bisoprolol fumarate 5 mg tablet, bisoprolol fumarate 5 mg tablet, rosuvastatin 20 mg tablet, isosorbide dinitrate 20 mg capsule: modified release, rosuvastatin 20 mg tablet, isosorbide dinitrate 20 mg capsule: modified release, rosuvastatin 20 mg tablet, isosorbide dinitrate 20 mg capsule: modified release, rosuvastatin 20 mg tablet, isosorbide dinitrate 20 mg capsule: modified release, rosuvastatin 20 mg tablet, isosorbide dinitrate 20 mg capsule: modified release, rosuvastatin 20 mg tablet, isosorbide dinitrate 20 mg capsule: modified release, rosuvastatin 20 mg tablet, isosorbide dinitrate 20 mg capsule: modified release, rosuvastatin 20 mg tablet, isosorbide dinitrate 20 mg capsule: modified release, rosuvastatin 20 mg tablet, isosorbide dinitrate 20 mg capsule: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rosuvastatin 20 mg tablet, isosorbide dinitrate 20 mg capsule: modified release, gliclazide 60 mg tablet: modified release, rosuvastatin 20 mg tablet, isosorbide dinitrate 20 mg capsule: modified release, gliclazide 60 mg tablet: modified release, rosuvastatin 20 mg tablet, isosorbide dinitrate 20 mg capsule: modified release, gliclazide 60 mg tablet: modified release, rosuvastatin 20 mg tablet, isosorbide dinitrate 20 mg capsule: modified release, gliclazide 60 mg tablet: modified release, rosuvastatin 20 mg tablet, isosorbide dinitrate 20 mg capsule: modified release, gliclazide 60 mg tablet: modified release, rosuvastatin 20 mg tablet, isosorbide dinitrate 20 mg capsule: modified release, gliclazide 60 mg tablet: modified release, rosuvastatin 20 mg tablet, isosorbide dinitrate 20 mg capsule: modified release, gliclazide 60 mg tablet: modified release, rosuvastatin 20 mg tablet, isosorbide dinitrate 20 mg capsule: modified release, gliclazide 60 mg tablet: modified release, rosuvastatin 20 mg tablet, isosorbide dinitrate 20 mg capsule: modified release</t>
  </si>
  <si>
    <t>غازي محمد عبدالله القرني</t>
  </si>
  <si>
    <t>amoxicillin, paracetamol</t>
  </si>
  <si>
    <t>amoxicillin 500 mg + clavulanic acid 125 mg tablet, paracetamol 500 mg tablet, amoxicillin 500 mg + clavulanic acid 125 mg tablet, paracetamol 500 mg tablet, amoxicillin 500 mg + clavulanic acid 125 mg tablet, paracetamol 500 mg tablet, amoxicillin 500 mg + clavulanic acid 125 mg tablet, paracetamol 500 mg tablet, amoxicillin 500 mg + clavulanic acid 125 mg tablet, paracetamol 500 mg tablet, amoxicillin 500 mg + clavulanic acid 125 mg tablet, paracetamol 500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paracetamol 500 mg tablet, paracetamol 500 mg tablet, paracetamol 500 mg tablet, paracetamol 500 mg tablet, paracetamol 500 mg tablet, paracetamol 500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paracetamol 500 mg tablet, paracetamol 500 mg tablet, paracetamol 500 mg tablet, paracetamol 500 mg tablet, paracetamol 500 mg tablet, paracetamol 500 mg tablet</t>
  </si>
  <si>
    <t>DLP meds needed</t>
  </si>
  <si>
    <t>ختمه على المالكى</t>
  </si>
  <si>
    <t>amoxicillin, paracetamol, chlorhexidine gluconate</t>
  </si>
  <si>
    <t>amoxicillin 500 mg + clavulanic acid 125 mg tablet, amoxicillin 500 mg + clavulanic acid 125 mg tablet, amoxicillin 500 mg + clavulanic acid 125 mg tablet, paracetamol 500 mg tablet, paracetamol 500 mg tablet, paracetamol 500 mg tablet, chlorhexidine gluconate 0.2% (2 mg/mL) mouthwash, chlorhexidine gluconate 0.2% (2 mg/mL) mouthwash, chlorhexidine gluconate 0.2% (2 mg/mL) mouthwash, amoxicillin 500 mg + clavulanic acid 125 mg tablet, amoxicillin 500 mg + clavulanic acid 125 mg tablet, amoxicillin 500 mg + clavulanic acid 125 mg tablet, chlorhexidine gluconate 0.2% (2 mg/mL) mouthwash, chlorhexidine gluconate 0.2% (2 mg/mL) mouthwash, chlorhexidine gluconate 0.2% (2 mg/mL) mouthwash, paracetamol 500 mg tablet, paracetamol 500 mg tablet, paracetamol 500 mg tablet, amoxicillin 500 mg + clavulanic acid 125 mg tablet, chlorhexidine gluconate 0.2% (2 mg/mL) mouthwash, amoxicillin 500 mg + clavulanic acid 125 mg tablet, chlorhexidine gluconate 0.2% (2 mg/mL) mouthwash, amoxicillin 500 mg + clavulanic acid 125 mg tablet, chlorhexidine gluconate 0.2% (2 mg/mL) mouthwash, amoxicillin 500 mg + clavulanic acid 125 mg tablet, amoxicillin 500 mg + clavulanic acid 125 mg tablet, amoxicillin 500 mg + clavulanic acid 125 mg tablet, chlorhexidine gluconate 0.2% (2 mg/mL) mouthwash, chlorhexidine gluconate 0.2% (2 mg/mL) mouthwash, chlorhexidine gluconate 0.2% (2 mg/mL) mouthwash, paracetamol 500 mg tablet, paracetamol 500 mg tablet, paracetamol 500 mg tablet, amoxicillin 500 mg + clavulanic acid 125 mg tablet, amoxicillin 500 mg + clavulanic acid 125 mg tablet, amoxicillin 500 mg + clavulanic acid 125 mg tablet, chlorhexidine gluconate 0.2% (2 mg/mL) mouthwash, chlorhexidine gluconate 0.2% (2 mg/mL) mouthwash, chlorhexidine gluconate 0.2% (2 mg/mL) mouthwash, paracetamol 500 mg tablet, paracetamol 500 mg tablet, paracetamol 500 mg tablet, paracetamol 500 mg tablet, chlorhexidine gluconate 0.2% (2 mg/mL) mouthwash, paracetamol 500 mg tablet, chlorhexidine gluconate 0.2% (2 mg/mL) mouthwash, paracetamol 500 mg tablet, chlorhexidine gluconate 0.2% (2 mg/mL) mouthwash, amoxicillin 500 mg + clavulanic acid 125 mg tablet, amoxicillin 500 mg + clavulanic acid 125 mg tablet, amoxicillin 500 mg + clavulanic acid 125 mg tablet</t>
  </si>
  <si>
    <t>عبدالرحمن احمد هادي العسيري</t>
  </si>
  <si>
    <t>paraffin soft white ointment, tube, metFORMIN hydrochloride, empagliflozin, vitamin B complex (B, B, colecalciferol</t>
  </si>
  <si>
    <t>paraffin soft white ointment, tube, paraffin soft white ointment, tube, paraffin soft white ointment, tube, metFORMIN hydrochloride 500 mg tablet, empagliflozin 10 mg tablet, metFORMIN hydrochloride 500 mg tablet, empagliflozin 10 mg tablet, metFORMIN hydrochloride 500 mg tablet, empagliflozin 10 mg tablet, vitamin B complex (B1,B6,B12) 100,200,0.2 mg Film coated tablets [oral], vitamin B complex (B1,B6,B12) 100,200,0.2 mg Film coated tablets [oral], vitamin B complex (B1,B6,B12) 100,200,0.2 mg Film coated tablets [oral],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empagliflozin 10 mg tablet, empagliflozin 10 mg tablet, empagliflozin 10 mg tablet, paraffin soft white ointment, tube, vitamin B complex (B1,B6,B12) 100,200,0.2 mg Film coated tablets [oral], paraffin soft white ointment, tube, vitamin B complex (B1,B6,B12) 100,200,0.2 mg Film coated tablets [oral], paraffin soft white ointment, tube, vitamin B complex (B1,B6,B12) 100,200,0.2 mg Film coated tablets [oral], metFORMIN hydrochloride 500 mg tablet, metFORMIN hydrochloride 500 mg tablet, metFORMIN hydrochloride 500 mg tablet, empagliflozin 10 mg tablet, empagliflozin 10 mg tablet, empagliflozin 10 mg tablet, paraffin soft white ointment, tube, paraffin soft white ointment, tube, paraffin soft white ointment, tube, colecalciferol 50 000 international units tablet, vitamin B complex (B1,B6,B12) 100,200,0.2 mg Film coated tablets [oral], colecalciferol 50 000 international units tablet, vitamin B complex (B1,B6,B12) 100,200,0.2 mg Film coated tablets [oral], colecalciferol 50 000 international units tablet, vitamin B complex (B1,B6,B12) 100,200,0.2 mg Film coated tablets [oral], metFORMIN hydrochloride 500 mg tablet, metFORMIN hydrochloride 500 mg tablet, metFORMIN hydrochloride 500 mg tablet</t>
  </si>
  <si>
    <t>طويعه عبدالكريم مانع السلمي</t>
  </si>
  <si>
    <t>valsartan 80 mg tablet, valsartan 80 mg tablet, valsartan 80 mg tablet, valsartan 80 mg tablet, valsartan 80 mg tablet, valsartan 80 mg tablet</t>
  </si>
  <si>
    <t>سلطان ابن عوض الله ابن راجح الحربي</t>
  </si>
  <si>
    <t>غاده عبدالله سعيد الفيصل</t>
  </si>
  <si>
    <t>عبدالغني علي يحي ال مطر</t>
  </si>
  <si>
    <t>amLODIPine, carvedilol, atorvastatin, clopidogrel, omeprazole</t>
  </si>
  <si>
    <t>amLODIPine 10 mg capsule, carvedilol 25 mg tablet, amLODIPine 10 mg capsule, carvedilol 25 mg tablet, amLODIPine 10 mg capsule, carvedilol 25 mg tablet, amLODIPine 10 mg capsule, carvedilol 25 mg tablet, atorvastatin 20 mg tablet, clopidogrel 75 mg tablet, omeprazole 20 mg tablet: enteric coated, atorvastatin 20 mg tablet, clopidogrel 75 mg tablet, omeprazole 20 mg tablet: enteric coated, atorvastatin 20 mg tablet, clopidogrel 75 mg tablet, omeprazole 20 mg tablet: enteric coated, atorvastatin 20 mg tablet, clopidogrel 75 mg tablet, omeprazole 20 mg tablet: enteric coated, amLODIPine 10 mg capsule, amLODIPine 10 mg capsule, amLODIPine 10 mg capsule, amLODIPine 10 mg capsule, carvedilol 25 mg tablet, carvedilol 25 mg tablet, carvedilol 25 mg tablet, carvedilol 25 mg tablet, clopidogrel 75 mg tablet, clopidogrel 75 mg tablet, clopidogrel 75 mg tablet, clopidogrel 75 mg tablet, omeprazole 20 mg tablet: enteric coated, atorvastatin 20 mg tablet, omeprazole 20 mg tablet: enteric coated, atorvastatin 20 mg tablet, omeprazole 20 mg tablet: enteric coated, atorvastatin 20 mg tablet, omeprazole 20 mg tablet: enteric coated, atorvastatin 20 mg tablet, atorvastatin 20 mg tablet, atorvastatin 20 mg tablet, atorvastatin 20 mg tablet, atorvastatin 20 mg tablet, clopidogrel 75 mg tablet, carvedilol 25 mg tablet, omeprazole 20 mg tablet: enteric coated, clopidogrel 75 mg tablet, carvedilol 25 mg tablet, omeprazole 20 mg tablet: enteric coated, clopidogrel 75 mg tablet, carvedilol 25 mg tablet, omeprazole 20 mg tablet: enteric coated, clopidogrel 75 mg tablet, carvedilol 25 mg tablet, omeprazole 20 mg tablet: enteric coated, amLODIPine 10 mg capsule, amLODIPine 10 mg capsule, amLODIPine 10 mg capsule, amLODIPine 10 mg capsule</t>
  </si>
  <si>
    <t>Antiplatelet, Dyslipidemia, GI/PPI, Hypertension</t>
  </si>
  <si>
    <t>صادق مبروك بريك الحربي</t>
  </si>
  <si>
    <t>atorvastatin, insulin aspart</t>
  </si>
  <si>
    <t>atorvastatin 20 mg tablet, atorvastatin 20 mg tablet, atorvastatin 20 mg tablet, atorvastatin 20 mg tablet, insulin aspart 30 international units/mL + insulin aspart protamine 70 international units/mL injection, 3 mL prefilled pen, insulin aspart 30 international units/mL + insulin aspart protamine 70 international units/mL injection, 3 mL prefilled pen, insulin aspart 30 international units/mL + insulin aspart protamine 70 international units/mL injection, 3 mL prefilled pen, insulin aspart 30 international units/mL + insulin aspart protamine 70 international units/mL injection, 3 mL prefilled pen, atorvastatin 20 mg tablet, atorvastatin 20 mg tablet, atorvastatin 20 mg tablet, atorvastatin 20 mg tablet, insulin aspart 30 international units/mL + insulin aspart protamine 70 international units/mL injection, 3 mL prefilled pen, insulin aspart 30 international units/mL + insulin aspart protamine 70 international units/mL injection, 3 mL prefilled pen, insulin aspart 30 international units/mL + insulin aspart protamine 70 international units/mL injection, 3 mL prefilled pen, insulin aspart 30 international units/mL + insulin aspart protamine 70 international units/mL injection, 3 mL prefilled pen, atorvastatin 20 mg tablet, insulin aspart 30 international units/mL + insulin aspart protamine 70 international units/mL injection, 3 mL prefilled pen, atorvastatin 20 mg tablet, insulin aspart 30 international units/mL + insulin aspart protamine 70 international units/mL injection, 3 mL prefilled pen, atorvastatin 20 mg tablet, insulin aspart 30 international units/mL + insulin aspart protamine 70 international units/mL injection, 3 mL prefilled pen, atorvastatin 20 mg tablet, insulin aspart 30 international units/mL + insulin aspart protamine 70 international units/mL injection, 3 mL prefilled pen, atorvastatin 20 mg tablet, insulin aspart 30 international units/mL + insulin aspart protamine 70 international units/mL injection, 3 mL prefilled pen, atorvastatin 20 mg tablet, insulin aspart 30 international units/mL + insulin aspart protamine 70 international units/mL injection, 3 mL prefilled pen, atorvastatin 20 mg tablet, insulin aspart 30 international units/mL + insulin aspart protamine 70 international units/mL injection, 3 mL prefilled pen, atorvastatin 20 mg tablet, insulin aspart 30 international units/mL + insulin aspart protamine 70 international units/mL injection, 3 mL prefilled pen</t>
  </si>
  <si>
    <t>لمياء عبدالعزيز عبدالقادر ابوخشبه</t>
  </si>
  <si>
    <t>naphazoline nitrate, diclofenac sodium</t>
  </si>
  <si>
    <t>naphazoline nitrate 0.1% (1 mg/mL) eye drops, naphazoline nitrate 0.1% (1 mg/mL) eye drops, naphazoline nitrate 0.1% (1 mg/mL) eye drops, naphazoline nitrate 0.1% (1 mg/mL) eye drops, naphazoline nitrate 0.1% (1 mg/mL) eye drops, naphazoline nitrate 0.1% (1 mg/mL) eye drops,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naphazoline nitrate 0.1% (1 mg/mL) eye drops, naphazoline nitrate 0.1% (1 mg/mL) eye drops, naphazoline nitrate 0.1% (1 mg/mL) eye drops, naphazoline nitrate 0.1% (1 mg/mL) eye drops, naphazoline nitrate 0.1% (1 mg/mL) eye drops, naphazoline nitrate 0.1% (1 mg/mL) eye drops</t>
  </si>
  <si>
    <t>فاطمه ابراهيم محمد قيسي</t>
  </si>
  <si>
    <t>metFORMIN hydrochloride, atorvastatin, sennosides, valsartan, levothyroxine sodium, vitamin B complex (B, B, celecoxib</t>
  </si>
  <si>
    <t>metFORMIN hydrochloride 750 mg tablet: modified release, metFORMIN hydrochloride 750 mg tablet: modified release, metFORMIN hydrochloride 750 mg tablet: modified release, metFORMIN hydrochloride 750 mg tablet: modified release, atorvastatin 10 mg tablet, atorvastatin 10 mg tablet, atorvastatin 10 mg tablet, atorvastatin 10 mg tablet, sennosides 12 mg tablet, valsartan 80 mg tablet, levothyroxine sodium 25 microgram tablet, vitamin B complex (B1,B6,B12) 100,200,0.2 mg Film coated tablets [oral], sennosides 12 mg tablet, valsartan 80 mg tablet, levothyroxine sodium 25 microgram tablet, vitamin B complex (B1,B6,B12) 100,200,0.2 mg Film coated tablets [oral], sennosides 12 mg tablet, valsartan 80 mg tablet, levothyroxine sodium 25 microgram tablet, vitamin B complex (B1,B6,B12) 100,200,0.2 mg Film coated tablets [oral], sennosides 12 mg tablet, valsartan 80 mg tablet, levothyroxine sodium 25 microgram tablet, vitamin B complex (B1,B6,B12) 100,200,0.2 mg Film coated tablets [oral], levothyroxine sodium 100 microgram tablet, celecoxib 200 mg capsule, levothyroxine sodium 100 microgram tablet, celecoxib 200 mg capsule, levothyroxine sodium 100 microgram tablet, celecoxib 200 mg capsule, levothyroxine sodium 100 microgram tablet, celecoxib 200 mg capsule, valsartan 80 mg tablet, valsartan 80 mg tablet, valsartan 80 mg tablet, valsartan 80 mg tablet, metFORMIN hydrochloride 750 mg tablet: modified release, sennosides 12 mg tablet, metFORMIN hydrochloride 750 mg tablet: modified release, sennosides 12 mg tablet, metFORMIN hydrochloride 750 mg tablet: modified release, sennosides 12 mg tablet, metFORMIN hydrochloride 750 mg tablet: modified release, sennosides 12 mg tablet, celecoxib 200 mg capsule, vitamin B complex (B1,B6,B12) 100,200,0.2 mg Film coated tablets [oral], celecoxib 200 mg capsule, vitamin B complex (B1,B6,B12) 100,200,0.2 mg Film coated tablets [oral], celecoxib 200 mg capsule, vitamin B complex (B1,B6,B12) 100,200,0.2 mg Film coated tablets [oral], celecoxib 200 mg capsule, vitamin B complex (B1,B6,B12) 100,200,0.2 mg Film coated tablets [oral], atorvastatin 10 mg tablet, levothyroxine sodium 100 microgram tablet, atorvastatin 10 mg tablet, levothyroxine sodium 100 microgram tablet, atorvastatin 10 mg tablet, levothyroxine sodium 100 microgram tablet, atorvastatin 10 mg tablet, levothyroxine sodium 100 microgram tablet, levothyroxine sodium 25 microgram tablet, levothyroxine sodium 25 microgram tablet, levothyroxine sodium 25 microgram tablet, levothyroxine sodium 25 microgram tablet, vitamin B complex (B1,B6,B12) 100,200,0.2 mg Film coated tablets [oral], vitamin B complex (B1,B6,B12) 100,200,0.2 mg Film coated tablets [oral], vitamin B complex (B1,B6,B12) 100,200,0.2 mg Film coated tablets [oral], vitamin B complex (B1,B6,B12) 100,200,0.2 mg Film coated tablets [oral], atorvastatin 10 mg tablet, celecoxib 200 mg capsule, levothyroxine sodium 100 microgram tablet, atorvastatin 10 mg tablet, celecoxib 200 mg capsule, levothyroxine sodium 100 microgram tablet, atorvastatin 10 mg tablet, celecoxib 200 mg capsule, levothyroxine sodium 100 microgram tablet, atorvastatin 10 mg tablet, celecoxib 200 mg capsule, levothyroxine sodium 100 microgram tablet, metFORMIN hydrochloride 750 mg tablet: modified release, metFORMIN hydrochloride 750 mg tablet: modified release, metFORMIN hydrochloride 750 mg tablet: modified release, metFORMIN hydrochloride 750 mg tablet: modified release, sennosides 12 mg tablet, valsartan 80 mg tablet, sennosides 12 mg tablet, valsartan 80 mg tablet, sennosides 12 mg tablet, valsartan 80 mg tablet, sennosides 12 mg tablet, valsartan 80 mg tablet, levothyroxine sodium 25 microgram tablet, levothyroxine sodium 25 microgram tablet, levothyroxine sodium 25 microgram tablet, levothyroxine sodium 25 microgram tablet</t>
  </si>
  <si>
    <t>راويه عمر موسى هوساوي</t>
  </si>
  <si>
    <t>amLODIPine, metFORMIN hydrochloride, vitamin B complex (B, B</t>
  </si>
  <si>
    <t>amLODIPine 5 mg tablet, amLODIPine 5 mg tablet, amLODIPine 5 mg tablet, amLODIPine 5 mg tablet, metFORMIN hydrochloride 500 mg tablet, metFORMIN hydrochloride 500 mg tablet, metFORMIN hydrochloride 500 mg tablet, metFORMIN hydrochloride 500 mg tablet, 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amLODIPine 5 mg tablet, vitamin B complex (B1,B6,B12) 100,200,0.2 mg Film coated tablets [oral], metFORMIN hydrochloride 500 mg tablet, amLODIPine 5 mg tablet, vitamin B complex (B1,B6,B12) 100,200,0.2 mg Film coated tablets [oral], metFORMIN hydrochloride 500 mg tablet, amLODIPine 5 mg tablet, vitamin B complex (B1,B6,B12) 100,200,0.2 mg Film coated tablets [oral], metFORMIN hydrochloride 500 mg tablet, amLODIPine 5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amLODIPine 5 mg tablet, metFORMIN hydrochloride 500 mg tablet, amLODIPine 5 mg tablet, metFORMIN hydrochloride 500 mg tablet, amLODIPine 5 mg tablet, metFORMIN hydrochloride 500 mg tablet, amLODIPine 5 mg tablet, metFORMIN hydrochloride 500 mg tablet, amLODIPine 5 mg tablet, vitamin B complex (B1,B6,B12) 100,200,0.2 mg Film coated tablets [oral], metFORMIN hydrochloride 500 mg tablet, amLODIPine 5 mg tablet, vitamin B complex (B1,B6,B12) 100,200,0.2 mg Film coated tablets [oral], metFORMIN hydrochloride 500 mg tablet, amLODIPine 5 mg tablet, vitamin B complex (B1,B6,B12) 100,200,0.2 mg Film coated tablets [oral], metFORMIN hydrochloride 500 mg tablet, amLODIPine 5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metFORMIN hydrochloride 500 mg tablet, metFORMIN hydrochloride 500 mg tablet, metFORMIN hydrochloride 500 mg tablet, amLODIPine 5 mg tablet, amLODIPine 5 mg tablet, amLODIPine 5 mg tablet, amLODIPine 5 mg tablet, 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amLODIPine 5 mg tablet, metFORMIN hydrochloride 500 mg tablet, amLODIPine 5 mg tablet, metFORMIN hydrochloride 500 mg tablet, amLODIPine 5 mg tablet, metFORMIN hydrochloride 500 mg tablet, amLODIPine 5 mg tablet</t>
  </si>
  <si>
    <t>بتول بنت رضي بن رضي آل تاريخ</t>
  </si>
  <si>
    <t>colecalciferol, levothyroxine sodium, empagliflozin, atorvastatin, vitamin B complex (B, B, SITagliptin, cetirizine hydrochloride, metFORMIN hydrochloride, calcium carbonate</t>
  </si>
  <si>
    <t>colecalciferol 5000 international units Capsules [oral], colecalciferol 5000 international units Capsules [oral], colecalciferol 5000 international units Capsules [oral], levothyroxine sodium 25 microgram tablet, empagliflozin 25 mg tablet, levothyroxine sodium 25 microgram tablet, empagliflozin 25 mg tablet, levothyroxine sodium 25 microgram tablet, empagliflozin 25 mg tablet, atorvastatin 20 mg tablet, vitamin B complex (B1,B6,B12) 100,200,0.2 mg Film coated tablets [oral], SITagliptin 100 mg tablet, atorvastatin 20 mg tablet, vitamin B complex (B1,B6,B12) 100,200,0.2 mg Film coated tablets [oral], SITagliptin 100 mg tablet, atorvastatin 20 mg tablet, vitamin B complex (B1,B6,B12) 100,200,0.2 mg Film coated tablets [oral], SITagliptin 100 mg tablet, cetirizine hydrochloride 10 mg tablet, levothyroxine sodium 100 microgram tablet, metFORMIN hydrochloride 500 mg tablet, cetirizine hydrochloride 10 mg tablet, levothyroxine sodium 100 microgram tablet, metFORMIN hydrochloride 500 mg tablet, cetirizine hydrochloride 10 mg tablet, levothyroxine sodium 100 microgram tablet, metFORMIN hydrochloride 500 mg tablet, calcium carbonate 600 mg - colecalciferol 200 international units Film coated tablets [oral], carbomer 0.2% (2 mg/g) eye gel, calcium carbonate 600 mg - colecalciferol 200 international units Film coated tablets [oral], carbomer 0.2% (2 mg/g) eye gel, calcium carbonate 600 mg - colecalciferol 200 international units Film coated tablets [oral], carbomer 0.2% (2 mg/g) eye gel, levothyroxine sodium 100 microgram tablet, carbomer 0.2% (2 mg/g) eye gel, cetirizine hydrochloride 10 mg tablet, levothyroxine sodium 100 microgram tablet, carbomer 0.2% (2 mg/g) eye gel, cetirizine hydrochloride 10 mg tablet, levothyroxine sodium 100 microgram tablet, carbomer 0.2% (2 mg/g) eye gel, cetirizine hydrochloride 10 mg tablet, colecalciferol 5000 international units Capsules [oral], vitamin B complex (B1,B6,B12) 100,200,0.2 mg Film coated tablets [oral], metFORMIN hydrochloride 500 mg tablet, colecalciferol 5000 international units Capsules [oral], vitamin B complex (B1,B6,B12) 100,200,0.2 mg Film coated tablets [oral], metFORMIN hydrochloride 500 mg tablet, colecalciferol 5000 international units Capsules [oral], vitamin B complex (B1,B6,B12) 100,200,0.2 mg Film coated tablets [oral], metFORMIN hydrochloride 500 mg tablet, calcium carbonate 600 mg - colecalciferol 200 international units Film coated tablets [oral], calcium carbonate 600 mg - colecalciferol 200 international units Film coated tablets [oral], calcium carbonate 600 mg - colecalciferol 200 international units Film coated tablets [oral], empagliflozin 25 mg tablet, levothyroxine sodium 25 microgram tablet, SITagliptin 100 mg tablet, atorvastatin 20 mg tablet, empagliflozin 25 mg tablet, levothyroxine sodium 25 microgram tablet, SITagliptin 100 mg tablet, atorvastatin 20 mg tablet, empagliflozin 25 mg tablet, levothyroxine sodium 25 microgram tablet, SITagliptin 100 mg tablet, atorvastatin 20 mg tablet, carbomer 0.2% (2 mg/g) eye gel, carbomer 0.2% (2 mg/g) eye gel, carbomer 0.2% (2 mg/g) eye gel, cetirizine hydrochloride 10 mg tablet, colecalciferol 5000 international units Capsules [oral], atorvastatin 20 mg tablet, cetirizine hydrochloride 10 mg tablet, colecalciferol 5000 international units Capsules [oral], atorvastatin 20 mg tablet, cetirizine hydrochloride 10 mg tablet, colecalciferol 5000 international units Capsules [oral], atorvastatin 20 mg tablet, levothyroxine sodium 25 microgram tablet, empagliflozin 25 mg tablet, levothyroxine sodium 25 microgram tablet, empagliflozin 25 mg tablet, levothyroxine sodium 25 microgram tablet, empagliflozin 25 mg tablet, vitamin B complex (B1,B6,B12) 100,200,0.2 mg Film coated tablets [oral], calcium carbonate 600 mg - colecalciferol 200 international units Film coated tablets [oral], vitamin B complex (B1,B6,B12) 100,200,0.2 mg Film coated tablets [oral], calcium carbonate 600 mg - colecalciferol 200 international units Film coated tablets [oral], vitamin B complex (B1,B6,B12) 100,200,0.2 mg Film coated tablets [oral], calcium carbonate 600 mg - colecalciferol 200 international units Film coated tablets [oral], metFORMIN hydrochloride 500 mg tablet, levothyroxine sodium 100 microgram tablet, SITagliptin 100 mg tablet, metFORMIN hydrochloride 500 mg tablet, levothyroxine sodium 100 microgram tablet, SITagliptin 100 mg tablet, metFORMIN hydrochloride 500 mg tablet, levothyroxine sodium 100 microgram tablet, SITagliptin 100 mg tablet</t>
  </si>
  <si>
    <t>فالحه فالح احمد المولد</t>
  </si>
  <si>
    <t>empagliflozin, metFORMIN hydrochloride</t>
  </si>
  <si>
    <t>empagliflozin 25 mg tablet, empagliflozin 25 mg tablet, empagliflozin 25 mg tablet, empagliflozin 25 mg tablet, empagliflozin 25 mg tablet, empagliflozin 25 mg tablet, empagliflozin 25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empagliflozin 25 mg tablet, empagliflozin 25 mg tablet, empagliflozin 25 mg tablet, empagliflozin 25 mg tablet, empagliflozin 25 mg tablet, empagliflozin 25 mg tablet, empagliflozin 25 mg tablet, empagliflozin 25 mg tablet, empagliflozin 25 mg tablet, empagliflozin 25 mg tablet, empagliflozin 25 mg tablet, empagliflozin 25 mg tablet, empagliflozin 25 mg tablet, empagliflozin 25 mg tablet, metFORMIN hydrochloride 500 mg tablet, metFORMIN hydrochloride 500 mg tablet, metFORMIN hydrochloride 500 mg tablet, metFORMIN hydrochloride 500 mg tablet, metFORMIN hydrochloride 500 mg tablet, metFORMIN hydrochloride 500 mg tablet, metFORMIN hydrochloride 500 mg tablet, empagliflozin 25 mg tablet, empagliflozin 25 mg tablet, empagliflozin 25 mg tablet, empagliflozin 25 mg tablet, empagliflozin 25 mg tablet, empagliflozin 25 mg tablet, empagliflozin 25 mg tablet, metFORMIN hydrochloride 500 mg tablet, metFORMIN hydrochloride 500 mg tablet, metFORMIN hydrochloride 500 mg tablet, metFORMIN hydrochloride 500 mg tablet, metFORMIN hydrochloride 500 mg tablet, metFORMIN hydrochloride 500 mg tablet, metFORMIN hydrochloride 500 mg tablet, empagliflozin 25 mg tablet, metFORMIN hydrochloride 500 mg tablet, empagliflozin 25 mg tablet, metFORMIN hydrochloride 500 mg tablet, empagliflozin 25 mg tablet, metFORMIN hydrochloride 500 mg tablet, empagliflozin 25 mg tablet, metFORMIN hydrochloride 500 mg tablet, empagliflozin 25 mg tablet, metFORMIN hydrochloride 500 mg tablet, empagliflozin 25 mg tablet, metFORMIN hydrochloride 500 mg tablet, empagliflozin 25 mg tablet, metFORMIN hydrochloride 500 mg tablet</t>
  </si>
  <si>
    <t>سعد عوض سعد الحجازي</t>
  </si>
  <si>
    <t>empagliflozin, clopidogrel, vitamin B complex (B, B, bisoprolol fumarate, omeprazole, rosuvastatin, valsartan, mometasone furoate, amLODIPine</t>
  </si>
  <si>
    <t>empagliflozin 10 mg tablet, clopidogrel 75 mg tablet, empagliflozin 10 mg tablet, clopidogrel 75 mg tablet, vitamin B complex (B1,B6,B12) 100,200,0.2 mg Film coated tablets [oral], bisoprolol fumarate 5 mg tablet, omeprazole 20 mg tablet: enteric coated, rosuvastatin 20 mg tablet, valsartan 80 mg tablet, vitamin B complex (B1,B6,B12) 100,200,0.2 mg Film coated tablets [oral], bisoprolol fumarate 5 mg tablet, omeprazole 20 mg tablet: enteric coated, rosuvastatin 20 mg tablet, valsartan 80 mg tablet, mometasone furoate 0.1% (1 mg/g) cream, amLODIPine 5 mg tablet, mometasone furoate 0.1% (1 mg/g) cream, amLODIPine 5 mg tablet, metFORMIN hydrochloride 750 mg tablet: modified release, metFORMIN hydrochloride 750 mg tablet: modified release, indapamide 1.5 mg tablet: modified release, Strips (Accu-Check) 1 box Strip [n/a], indapamide 1.5 mg tablet: modified release, Strips (Accu-Check) 1 box Strip [n/a], rosuvastatin 20 mg tablet, rosuvastatin 20 mg tablet, vitamin B complex (B1,B6,B12) 100,200,0.2 mg Film coated tablets [oral], bisoprolol fumarate 5 mg tablet, vitamin B complex (B1,B6,B12) 100,200,0.2 mg Film coated tablets [oral], bisoprolol fumarate 5 mg tablet, metFORMIN hydrochloride 750 mg tablet: modified release, amLODIPine 5 mg tablet, valsartan 80 mg tablet, clopidogrel 75 mg tablet, metFORMIN hydrochloride 750 mg tablet: modified release, amLODIPine 5 mg tablet, valsartan 80 mg tablet, clopidogrel 75 mg tablet, omeprazole 20 mg tablet: enteric coated, Strips (Accu-Check) 1 box Strip [n/a], indapamide 1.5 mg tablet: modified release, omeprazole 20 mg tablet: enteric coated, Strips (Accu-Check) 1 box Strip [n/a], indapamide 1.5 mg tablet: modified release, mometasone furoate 0.1% (1 mg/g) cream, empagliflozin 10 mg tablet, mometasone furoate 0.1% (1 mg/g) cream, empagliflozin 10 mg tablet, vitamin B complex (B1,B6,B12) 100,200,0.2 mg Film coated tablets [oral], Strips (Accu-Check) 1 box Strip [n/a], metFORMIN hydrochloride 750 mg tablet: modified release, valsartan 80 mg tablet, vitamin B complex (B1,B6,B12) 100,200,0.2 mg Film coated tablets [oral], Strips (Accu-Check) 1 box Strip [n/a], metFORMIN hydrochloride 750 mg tablet: modified release, valsartan 80 mg tablet, mometasone furoate 0.1% (1 mg/g) cream, rosuvastatin 20 mg tablet, amLODIPine 5 mg tablet, bisoprolol fumarate 5 mg tablet, mometasone furoate 0.1% (1 mg/g) cream, rosuvastatin 20 mg tablet, amLODIPine 5 mg tablet, bisoprolol fumarate 5 mg tablet, indapamide 1.5 mg tablet: modified release, clopidogrel 75 mg tablet, omeprazole 20 mg tablet: enteric coated, indapamide 1.5 mg tablet: modified release, clopidogrel 75 mg tablet, omeprazole 20 mg tablet: enteric coated, empagliflozin 10 mg tablet, empagliflozin 10 mg tablet</t>
  </si>
  <si>
    <t>الطاف محمد عبدالقادر طيب</t>
  </si>
  <si>
    <t>Strips (Accu-Check), Lancets (Accu-Check), SITagliptin, Glucometer Device (Accu-Chek), metFORMIN hydrochloride</t>
  </si>
  <si>
    <t>Strips (Accu-Check) 1 box Strip [n/a], Lancets (Accu-Check) 1 box Lancets [n/a], SITagliptin 100 mg tablet, Strips (Accu-Check) 1 box Strip [n/a], Lancets (Accu-Check) 1 box Lancets [n/a], SITagliptin 100 mg tablet, Strips (Accu-Check) 1 box Strip [n/a], Lancets (Accu-Check) 1 box Lancets [n/a], SITagliptin 100 mg tablet, Strips (Accu-Check) 1 box Strip [n/a], Lancets (Accu-Check) 1 box Lancets [n/a], SITagliptin 100 mg tablet, Strips (Accu-Check) 1 box Strip [n/a], Lancets (Accu-Check) 1 box Lancets [n/a], SITagliptin 100 mg tablet, Strips (Accu-Check) 1 box Strip [n/a], Lancets (Accu-Check) 1 box Lancets [n/a], SITagliptin 100 mg tablet, Strips (Accu-Check) 1 box Strip [n/a], Lancets (Accu-Check) 1 box Lancets [n/a], SITagliptin 100 mg tablet,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metFORMIN hydrochloride 500 mg tablet, metFORMIN hydrochloride 500 mg tablet, metFORMIN hydrochloride 500 mg tablet, metFORMIN hydrochloride 500 mg tablet, metFORMIN hydrochloride 500 mg tablet, metFORMIN hydrochloride 500 mg tablet, metFORMIN hydrochloride 500 mg tablet,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SITagliptin 100 mg tablet, SITagliptin 100 mg tablet, SITagliptin 100 mg tablet, SITagliptin 100 mg tablet, SITagliptin 100 mg tablet, SITagliptin 100 mg tablet, SITagliptin 100 mg tablet, metFORMIN hydrochloride 500 mg tablet, Lancets (Accu-Check) 1 box Lancets [n/a], Strips (Accu-Check) 1 box Strip [n/a], metFORMIN hydrochloride 500 mg tablet, Lancets (Accu-Check) 1 box Lancets [n/a], Strips (Accu-Check) 1 box Strip [n/a], metFORMIN hydrochloride 500 mg tablet, Lancets (Accu-Check) 1 box Lancets [n/a], Strips (Accu-Check) 1 box Strip [n/a], metFORMIN hydrochloride 500 mg tablet, Lancets (Accu-Check) 1 box Lancets [n/a], Strips (Accu-Check) 1 box Strip [n/a], metFORMIN hydrochloride 500 mg tablet, Lancets (Accu-Check) 1 box Lancets [n/a], Strips (Accu-Check) 1 box Strip [n/a], metFORMIN hydrochloride 500 mg tablet, Lancets (Accu-Check) 1 box Lancets [n/a], Strips (Accu-Check) 1 box Strip [n/a], metFORMIN hydrochloride 500 mg tablet, Lancets (Accu-Check) 1 box Lancets [n/a], Strips (Accu-Check) 1 box Strip [n/a]</t>
  </si>
  <si>
    <t>وفاء عبداللطيف فضل المولي طحلاوي</t>
  </si>
  <si>
    <t>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t>
  </si>
  <si>
    <t>رانيه عبداللطيف فضل المولي طحلاوي</t>
  </si>
  <si>
    <t>perindopril arginine 5 mg tablet, perindopril arginine 5 mg tablet, perindopril arginine 5 mg tablet, perindopril arginine 5 mg tablet, perindopril arginine 5 mg tablet, perindopril arginine 5 mg tablet</t>
  </si>
  <si>
    <t>وفاء سالم علي الصعيري</t>
  </si>
  <si>
    <t>oral rehydration salts oral liquid: powder for, betahistine dihydrochloride, domperidone</t>
  </si>
  <si>
    <t>oral rehydration salts oral liquid: powder for, 20.5 g sachet, oral rehydration salts oral liquid: powder for, 20.5 g sachet, oral rehydration salts oral liquid: powder for, 20.5 g sachet, oral rehydration salts oral liquid: powder for, 20.5 g sachet, oral rehydration salts oral liquid: powder for, 20.5 g sachet, betahistine dihydrochloride 8 mg tablet, betahistine dihydrochloride 8 mg tablet, betahistine dihydrochloride 8 mg tablet, betahistine dihydrochloride 8 mg tablet, betahistine dihydrochloride 8 mg tablet, domperidone 10 mg tablet, domperidone 10 mg tablet, domperidone 10 mg tablet, domperidone 10 mg tablet, domperidone 10 mg tablet, domperidone 10 mg tablet, domperidone 10 mg tablet, domperidone 10 mg tablet, domperidone 10 mg tablet, domperidone 10 mg tablet, oral rehydration salts oral liquid: powder for, 20.5 g sachet, oral rehydration salts oral liquid: powder for, 20.5 g sachet, oral rehydration salts oral liquid: powder for, 20.5 g sachet, oral rehydration salts oral liquid: powder for, 20.5 g sachet, oral rehydration salts oral liquid: powder for, 20.5 g sachet, oral rehydration salts oral liquid: powder for, 20.5 g sachet, oral rehydration salts oral liquid: powder for, 20.5 g sachet, oral rehydration salts oral liquid: powder for, 20.5 g sachet, oral rehydration salts oral liquid: powder for, 20.5 g sachet, oral rehydration salts oral liquid: powder for, 20.5 g sachet, domperidone 10 mg tablet, betahistine dihydrochloride 8 mg tablet, domperidone 10 mg tablet, betahistine dihydrochloride 8 mg tablet, domperidone 10 mg tablet, betahistine dihydrochloride 8 mg tablet, domperidone 10 mg tablet, betahistine dihydrochloride 8 mg tablet, domperidone 10 mg tablet, betahistine dihydrochloride 8 mg tablet, oral rehydration salts oral liquid: powder for, 20.5 g sachet, domperidone 10 mg tablet, betahistine dihydrochloride 8 mg tablet, oral rehydration salts oral liquid: powder for, 20.5 g sachet, domperidone 10 mg tablet, betahistine dihydrochloride 8 mg tablet, oral rehydration salts oral liquid: powder for, 20.5 g sachet, domperidone 10 mg tablet, betahistine dihydrochloride 8 mg tablet, oral rehydration salts oral liquid: powder for, 20.5 g sachet, domperidone 10 mg tablet, betahistine dihydrochloride 8 mg tablet, oral rehydration salts oral liquid: powder for, 20.5 g sachet, domperidone 10 mg tablet, betahistine dihydrochloride 8 mg tablet, domperidone 10 mg tablet, domperidone 10 mg tablet, domperidone 10 mg tablet, domperidone 10 mg tablet, domperidone 10 mg tablet, betahistine dihydrochloride 8 mg tablet, betahistine dihydrochloride 8 mg tablet, betahistine dihydrochloride 8 mg tablet, betahistine dihydrochloride 8 mg tablet, betahistine dihydrochloride 8 mg tablet, betahistine dihydrochloride 8 mg tablet, betahistine dihydrochloride 8 mg tablet, betahistine dihydrochloride 8 mg tablet, betahistine dihydrochloride 8 mg tablet, betahistine dihydrochloride 8 mg tablet, oral rehydration salts oral liquid: powder for, 20.5 g sachet, oral rehydration salts oral liquid: powder for, 20.5 g sachet, oral rehydration salts oral liquid: powder for, 20.5 g sachet, oral rehydration salts oral liquid: powder for, 20.5 g sachet, oral rehydration salts oral liquid: powder for, 20.5 g sachet, domperidone 10 mg tablet, domperidone 10 mg tablet, domperidone 10 mg tablet, domperidone 10 mg tablet, domperidone 10 mg tablet, domperidone 10 mg tablet, domperidone 10 mg tablet, domperidone 10 mg tablet, domperidone 10 mg tablet, domperidone 10 mg tablet, oral rehydration salts oral liquid: powder for, 20.5 g sachet, oral rehydration salts oral liquid: powder for, 20.5 g sachet, oral rehydration salts oral liquid: powder for, 20.5 g sachet, oral rehydration salts oral liquid: powder for, 20.5 g sachet, oral rehydration salts oral liquid: powder for, 20.5 g sachet, betahistine dihydrochloride 8 mg tablet, betahistine dihydrochloride 8 mg tablet, betahistine dihydrochloride 8 mg tablet, betahistine dihydrochloride 8 mg tablet, betahistine dihydrochloride 8 mg tablet</t>
  </si>
  <si>
    <t>عمر بن سالمين بن فرج باحشوان</t>
  </si>
  <si>
    <t>Glucometer Device (Accu-Chek), Strips (Accu-Check), Lancets (Accu-Check)</t>
  </si>
  <si>
    <t>Glucometer Device (Accu-Chek) 1 device Device [n/a], Glucometer Device (Accu-Chek) 1 device Device [n/a], Glucometer Device (Accu-Chek) 1 device Device [n/a], Glucometer Device (Accu-Chek) 1 device Device [n/a], Glucometer Device (Accu-Chek) 1 device Device [n/a], Strips (Accu-Check) 1 box Strip [n/a], Strips (Accu-Check) 1 box Strip [n/a], Strips (Accu-Check) 1 box Strip [n/a], Strips (Accu-Check) 1 box Strip [n/a], Strips (Accu-Check) 1 box Strip [n/a], Lancets (Accu-Check) 1 box Lancets [n/a], Lancets (Accu-Check) 1 box Lancets [n/a], Lancets (Accu-Check) 1 box Lancets [n/a], Lancets (Accu-Check) 1 box Lancets [n/a], Lancets (Accu-Check) 1 box Lancets [n/a], Strips (Accu-Check) 1 box Strip [n/a], Glucometer Device (Accu-Chek) 1 device Device [n/a], Lancets (Accu-Check) 1 box Lancets [n/a], Strips (Accu-Check) 1 box Strip [n/a], Glucometer Device (Accu-Chek) 1 device Device [n/a], Lancets (Accu-Check) 1 box Lancets [n/a], Strips (Accu-Check) 1 box Strip [n/a], Glucometer Device (Accu-Chek) 1 device Device [n/a], Lancets (Accu-Check) 1 box Lancets [n/a], Strips (Accu-Check) 1 box Strip [n/a], Glucometer Device (Accu-Chek) 1 device Device [n/a], Lancets (Accu-Check) 1 box Lancets [n/a], Strips (Accu-Check) 1 box Strip [n/a], Glucometer Device (Accu-Chek) 1 device Device [n/a], Lancets (Accu-Check) 1 box Lancets [n/a], Strips (Accu-Check) 1 box Strip [n/a], Lancets (Accu-Check) 1 box Lancets [n/a], Strips (Accu-Check) 1 box Strip [n/a], Lancets (Accu-Check) 1 box Lancets [n/a], Strips (Accu-Check) 1 box Strip [n/a], Lancets (Accu-Check) 1 box Lancets [n/a], Strips (Accu-Check) 1 box Strip [n/a], Lancets (Accu-Check) 1 box Lancets [n/a], Strips (Accu-Check) 1 box Strip [n/a], Lancets (Accu-Check) 1 box Lancets [n/a], Glucometer Device (Accu-Chek) 1 device Device [n/a], Glucometer Device (Accu-Chek) 1 device Device [n/a], Glucometer Device (Accu-Chek) 1 device Device [n/a], Glucometer Device (Accu-Chek) 1 device Device [n/a], Glucometer Device (Accu-Chek) 1 device Device [n/a], Lancets (Accu-Check) 1 box Lancets [n/a], Lancets (Accu-Check) 1 box Lancets [n/a], Lancets (Accu-Check) 1 box Lancets [n/a], Lancets (Accu-Check) 1 box Lancets [n/a], Lancets (Accu-Check) 1 box Lancets [n/a], Strips (Accu-Check) 1 box Strip [n/a], Strips (Accu-Check) 1 box Strip [n/a], Strips (Accu-Check) 1 box Strip [n/a], Strips (Accu-Check) 1 box Strip [n/a], Strips (Accu-Check) 1 box Strip [n/a]</t>
  </si>
  <si>
    <t>محمد رده عجيل العتيبي</t>
  </si>
  <si>
    <t>metFORMIN hydrochloride, levothyroxine sodium, colecalciferol, omeprazole</t>
  </si>
  <si>
    <t>metFORMIN hydrochloride 500 mg tablet, levothyroxine sodium 100 microgram tablet, metFORMIN hydrochloride 500 mg tablet, levothyroxine sodium 100 microgram tablet, colecalciferol 50 000 international units tablet, colecalciferol 50 000 international units tablet, omeprazole 20 mg tablet: enteric coated, omeprazole 20 mg tablet: enteric coated, omeprazole 20 mg tablet: enteric coated, omeprazole 20 mg tablet: enteric coated, colecalciferol 50 000 international units tablet, colecalciferol 50 000 international units tablet, metFORMIN hydrochloride 500 mg tablet, levothyroxine sodium 100 microgram tablet, metFORMIN hydrochloride 500 mg tablet, levothyroxine sodium 100 microgram tablet, colecalciferol 50 000 international units tablet, colecalciferol 50 000 international units tablet, omeprazole 20 mg tablet: enteric coated, omeprazole 20 mg tablet: enteric coated, levothyroxine sodium 100 microgram tablet, metFORMIN hydrochloride 500 mg tablet, levothyroxine sodium 100 microgram tablet, metFORMIN hydrochloride 500 mg tablet</t>
  </si>
  <si>
    <t>Diabetes, GI/PPI, Thyroid, Vitamins/Supplements</t>
  </si>
  <si>
    <t>عبدالله بن مسفر بن احمد الغامدي</t>
  </si>
  <si>
    <t>metFORMIN hydrochloride, SITagliptin, atorvastatin, colecalciferol, glimepiride, vitamin B complex (B, B</t>
  </si>
  <si>
    <t>metFORMIN hydrochloride 500 mg tablet, SITagliptin 100 mg tablet, metFORMIN hydrochloride 500 mg tablet, SITagliptin 100 mg tablet, metFORMIN hydrochloride 500 mg tablet, SITagliptin 100 mg tablet, atorvastatin 10 mg tablet, colecalciferol 50 000 international units tablet, atorvastatin 10 mg tablet, colecalciferol 50 000 international units tablet, atorvastatin 10 mg tablet, colecalciferol 50 000 international units tablet, glimepiride 2 mg tablet, vitamin B complex (B1,B6,B12) 100,200,0.2 mg Film coated tablets [oral], glimepiride 2 mg tablet, vitamin B complex (B1,B6,B12) 100,200,0.2 mg Film coated tablets [oral], glimepiride 2 mg tablet, vitamin B complex (B1,B6,B12) 100,200,0.2 mg Film coated tablets [oral], SITagliptin 100 mg tablet, SITagliptin 100 mg tablet, SITagliptin 100 mg tablet, metFORMIN hydrochloride 500 mg tablet, metFORMIN hydrochloride 500 mg tablet, metFORMIN hydrochloride 500 mg tablet, glimepiride 2 mg tablet, vitamin B complex (B1,B6,B12) 100,200,0.2 mg Film coated tablets [oral], glimepiride 2 mg tablet, vitamin B complex (B1,B6,B12) 100,200,0.2 mg Film coated tablets [oral], glimepiride 2 mg tablet, vitamin B complex (B1,B6,B12) 100,200,0.2 mg Film coated tablets [oral], colecalciferol 50 000 international units tablet, atorvastatin 10 mg tablet, colecalciferol 50 000 international units tablet, atorvastatin 10 mg tablet, colecalciferol 50 000 international units tablet, atorvastatin 10 mg tablet, glimepiride 2 mg tablet, atorvastatin 10 mg tablet, glimepiride 2 mg tablet, atorvastatin 10 mg tablet, glimepiride 2 mg tablet, atorvastatin 10 mg tablet,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SITagliptin 100 mg tablet, SITagliptin 100 mg tablet, SITagliptin 100 mg tablet, colecalciferol 50 000 international units tablet, colecalciferol 50 000 international units tablet, colecalciferol 50 000 international units tablet, glimepiride 2 mg tablet, glimepiride 2 mg tablet, glimepiride 2 mg tablet, colecalciferol 50 000 international units tablet, vitamin B complex (B1,B6,B12) 100,200,0.2 mg Film coated tablets [oral], colecalciferol 50 000 international units tablet, vitamin B complex (B1,B6,B12) 100,200,0.2 mg Film coated tablets [oral], colecalciferol 50 000 international units tablet, vitamin B complex (B1,B6,B12) 100,200,0.2 mg Film coated tablets [oral], metFORMIN hydrochloride 500 mg tablet, metFORMIN hydrochloride 500 mg tablet, metFORMIN hydrochloride 500 mg tablet, SITagliptin 100 mg tablet, SITagliptin 100 mg tablet, SITagliptin 100 mg tablet, atorvastatin 10 mg tablet, atorvastatin 10 mg tablet, atorvastatin 10 mg tablet</t>
  </si>
  <si>
    <t>عوض اسماعيل حماد العمري</t>
  </si>
  <si>
    <t>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 apixaban 5 mg tablet</t>
  </si>
  <si>
    <t>منى عثمان مبارك الحساوي</t>
  </si>
  <si>
    <t>ciprofloxacin</t>
  </si>
  <si>
    <t>ciprofloxacin 500 mg tablet, ciprofloxacin 500 mg tablet, ciprofloxacin 500 mg tablet, ciprofloxacin 500 mg tablet</t>
  </si>
  <si>
    <t>احمد بن حميد بن احمد العمري</t>
  </si>
  <si>
    <t>amLODIPine, apixaban, furosemide</t>
  </si>
  <si>
    <t>amLODIPine 5 mg tablet, amLODIPine 5 mg tablet, apixaban 2.5 mg tablet, apixaban 2.5 mg tablet, furosemide 40 mg tablet, furosemide 40 mg tablet, apixaban 2.5 mg tablet, apixaban 2.5 mg tablet, amLODIPine 5 mg tablet, amLODIPine 5 mg tablet, furosemide 40 mg tablet, furosemide 40 mg tablet</t>
  </si>
  <si>
    <t>حسام عتيق السميري</t>
  </si>
  <si>
    <t>محسن علي سعد العدواني</t>
  </si>
  <si>
    <t>atorvastatin, empagliflozin, omeprazole, perindopril arginine, acetylsalicylic acid, clopidogrel</t>
  </si>
  <si>
    <t>atorvastatin 20 mg tablet, empagliflozin 25 mg tablet, omeprazole 20 mg tablet: enteric coated, atorvastatin 20 mg tablet, empagliflozin 25 mg tablet, omeprazole 20 mg tablet: enteric coated, atorvastatin 20 mg tablet, empagliflozin 25 mg tablet, omeprazole 20 mg tablet: enteric coated, atorvastatin 20 mg tablet, empagliflozin 25 mg tablet, omeprazole 20 mg tablet: enteric coated, atorvastatin 20 mg tablet, empagliflozin 25 mg tablet, omeprazole 20 mg tablet: enteric coated, atorvastatin 20 mg tablet, empagliflozin 25 mg tablet, omeprazole 20 mg tablet: enteric coated, atorvastatin 20 mg tablet, empagliflozin 25 mg tablet, omeprazole 20 mg tablet: enteric coated, perindopril arginine 5 mg tablet, perindopril arginine 5 mg tablet, perindopril arginine 5 mg tablet, perindopril arginine 5 mg tablet, perindopril arginine 5 mg tablet, perindopril arginine 5 mg tablet, perindopril arginine 5 mg tablet,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omeprazole 20 mg tablet: enteric coated, empagliflozin 25 mg tablet, atorvastatin 20 mg tablet, omeprazole 20 mg tablet: enteric coated, empagliflozin 25 mg tablet, atorvastatin 20 mg tablet, omeprazole 20 mg tablet: enteric coated, empagliflozin 25 mg tablet, atorvastatin 20 mg tablet, omeprazole 20 mg tablet: enteric coated, empagliflozin 25 mg tablet, atorvastatin 20 mg tablet, omeprazole 20 mg tablet: enteric coated, empagliflozin 25 mg tablet, atorvastatin 20 mg tablet, omeprazole 20 mg tablet: enteric coated, empagliflozin 25 mg tablet, atorvastatin 20 mg tablet, omeprazole 20 mg tablet: enteric coated, empagliflozin 25 mg tablet, atorvastatin 20 mg tablet, clopidogrel 75 mg tablet, perindopril arginine 5 mg tablet, acetylsalicylic acid 100 mg tablet: enteric coated, clopidogrel 75 mg tablet, perindopril arginine 5 mg tablet, acetylsalicylic acid 100 mg tablet: enteric coated, clopidogrel 75 mg tablet, perindopril arginine 5 mg tablet, acetylsalicylic acid 100 mg tablet: enteric coated, clopidogrel 75 mg tablet, perindopril arginine 5 mg tablet, acetylsalicylic acid 100 mg tablet: enteric coated, clopidogrel 75 mg tablet, perindopril arginine 5 mg tablet, acetylsalicylic acid 100 mg tablet: enteric coated, clopidogrel 75 mg tablet, perindopril arginine 5 mg tablet, acetylsalicylic acid 100 mg tablet: enteric coated, clopidogrel 75 mg tablet, perindopril arginine 5 mg tablet, acetylsalicylic acid 100 mg tablet: enteric coated, clopidogrel 75 mg tablet, clopidogrel 75 mg tablet, clopidogrel 75 mg tablet, clopidogrel 75 mg tablet, clopidogrel 75 mg tablet, clopidogrel 75 mg tablet, clopidogrel 75 mg tablet, omeprazole 20 mg tablet: enteric coated, acetylsalicylic acid 100 mg tablet: enteric coated, omeprazole 20 mg tablet: enteric coated, acetylsalicylic acid 100 mg tablet: enteric coated, omeprazole 20 mg tablet: enteric coated, acetylsalicylic acid 100 mg tablet: enteric coated, omeprazole 20 mg tablet: enteric coated, acetylsalicylic acid 100 mg tablet: enteric coated, omeprazole 20 mg tablet: enteric coated, acetylsalicylic acid 100 mg tablet: enteric coated, omeprazole 20 mg tablet: enteric coated, acetylsalicylic acid 100 mg tablet: enteric coated, omeprazole 20 mg tablet: enteric coated, acetylsalicylic acid 100 mg tablet: enteric coated, perindopril arginine 5 mg tablet, perindopril arginine 5 mg tablet, perindopril arginine 5 mg tablet, perindopril arginine 5 mg tablet, perindopril arginine 5 mg tablet, perindopril arginine 5 mg tablet, perindopril arginine 5 mg tablet, clopidogrel 75 mg tablet, empagliflozin 25 mg tablet, clopidogrel 75 mg tablet, empagliflozin 25 mg tablet, clopidogrel 75 mg tablet, empagliflozin 25 mg tablet, clopidogrel 75 mg tablet, empagliflozin 25 mg tablet, clopidogrel 75 mg tablet, empagliflozin 25 mg tablet, clopidogrel 75 mg tablet, empagliflozin 25 mg tablet, clopidogrel 75 mg tablet, empagliflozin 25 mg tablet, atorvastatin 20 mg tablet, atorvastatin 20 mg tablet, atorvastatin 20 mg tablet, atorvastatin 20 mg tablet, atorvastatin 20 mg tablet, atorvastatin 20 mg tablet, atorvastatin 20 mg tablet</t>
  </si>
  <si>
    <t>Antiplatelet, Diabetes, Dyslipidemia, GI/PPI</t>
  </si>
  <si>
    <t>خديجه بخيت عبدالله جابر</t>
  </si>
  <si>
    <t>valsartan, insulin aspart, insulin glargine, omeprazole, amLODIPine, apixaban, bisoprolol fumarate</t>
  </si>
  <si>
    <t>valsartan 80 mg tablet, insulin aspart 100 international units/mL injection, 3 mL prefilled pen, insulin glargine 300 international units/mL injection, 1.5 mL prefilled pen, omeprazole 20 mg tablet: enteric coated, amLODIPine 5 mg tablet, apixaban 2.5 mg tablet, bisoprolol fumarate 5 mg tablet, valsartan 80 mg tablet, insulin aspart 100 international units/mL injection, 3 mL prefilled pen, insulin glargine 300 international units/mL injection, 1.5 mL prefilled pen, omeprazole 20 mg tablet: enteric coated, amLODIPine 5 mg tablet, apixaban 2.5 mg tablet, bisoprolol fumarate 5 mg tablet, valsartan 80 mg tablet, insulin aspart 100 international units/mL injection, 3 mL prefilled pen, insulin glargine 300 international units/mL injection, 1.5 mL prefilled pen, omeprazole 20 mg tablet: enteric coated, amLODIPine 5 mg tablet, apixaban 2.5 mg tablet, bisoprolol fumarate 5 mg tablet, valsartan 80 mg tablet, insulin aspart 100 international units/mL injection, 3 mL prefilled pen, insulin glargine 300 international units/mL injection, 1.5 mL prefilled pen, omeprazole 20 mg tablet: enteric coated, amLODIPine 5 mg tablet, apixaban 2.5 mg tablet, bisoprolol fumarate 5 mg tablet, amLODIPine 5 mg tablet, bisoprolol fumarate 5 mg tablet, insulin glargine 300 international units/mL injection, 1.5 mL prefilled pen, apixaban 2.5 mg tablet, omeprazole 20 mg tablet: enteric coated, valsartan 80 mg tablet, amLODIPine 5 mg tablet, bisoprolol fumarate 5 mg tablet, insulin glargine 300 international units/mL injection, 1.5 mL prefilled pen, apixaban 2.5 mg tablet, omeprazole 20 mg tablet: enteric coated, valsartan 80 mg tablet, amLODIPine 5 mg tablet, bisoprolol fumarate 5 mg tablet, insulin glargine 300 international units/mL injection, 1.5 mL prefilled pen, apixaban 2.5 mg tablet, omeprazole 20 mg tablet: enteric coated, valsartan 80 mg tablet, amLODIPine 5 mg tablet, bisoprolol fumarate 5 mg tablet, insulin glargine 300 international units/mL injection, 1.5 mL prefilled pen, apixaban 2.5 mg tablet, omeprazole 20 mg tablet: enteric coated, valsartan 80 mg tablet, insulin aspart 100 international units/mL injection, 3 mL prefilled pen, insulin glargine 300 international units/mL injection, 1.5 mL prefilled pen, amLODIPine 5 mg tablet, bisoprolol fumarate 5 mg tablet, apixaban 2.5 mg tablet, valsartan 80 mg tablet, omeprazole 20 mg tablet: enteric coated, insulin aspart 100 international units/mL injection, 3 mL prefilled pen, insulin glargine 300 international units/mL injection, 1.5 mL prefilled pen, amLODIPine 5 mg tablet, bisoprolol fumarate 5 mg tablet, apixaban 2.5 mg tablet, valsartan 80 mg tablet, omeprazole 20 mg tablet: enteric coated, insulin aspart 100 international units/mL injection, 3 mL prefilled pen, insulin glargine 300 international units/mL injection, 1.5 mL prefilled pen, amLODIPine 5 mg tablet, bisoprolol fumarate 5 mg tablet, apixaban 2.5 mg tablet, valsartan 80 mg tablet, omeprazole 20 mg tablet: enteric coated, insulin aspart 100 international units/mL injection, 3 mL prefilled pen, insulin glargine 300 international units/mL injection, 1.5 mL prefilled pen, amLODIPine 5 mg tablet, bisoprolol fumarate 5 mg tablet, apixaban 2.5 mg tablet, valsartan 80 mg tablet, omeprazole 20 mg tablet: enteric coated, valsartan 80 mg tablet, insulin aspart 100 international units/mL injection, 3 mL prefilled pen, amLODIPine 5 mg tablet, omeprazole 20 mg tablet: enteric coated, insulin glargine 300 international units/mL injection, 1.5 mL prefilled pen, apixaban 2.5 mg tablet, bisoprolol fumarate 5 mg tablet, valsartan 80 mg tablet, insulin aspart 100 international units/mL injection, 3 mL prefilled pen, amLODIPine 5 mg tablet, omeprazole 20 mg tablet: enteric coated, insulin glargine 300 international units/mL injection, 1.5 mL prefilled pen, apixaban 2.5 mg tablet, bisoprolol fumarate 5 mg tablet, valsartan 80 mg tablet, insulin aspart 100 international units/mL injection, 3 mL prefilled pen, amLODIPine 5 mg tablet, omeprazole 20 mg tablet: enteric coated, insulin glargine 300 international units/mL injection, 1.5 mL prefilled pen, apixaban 2.5 mg tablet, bisoprolol fumarate 5 mg tablet, valsartan 80 mg tablet, insulin aspart 100 international units/mL injection, 3 mL prefilled pen, amLODIPine 5 mg tablet, omeprazole 20 mg tablet: enteric coated, insulin glargine 300 international units/mL injection, 1.5 mL prefilled pen, apixaban 2.5 mg tablet, bisoprolol fumarate 5 mg tablet, amLODIPine 5 mg tablet, bisoprolol fumarate 5 mg tablet, insulin glargine 300 international units/mL injection, 1.5 mL prefilled pen, apixaban 2.5 mg tablet, insulin aspart 100 international units/mL injection, 3 mL prefilled pen, omeprazole 20 mg tablet: enteric coated, amLODIPine 5 mg tablet, bisoprolol fumarate 5 mg tablet, insulin glargine 300 international units/mL injection, 1.5 mL prefilled pen, apixaban 2.5 mg tablet, insulin aspart 100 international units/mL injection, 3 mL prefilled pen, omeprazole 20 mg tablet: enteric coated, amLODIPine 5 mg tablet, bisoprolol fumarate 5 mg tablet, insulin glargine 300 international units/mL injection, 1.5 mL prefilled pen, apixaban 2.5 mg tablet, insulin aspart 100 international units/mL injection, 3 mL prefilled pen, omeprazole 20 mg tablet: enteric coated, amLODIPine 5 mg tablet, bisoprolol fumarate 5 mg tablet, insulin glargine 300 international units/mL injection, 1.5 mL prefilled pen, apixaban 2.5 mg tablet, insulin aspart 100 international units/mL injection, 3 mL prefilled pen, omeprazole 20 mg tablet: enteric coated, valsartan 80 mg tablet, valsartan 80 mg tablet, valsartan 80 mg tablet, valsartan 80 mg tablet</t>
  </si>
  <si>
    <t>مريم عبدالله عبده قرموش</t>
  </si>
  <si>
    <t>colecalciferol, vitamin B complex (B, B, levothyroxine sodium, atorvastatin, acetylsalicylic acid, valsartan, metFORMIN hydrochloride, amLODIPine</t>
  </si>
  <si>
    <t>colecalciferol 50 000 international units tablet, colecalciferol 50 000 international units tablet, colecalciferol 50 000 international units tablet, vitamin B complex (B1,B6,B12) 100,200,0.2 mg Film coated tablets [oral], levothyroxine sodium 25 microgram tablet, levothyroxine sodium 50 microgram tablet, vitamin B complex (B1,B6,B12) 100,200,0.2 mg Film coated tablets [oral], levothyroxine sodium 25 microgram tablet, levothyroxine sodium 50 microgram tablet, vitamin B complex (B1,B6,B12) 100,200,0.2 mg Film coated tablets [oral], levothyroxine sodium 25 microgram tablet, levothyroxine sodium 50 microgram tablet, atorvastatin 20 mg tablet, vitamin B complex (B1,B6,B12) 100,200,0.2 mg Film coated tablets [oral], acetylsalicylic acid 100 mg tablet: enteric coated, colecalciferol 50 000 international units tablet, atorvastatin 20 mg tablet, vitamin B complex (B1,B6,B12) 100,200,0.2 mg Film coated tablets [oral], acetylsalicylic acid 100 mg tablet: enteric coated, colecalciferol 50 000 international units tablet, atorvastatin 20 mg tablet, vitamin B complex (B1,B6,B12) 100,200,0.2 mg Film coated tablets [oral], acetylsalicylic acid 100 mg tablet: enteric coated, colecalciferol 50 000 international units tablet, levothyroxine sodium 50 microgram tablet, levothyroxine sodium 25 microgram tablet, levothyroxine sodium 50 microgram tablet, levothyroxine sodium 25 microgram tablet, levothyroxine sodium 50 microgram tablet, levothyroxine sodium 25 microgram tablet, valsartan 80 mg tablet, metFORMIN hydrochloride 500 mg tablet, valsartan 80 mg tablet, metFORMIN hydrochloride 500 mg tablet, valsartan 80 mg tablet, metFORMIN hydrochloride 500 mg tablet, amLODIPine 5 mg tablet, amLODIPine 5 mg tablet, amLODIPine 5 mg tablet, vitamin B complex (B1,B6,B12) 100,200,0.2 mg Film coated tablets [oral], vitamin B complex (B1,B6,B12) 100,200,0.2 mg Film coated tablets [oral], vitamin B complex (B1,B6,B12) 100,200,0.2 mg Film coated tablets [oral], levothyroxine sodium 25 microgram tablet, metFORMIN hydrochloride 500 mg tablet, levothyroxine sodium 25 microgram tablet, metFORMIN hydrochloride 500 mg tablet, levothyroxine sodium 25 microgram tablet, metFORMIN hydrochloride 500 mg tablet, atorvastatin 20 mg tablet, amLODIPine 5 mg tablet, valsartan 80 mg tablet, atorvastatin 20 mg tablet, amLODIPine 5 mg tablet, valsartan 80 mg tablet, atorvastatin 20 mg tablet, amLODIPine 5 mg tablet, valsartan 80 mg tablet, acetylsalicylic acid 100 mg tablet: enteric coated, levothyroxine sodium 50 microgram tablet, colecalciferol 50 000 international units tablet, acetylsalicylic acid 100 mg tablet: enteric coated, levothyroxine sodium 50 microgram tablet, colecalciferol 50 000 international units tablet, acetylsalicylic acid 100 mg tablet: enteric coated, levothyroxine sodium 50 microgram tablet, colecalciferol 50 000 international units tablet, atorvastatin 20 mg tablet, acetylsalicylic acid 100 mg tablet: enteric coated, amLODIPine 5 mg tablet, atorvastatin 20 mg tablet, acetylsalicylic acid 100 mg tablet: enteric coated, amLODIPine 5 mg tablet, atorvastatin 20 mg tablet, acetylsalicylic acid 100 mg tablet: enteric coated, amLODIPine 5 mg tablet, metFORMIN hydrochloride 500 mg tablet, valsartan 80 mg tablet, metFORMIN hydrochloride 500 mg tablet, valsartan 80 mg tablet, metFORMIN hydrochloride 500 mg tablet, valsartan 80 mg tablet</t>
  </si>
  <si>
    <t>Antiplatelet, Diabetes, Dyslipidemia, Hypertension, Thyroid, Vitamins/Supplements</t>
  </si>
  <si>
    <t>عيشه محمد احمد باحادق</t>
  </si>
  <si>
    <t>potassium chloride, bisacodyl</t>
  </si>
  <si>
    <t>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bisacodyl 10 mg suppository, bisacodyl 10 mg suppository, bisacodyl 10 mg suppository, bisacodyl 10 mg suppository, bisacodyl 10 mg suppository, potassium chloride 0.0466 g - sodium chloride 0.3508 g - macrogol 13.125 g - sodium hydrogen carbonate 0.1786 g Powder for solution [oral], bisacodyl 10 mg suppository, potassium chloride 0.0466 g - sodium chloride 0.3508 g - macrogol 13.125 g - sodium hydrogen carbonate 0.1786 g Powder for solution [oral], bisacodyl 10 mg suppository, potassium chloride 0.0466 g - sodium chloride 0.3508 g - macrogol 13.125 g - sodium hydrogen carbonate 0.1786 g Powder for solution [oral], bisacodyl 10 mg suppository, potassium chloride 0.0466 g - sodium chloride 0.3508 g - macrogol 13.125 g - sodium hydrogen carbonate 0.1786 g Powder for solution [oral], potassium chloride 0.0466 g - sodium chloride 0.3508 g - macrogol 13.125 g - sodium hydrogen carbonate 0.1786 g Powder for solution [oral], bisacodyl 10 mg suppository, potassium chloride 0.0466 g - sodium chloride 0.3508 g - macrogol 13.125 g - sodium hydrogen carbonate 0.1786 g Powder for solution [oral], bisacodyl 10 mg suppository, potassium chloride 0.0466 g - sodium chloride 0.3508 g - macrogol 13.125 g - sodium hydrogen carbonate 0.1786 g Powder for solution [oral], bisacodyl 10 mg suppository, potassium chloride 0.0466 g - sodium chloride 0.3508 g - macrogol 13.125 g - sodium hydrogen carbonate 0.1786 g Powder for solution [oral], bisacodyl 10 mg suppository, bisacodyl 10 mg suppository, bisacodyl 10 mg suppository, bisacodyl 10 mg suppository, bisacodyl 10 mg suppository</t>
  </si>
  <si>
    <t>حنان ربيع زحم القريقري</t>
  </si>
  <si>
    <t>paracetamol, ferrous sulfate, amoxicillin, colecalciferol</t>
  </si>
  <si>
    <t>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ferrous sulfate 190 mg Tablets [oral], amoxicillin 500 mg capsule, ferrous sulfate 190 mg Tablets [oral], amoxicillin 500 mg capsule, ferrous sulfate 190 mg Tablets [oral], amoxicillin 500 mg capsule, ferrous sulfate 190 mg Tablets [oral], amoxicillin 500 mg capsule, ferrous sulfate 190 mg Tablets [oral], amoxicillin 500 mg capsule, ferrous sulfate 190 mg Tablets [oral], amoxicillin 500 mg capsule, ferrous sulfate 190 mg Tablets [oral], amoxicillin 500 mg capsule, ferrous sulfate 190 mg Tablets [oral], amoxicillin 500 mg capsule, ferrous sulfate 190 mg Tablets [oral], amoxicillin 500 mg capsule,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ferrous sulfate 190 mg Tablets [oral], paracetamol 500 mg + codeine phosphate 8 mg + caffeine 30 mg tablet, amoxicillin 500 mg capsule, ferrous sulfate 190 mg Tablets [oral], paracetamol 500 mg + codeine phosphate 8 mg + caffeine 30 mg tablet, amoxicillin 500 mg capsule, ferrous sulfate 190 mg Tablets [oral], paracetamol 500 mg + codeine phosphate 8 mg + caffeine 30 mg tablet, amoxicillin 500 mg capsule, ferrous sulfate 190 mg Tablets [oral], paracetamol 500 mg + codeine phosphate 8 mg + caffeine 30 mg tablet, amoxicillin 500 mg capsule, ferrous sulfate 190 mg Tablets [oral], paracetamol 500 mg + codeine phosphate 8 mg + caffeine 30 mg tablet, amoxicillin 500 mg capsule, ferrous sulfate 190 mg Tablets [oral], paracetamol 500 mg + codeine phosphate 8 mg + caffeine 30 mg tablet, amoxicillin 500 mg capsule, ferrous sulfate 190 mg Tablets [oral], paracetamol 500 mg + codeine phosphate 8 mg + caffeine 30 mg tablet, amoxicillin 500 mg capsule, ferrous sulfate 190 mg Tablets [oral], paracetamol 500 mg + codeine phosphate 8 mg + caffeine 30 mg tablet, amoxicillin 500 mg capsule, ferrous sulfate 190 mg Tablets [oral], paracetamol 500 mg + codeine phosphate 8 mg + caffeine 30 mg tablet, amoxicillin 500 mg capsule,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amoxicillin 500 mg capsule, amoxicillin 500 mg capsule, amoxicillin 500 mg capsule, amoxicillin 500 mg capsule, amoxicillin 500 mg capsule, amoxicillin 500 mg capsule, amoxicillin 500 mg capsule, amoxicillin 500 mg capsule, amoxicillin 500 mg capsule, ferrous sulfate 190 mg Tablets [oral], colecalciferol 50 000 international units tablet, ferrous sulfate 190 mg Tablets [oral], colecalciferol 50 000 international units tablet, ferrous sulfate 190 mg Tablets [oral], colecalciferol 50 000 international units tablet, ferrous sulfate 190 mg Tablets [oral], colecalciferol 50 000 international units tablet, ferrous sulfate 190 mg Tablets [oral], colecalciferol 50 000 international units tablet, ferrous sulfate 190 mg Tablets [oral], colecalciferol 50 000 international units tablet, ferrous sulfate 190 mg Tablets [oral], colecalciferol 50 000 international units tablet, ferrous sulfate 190 mg Tablets [oral], colecalciferol 50 000 international units tablet, ferrous sulfate 190 mg Tablets [oral], colecalciferol 50 000 international units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t>
  </si>
  <si>
    <t>غاليه محمد حميد القريقري</t>
  </si>
  <si>
    <t>omeprazole, metFORMIN hydrochloride, valsartan, SITagliptin</t>
  </si>
  <si>
    <t>omeprazole 20 mg tablet: enteric coated, omeprazole 20 mg tablet: enteric coated, omeprazole 20 mg tablet: enteric coated, metFORMIN hydrochloride 750 mg tablet: modified release, valsartan 80 mg tablet, metFORMIN hydrochloride 750 mg tablet: modified release, valsartan 80 mg tablet, metFORMIN hydrochloride 750 mg tablet: modified release, valsartan 80 mg tablet, SITagliptin 100 mg tablet, SITagliptin 100 mg tablet, SITagliptin 100 mg tablet, valsartan 80 mg tablet, valsartan 80 mg tablet, valsartan 80 mg tablet, omeprazole 20 mg tablet: enteric coated, metFORMIN hydrochloride 750 mg tablet: modified release, omeprazole 20 mg tablet: enteric coated, metFORMIN hydrochloride 750 mg tablet: modified release, omeprazole 20 mg tablet: enteric coated, metFORMIN hydrochloride 750 mg tablet: modified release, SITagliptin 100 mg tablet, SITagliptin 100 mg tablet, SITagliptin 100 mg tablet, SITagliptin 100 mg tablet, SITagliptin 100 mg tablet, SITagliptin 100 mg tablet, omeprazole 20 mg tablet: enteric coated, omeprazole 20 mg tablet: enteric coated, omeprazole 20 mg tablet: enteric coated, metFORMIN hydrochloride 750 mg tablet: modified release, metFORMIN hydrochloride 750 mg tablet: modified release, metFORMIN hydrochloride 750 mg tablet: modified release, valsartan 80 mg tablet, valsartan 80 mg tablet, valsartan 80 mg tablet, SITagliptin 100 mg tablet, SITagliptin 100 mg tablet, SITagliptin 100 mg tablet, omeprazole 20 mg tablet: enteric coated, metFORMIN hydrochloride 750 mg tablet: modified release, valsartan 80 mg tablet, omeprazole 20 mg tablet: enteric coated, metFORMIN hydrochloride 750 mg tablet: modified release, valsartan 80 mg tablet, omeprazole 20 mg tablet: enteric coated, metFORMIN hydrochloride 750 mg tablet: modified release, valsartan 80 mg tablet, valsartan 80 mg tablet, valsartan 80 mg tablet, valsartan 80 mg tablet, SITagliptin 100 mg tablet, SITagliptin 100 mg tablet, SITagliptin 100 mg tablet, omeprazole 20 mg tablet: enteric coated, omeprazole 20 mg tablet: enteric coated, omeprazole 20 mg tablet: enteric coated, metFORMIN hydrochloride 750 mg tablet: modified release, metFORMIN hydrochloride 750 mg tablet: modified release, metFORMIN hydrochloride 750 mg tablet: modified release, omeprazole 20 mg tablet: enteric coated, omeprazole 20 mg tablet: enteric coated, omeprazole 20 mg tablet: enteric coated, valsartan 80 mg tablet, valsartan 80 mg tablet, valsartan 80 mg tablet, metFORMIN hydrochloride 750 mg tablet: modified release, metFORMIN hydrochloride 750 mg tablet: modified release, metFORMIN hydrochloride 750 mg tablet: modified release, omeprazole 20 mg tablet: enteric coated, omeprazole 20 mg tablet: enteric coated, omeprazole 20 mg tablet: enteric coated, SITagliptin 100 mg tablet, SITagliptin 100 mg tablet, SITagliptin 100 mg tablet</t>
  </si>
  <si>
    <t>بندر موسى علي العبيده</t>
  </si>
  <si>
    <t>colecalciferol, rosuvastatin, vitamin B complex (B, B, clopidogrel, omeprazole, bisoprolol fumarate</t>
  </si>
  <si>
    <t>colecalciferol 5000 international units Capsules [oral], colecalciferol 5000 international units Capsules [oral], colecalciferol 5000 international units Capsules [oral], rosuvastatin 20 mg tablet, vitamin B complex (B1,B6,B12) 100,200,0.2 mg Film coated tablets [oral], clopidogrel 75 mg tablet, rosuvastatin 20 mg tablet, vitamin B complex (B1,B6,B12) 100,200,0.2 mg Film coated tablets [oral], clopidogrel 75 mg tablet, rosuvastatin 20 mg tablet, vitamin B complex (B1,B6,B12) 100,200,0.2 mg Film coated tablets [oral], clopidogrel 75 mg tablet, omeprazole 20 mg tablet: enteric coated, bisoprolol fumarate 5 mg tablet, omeprazole 20 mg tablet: enteric coated, bisoprolol fumarate 5 mg tablet, omeprazole 20 mg tablet: enteric coated, bisoprolol fumarate 5 mg tablet, colecalciferol 5000 international units Capsules [oral], clopidogrel 75 mg tablet, omeprazole 20 mg tablet: enteric coated, rosuvastatin 20 mg tablet, colecalciferol 5000 international units Capsules [oral], clopidogrel 75 mg tablet, omeprazole 20 mg tablet: enteric coated, rosuvastatin 20 mg tablet, colecalciferol 5000 international units Capsules [oral], clopidogrel 75 mg tablet, omeprazole 20 mg tablet: enteric coated, rosuvastatin 20 mg tablet, bisoprolol fumarate 5 mg tablet, bisoprolol fumarate 5 mg tablet, bisoprolol fumarate 5 mg tablet, vitamin B complex (B1,B6,B12) 100,200,0.2 mg Film coated tablets [oral], vitamin B complex (B1,B6,B12) 100,200,0.2 mg Film coated tablets [oral], vitamin B complex (B1,B6,B12) 100,200,0.2 mg Film coated tablets [oral], clopidogrel 75 mg tablet, clopidogrel 75 mg tablet, clopidogrel 75 mg tablet, vitamin B complex (B1,B6,B12) 100,200,0.2 mg Film coated tablets [oral], bisoprolol fumarate 5 mg tablet, colecalciferol 5000 international units Capsules [oral], omeprazole 20 mg tablet: enteric coated, rosuvastatin 20 mg tablet, vitamin B complex (B1,B6,B12) 100,200,0.2 mg Film coated tablets [oral], bisoprolol fumarate 5 mg tablet, colecalciferol 5000 international units Capsules [oral], omeprazole 20 mg tablet: enteric coated, rosuvastatin 20 mg tablet, vitamin B complex (B1,B6,B12) 100,200,0.2 mg Film coated tablets [oral], bisoprolol fumarate 5 mg tablet, colecalciferol 5000 international units Capsules [oral], omeprazole 20 mg tablet: enteric coated, rosuvastatin 20 mg tablet</t>
  </si>
  <si>
    <t>Antiplatelet, Dyslipidemia, GI/PPI, Hypertension, Vitamins/Supplements</t>
  </si>
  <si>
    <t>طارق سليم عيد الثقفي</t>
  </si>
  <si>
    <t>omeprazole, bisoprolol fumarate, clopidogrel, metFORMIN hydrochloride, empagliflozin, rosuvastatin, insulin glargine, acetylsalicylic acid, perindopril arginine, gliclazide</t>
  </si>
  <si>
    <t>omeprazole 20 mg tablet: enteric coated, omeprazole 20 mg tablet: enteric coated, bisoprolol fumarate 5 mg tablet, clopidogrel 75 mg tablet, bisoprolol fumarate 5 mg tablet, clopidogrel 75 mg tablet, metFORMIN hydrochloride 500 mg tablet, empagliflozin 25 mg tablet, metFORMIN hydrochloride 500 mg tablet, empagliflozin 25 mg tablet, rosuvastatin 20 mg tablet, insulin glargine 300 international units/mL injection, 1.5 mL prefilled pen, acetylsalicylic acid 100 mg tablet: enteric coated, rosuvastatin 20 mg tablet, insulin glargine 300 international units/mL injection, 1.5 mL prefilled pen, acetylsalicylic acid 100 mg tablet: enteric coated, perindopril arginine 5 mg tablet, gliclazide 60 mg tablet: modified release, perindopril arginine 5 mg tablet, gliclazide 60 mg tablet: modified release, linagliptin 5 mg tablet, linagliptin 5 mg tablet, metFORMIN hydrochloride 500 mg tablet, metFORMIN hydrochloride 500 mg tablet, acetylsalicylic acid 100 mg tablet: enteric coated, acetylsalicylic acid 100 mg tablet: enteric coated, insulin glargine 300 international units/mL injection, 1.5 mL prefilled pen, rosuvastatin 20 mg tablet, gliclazide 60 mg tablet: modified release, perindopril arginine 5 mg tablet, insulin glargine 300 international units/mL injection, 1.5 mL prefilled pen, rosuvastatin 20 mg tablet, gliclazide 60 mg tablet: modified release, perindopril arginine 5 mg tablet, empagliflozin 25 mg tablet, linagliptin 5 mg tablet, bisoprolol fumarate 5 mg tablet, clopidogrel 75 mg tablet, omeprazole 20 mg tablet: enteric coated, empagliflozin 25 mg tablet, linagliptin 5 mg tablet, bisoprolol fumarate 5 mg tablet, clopidogrel 75 mg tablet, omeprazole 20 mg tablet: enteric coated, empagliflozin 25 mg tablet, empagliflozin 25 mg tablet, metFORMIN hydrochloride 500 mg tablet, gliclazide 60 mg tablet: modified release, acetylsalicylic acid 100 mg tablet: enteric coated, perindopril arginine 5 mg tablet, metFORMIN hydrochloride 500 mg tablet, gliclazide 60 mg tablet: modified release, acetylsalicylic acid 100 mg tablet: enteric coated, perindopril arginine 5 mg tablet, bisoprolol fumarate 5 mg tablet, bisoprolol fumarate 5 mg tablet, clopidogrel 75 mg tablet, insulin glargine 300 international units/mL injection, 1.5 mL prefilled pen, rosuvastatin 20 mg tablet, clopidogrel 75 mg tablet, insulin glargine 300 international units/mL injection, 1.5 mL prefilled pen, rosuvastatin 20 mg tablet, linagliptin 5 mg tablet, omeprazole 20 mg tablet: enteric coated, linagliptin 5 mg tablet, omeprazole 20 mg tablet: enteric coated</t>
  </si>
  <si>
    <t>رنده جمال بن اسلم الزهيرى</t>
  </si>
  <si>
    <t>عائشه عطيه مرزوق السلمي</t>
  </si>
  <si>
    <t>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t>
  </si>
  <si>
    <t>ايمن احمد عبده الغامدي</t>
  </si>
  <si>
    <t>atorvastatin 20 mg tablet, atorvastatin 20 mg tablet, atorvastatin 20 mg tablet, atorvastatin 20 mg tablet</t>
  </si>
  <si>
    <t>عدنان احمد علي ابوحبايه</t>
  </si>
  <si>
    <t>fusidic acid 2% (20 mg/g) cream, fusidic acid 2% (20 mg/g) cream, fusidic acid 2% (20 mg/g) cream, fusidic acid 2% (20 mg/g) cream, fusidic acid 2% (20 mg/g) cream, fusidic acid 2% (20 mg/g) cream, fusidic acid 2% (20 mg/g) cream, fusidic acid 2% (20 mg/g) cream, fusidic acid 2% (20 mg/g) cream, fusidic acid 2% (20 mg/g) cream, fusidic acid 2% (20 mg/g) cream, fusidic acid 2% (20 mg/g) cream</t>
  </si>
  <si>
    <t>حسين سلمان ناصر القحطاني</t>
  </si>
  <si>
    <t>celecoxib</t>
  </si>
  <si>
    <t>celecoxib 200 mg capsule, celecoxib 200 mg capsule, celecoxib 200 mg capsule, celecoxib 200 mg capsule, celecoxib 200 mg capsule, celecoxib 200 mg capsule, celecoxib 200 mg capsule, celecoxib 200 mg capsule, celecoxib 200 mg capsule</t>
  </si>
  <si>
    <t>نوال عمر سعيد باعطاء</t>
  </si>
  <si>
    <t>omeprazole, cetirizine hydrochloride, rosuvastatin, valsartan</t>
  </si>
  <si>
    <t>omeprazole 20 mg tablet: enteric coated, omeprazole 20 mg tablet: enteric coated, omeprazole 20 mg tablet: enteric coated, omeprazole 20 mg tablet: enteric coated, omeprazole 20 mg tablet: enteric coated, omeprazole 20 mg tablet: enteric coated, cetirizine hydrochloride 10 mg tablet, cetirizine hydrochloride 10 mg tablet, cetirizine hydrochloride 10 mg tablet, cetirizine hydrochloride 10 mg tablet, cetirizine hydrochloride 10 mg tablet, cetirizine hydrochloride 10 mg tablet, rosuvastatin 10 mg tablet, rosuvastatin 10 mg tablet, rosuvastatin 10 mg tablet, rosuvastatin 10 mg tablet, rosuvastatin 10 mg tablet, rosuvastatin 10 mg tablet, valsartan 80 mg tablet, valsartan 80 mg tablet, valsartan 80 mg tablet, valsartan 80 mg tablet, valsartan 80 mg tablet, valsartan 80 mg tablet, omeprazole 20 mg tablet: enteric coated, omeprazole 20 mg tablet: enteric coated, omeprazole 20 mg tablet: enteric coated, omeprazole 20 mg tablet: enteric coated, omeprazole 20 mg tablet: enteric coated, omeprazole 20 mg tablet: enteric coated, cetirizine hydrochloride 10 mg tablet, cetirizine hydrochloride 10 mg tablet, cetirizine hydrochloride 10 mg tablet, cetirizine hydrochloride 10 mg tablet, cetirizine hydrochloride 10 mg tablet, cetirizine hydrochloride 10 mg tablet, valsartan 80 mg tablet, rosuvastatin 10 mg tablet, valsartan 80 mg tablet, rosuvastatin 10 mg tablet, valsartan 80 mg tablet, rosuvastatin 10 mg tablet, valsartan 80 mg tablet, rosuvastatin 10 mg tablet, valsartan 80 mg tablet, rosuvastatin 10 mg tablet, valsartan 80 mg tablet, rosuvastatin 10 mg tablet, rosuvastatin 10 mg tablet, rosuvastatin 10 mg tablet, rosuvastatin 10 mg tablet, rosuvastatin 10 mg tablet, rosuvastatin 10 mg tablet, rosuvastatin 10 mg tablet, cetirizine hydrochloride 10 mg tablet, omeprazole 20 mg tablet: enteric coated, cetirizine hydrochloride 10 mg tablet, omeprazole 20 mg tablet: enteric coated, cetirizine hydrochloride 10 mg tablet, omeprazole 20 mg tablet: enteric coated, cetirizine hydrochloride 10 mg tablet, omeprazole 20 mg tablet: enteric coated, cetirizine hydrochloride 10 mg tablet, omeprazole 20 mg tablet: enteric coated, cetirizine hydrochloride 10 mg tablet, omeprazole 20 mg tablet: enteric coated, valsartan 80 mg tablet, valsartan 80 mg tablet, valsartan 80 mg tablet, valsartan 80 mg tablet, valsartan 80 mg tablet, valsartan 80 mg tablet, cetirizine hydrochloride 10 mg tablet, cetirizine hydrochloride 10 mg tablet, cetirizine hydrochloride 10 mg tablet, cetirizine hydrochloride 10 mg tablet, cetirizine hydrochloride 10 mg tablet, cetirizine hydrochloride 10 mg tablet, omeprazole 20 mg tablet: enteric coated, omeprazole 20 mg tablet: enteric coated, omeprazole 20 mg tablet: enteric coated, omeprazole 20 mg tablet: enteric coated, omeprazole 20 mg tablet: enteric coated, omeprazole 20 mg tablet: enteric coated, valsartan 80 mg tablet, valsartan 80 mg tablet, valsartan 80 mg tablet, valsartan 80 mg tablet, valsartan 80 mg tablet, valsartan 80 mg tablet</t>
  </si>
  <si>
    <t>صفيه عطيه علي الزهراني</t>
  </si>
  <si>
    <t>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t>
  </si>
  <si>
    <t>رسميه عبدالله بطي المطيري</t>
  </si>
  <si>
    <t>rosuvastatin, ferrous sulfate</t>
  </si>
  <si>
    <t>rosuvastatin 20 mg tablet, rosuvastatin 20 mg tablet, rosuvastatin 20 mg tablet, rosuvastatin 20 mg tablet, rosuvastatin 20 mg tablet, rosuvastatin 20 mg tablet,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rosuvastatin 20 mg tablet, rosuvastatin 20 mg tablet, rosuvastatin 20 mg tablet, rosuvastatin 20 mg tablet, rosuvastatin 20 mg tablet, rosuvastatin 20 mg tablet,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rosuvastatin 20 mg tablet, rosuvastatin 20 mg tablet, rosuvastatin 20 mg tablet, rosuvastatin 20 mg tablet, rosuvastatin 20 mg tablet, rosuvastatin 20 mg tablet,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rosuvastatin 20 mg tablet, rosuvastatin 20 mg tablet, rosuvastatin 20 mg tablet, rosuvastatin 20 mg tablet, rosuvastatin 20 mg tablet, rosuvastatin 20 mg tablet</t>
  </si>
  <si>
    <t>عدنان صالح علي السديس</t>
  </si>
  <si>
    <t>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t>
  </si>
  <si>
    <t>باسم عبدالله محمد الغربي</t>
  </si>
  <si>
    <t>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t>
  </si>
  <si>
    <t>نورالهدى محمد نور محمد علي الفتنى</t>
  </si>
  <si>
    <t>hydroCHLOROthiazide</t>
  </si>
  <si>
    <t>hydroCHLOROthiazide 25 mg tablet: scored, hydroCHLOROthiazide 25 mg tablet: scored, hydroCHLOROthiazide 25 mg tablet: scored, hydroCHLOROthiazide 25 mg tablet: scored, hydroCHLOROthiazide 25 mg tablet: scored, hydroCHLOROthiazide 25 mg tablet: scored, hydroCHLOROthiazide 25 mg tablet: scored, hydroCHLOROthiazide 25 mg tablet: scored, hydroCHLOROthiazide 25 mg tablet: scored, hydroCHLOROthiazide 25 mg tablet: scored, hydroCHLOROthiazide 25 mg tablet: scored, hydroCHLOROthiazide 25 mg tablet: scored, hydroCHLOROthiazide 25 mg tablet: scored, hydroCHLOROthiazide 25 mg tablet: scored, hydroCHLOROthiazide 25 mg tablet: scored, hydroCHLOROthiazide 25 mg tablet: scored, hydroCHLOROthiazide 25 mg tablet: scored, hydroCHLOROthiazide 25 mg tablet: scored, hydroCHLOROthiazide 25 mg tablet: scored, hydroCHLOROthiazide 25 mg tablet: scored, hydroCHLOROthiazide 25 mg tablet: scored, hydroCHLOROthiazide 25 mg tablet: scored, hydroCHLOROthiazide 25 mg tablet: scored, hydroCHLOROthiazide 25 mg tablet: scored</t>
  </si>
  <si>
    <t>نوره عبدالله سارح القرني</t>
  </si>
  <si>
    <t>sodium chloride, levothyroxine sodium, valsartan, amLODIPine, cetirizine hydrochloride, paracetamol, mebeverine hydrochloride, metFORMIN hydrochloride</t>
  </si>
  <si>
    <t>sodium chloride 0.9% (9 mg/mL) nasal spray, sodium chloride 0.9% (9 mg/mL) nasal spray, levothyroxine sodium 50 microgram tablet, valsartan 80 mg tablet, levothyroxine sodium 50 microgram tablet, valsartan 80 mg tablet, levothyroxine sodium 25 microgram tablet, amLODIPine 5 mg tablet, levothyroxine sodium 25 microgram tablet, amLODIPine 5 mg tablet, cetirizine hydrochloride 10 mg tablet, cetirizine hydrochloride 10 mg tablet, paracetamol 500 mg tablet, mebeverine hydrochloride 200 mg capsule: modified release, metFORMIN hydrochloride 500 mg tablet, paracetamol 500 mg tablet, mebeverine hydrochloride 200 mg capsule: modified release, metFORMIN hydrochloride 500 mg tablet, amLODIPine 5 mg tablet, amLODIPine 5 mg tablet, paracetamol 500 mg tablet, paracetamol 500 mg tablet, cetirizine hydrochloride 10 mg tablet, valsartan 80 mg tablet, metFORMIN hydrochloride 500 mg tablet, mebeverine hydrochloride 200 mg capsule: modified release, cetirizine hydrochloride 10 mg tablet, valsartan 80 mg tablet, metFORMIN hydrochloride 500 mg tablet, mebeverine hydrochloride 200 mg capsule: modified release, levothyroxine sodium 25 microgram tablet, sodium chloride 0.9% (9 mg/mL) nasal spray, levothyroxine sodium 25 microgram tablet, sodium chloride 0.9% (9 mg/mL) nasal spray, levothyroxine sodium 50 microgram tablet, levothyroxine sodium 50 microgram tablet</t>
  </si>
  <si>
    <t>Diabetes, Hypertension, Thyroid</t>
  </si>
  <si>
    <t>سعيده مسعود عفينان العصلاني</t>
  </si>
  <si>
    <t>سلوى عبدالله سعد الشقيحي</t>
  </si>
  <si>
    <t>خالد مقبل مدله الحربي</t>
  </si>
  <si>
    <t>Lancets (Accu-Check), insulin glargine (lantus), Strips (Accu-Check)</t>
  </si>
  <si>
    <t>Lancets (Accu-Check) 1 box Lancets [n/a], Lancets (Accu-Check) 1 box Lancets [n/a], Lancets (Accu-Check) 1 box Lancets [n/a], Lancets (Accu-Check) 1 box Lancets [n/a], Lancets (Accu-Check) 1 box Lancets [n/a], Lancets (Accu-Check) 1 box Lancets [n/a], Lancets (Accu-Check) 1 box Lancets [n/a], Lancets (Accu-Check) 1 box Lancets [n/a], Lancets (Accu-Check) 1 box Lancets [n/a], Lancets (Accu-Check) 1 box Lancets [n/a],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Lancets (Accu-Check) 1 box Lancets [n/a], Strips (Accu-Check) 1 box Strip [n/a], Lancets (Accu-Check) 1 box Lancets [n/a], Strips (Accu-Check) 1 box Strip [n/a], Lancets (Accu-Check) 1 box Lancets [n/a], Strips (Accu-Check) 1 box Strip [n/a], Lancets (Accu-Check) 1 box Lancets [n/a], Strips (Accu-Check) 1 box Strip [n/a], Lancets (Accu-Check) 1 box Lancets [n/a], Strips (Accu-Check) 1 box Strip [n/a], Lancets (Accu-Check) 1 box Lancets [n/a], Strips (Accu-Check) 1 box Strip [n/a], Lancets (Accu-Check) 1 box Lancets [n/a], Strips (Accu-Check) 1 box Strip [n/a], Lancets (Accu-Check) 1 box Lancets [n/a], Strips (Accu-Check) 1 box Strip [n/a], Lancets (Accu-Check) 1 box Lancets [n/a], Strips (Accu-Check) 1 box Strip [n/a], Lancets (Accu-Check) 1 box Lancets [n/a],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Lancets (Accu-Check) 1 box Lancets [n/a], Lancets (Accu-Check) 1 box Lancets [n/a], Lancets (Accu-Check) 1 box Lancets [n/a], Lancets (Accu-Check) 1 box Lancets [n/a], Lancets (Accu-Check) 1 box Lancets [n/a], Lancets (Accu-Check) 1 box Lancets [n/a], Lancets (Accu-Check) 1 box Lancets [n/a], Lancets (Accu-Check) 1 box Lancets [n/a], Lancets (Accu-Check) 1 box Lancets [n/a], Lancets (Accu-Check) 1 box Lancets [n/a], Strips (Accu-Check) 1 box Strip [n/a], insulin glargine (lantus) 100 international units/mL injection, 3 mL prefilled pen, Strips (Accu-Check) 1 box Strip [n/a], insulin glargine (lantus) 100 international units/mL injection, 3 mL prefilled pen, Strips (Accu-Check) 1 box Strip [n/a], insulin glargine (lantus) 100 international units/mL injection, 3 mL prefilled pen, Strips (Accu-Check) 1 box Strip [n/a], insulin glargine (lantus) 100 international units/mL injection, 3 mL prefilled pen, Strips (Accu-Check) 1 box Strip [n/a], insulin glargine (lantus) 100 international units/mL injection, 3 mL prefilled pen, Strips (Accu-Check) 1 box Strip [n/a], insulin glargine (lantus) 100 international units/mL injection, 3 mL prefilled pen, Strips (Accu-Check) 1 box Strip [n/a], insulin glargine (lantus) 100 international units/mL injection, 3 mL prefilled pen, Strips (Accu-Check) 1 box Strip [n/a], insulin glargine (lantus) 100 international units/mL injection, 3 mL prefilled pen, Strips (Accu-Check) 1 box Strip [n/a], insulin glargine (lantus) 100 international units/mL injection, 3 mL prefilled pen, Strips (Accu-Check) 1 box Strip [n/a], insulin glargine (lantus) 100 international units/mL injection, 3 mL prefilled pen</t>
  </si>
  <si>
    <t>عائشه عائض عوض الثمالي</t>
  </si>
  <si>
    <t>indapamide, insulin glargine, rosuvastatin, insulin aspart, amLODIPine</t>
  </si>
  <si>
    <t>indapamide 1.5 mg tablet: modified release, indapamide 1.5 mg tablet: modified release, indapamide 1.5 mg tablet: modified release, indapamide 1.5 mg tablet: modified release,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rosuvastatin 20 mg tablet, rosuvastatin 20 mg tablet, rosuvastatin 20 mg tablet, rosuvastatin 20 mg tablet, insulin aspart 100 international units/mL injection, 3 mL prefilled pen, amLODIPine 5 mg tablet, insulin aspart 100 international units/mL injection, 3 mL prefilled pen, amLODIPine 5 mg tablet, insulin aspart 100 international units/mL injection, 3 mL prefilled pen, amLODIPine 5 mg tablet, insulin aspart 100 international units/mL injection, 3 mL prefilled pen, amLODIPine 5 mg tablet, amLODIPine 5 mg tablet, indapamide 1.5 mg tablet: modified release, rosuvastatin 20 mg tablet, amLODIPine 5 mg tablet, indapamide 1.5 mg tablet: modified release, rosuvastatin 20 mg tablet, amLODIPine 5 mg tablet, indapamide 1.5 mg tablet: modified release, rosuvastatin 20 mg tablet, amLODIPine 5 mg tablet, indapamide 1.5 mg tablet: modified release, rosuvastatin 20 mg tablet,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indapamide 1.5 mg tablet: modified release, indapamide 1.5 mg tablet: modified release, indapamide 1.5 mg tablet: modified release, indapamide 1.5 mg tablet: modified release, amLODIPine 5 mg tablet, amLODIPine 5 mg tablet, amLODIPine 5 mg tablet, amLODIPine 5 mg tablet,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rosuvastatin 20 mg tablet, rosuvastatin 20 mg tablet, rosuvastatin 20 mg tablet, rosuvastatin 20 mg tablet</t>
  </si>
  <si>
    <t>جمعان عباد علي الغامدي</t>
  </si>
  <si>
    <t>empagliflozin, colecalciferol</t>
  </si>
  <si>
    <t>empagliflozin 10 mg tablet, empagliflozin 10 mg tablet, colecalciferol 50 000 international units tablet, colecalciferol 50 000 international units tablet, colecalciferol 50 000 international units tablet, empagliflozin 10 mg tablet, colecalciferol 50 000 international units tablet, empagliflozin 10 mg tablet</t>
  </si>
  <si>
    <t>خضراء محمد سعيد الغامدي</t>
  </si>
  <si>
    <t>valsartan, vitamin B complex (B, B, calcium carbonate, omeprazole, metFORMIN hydrochloride, amLODIPine, acetylsalicylic acid</t>
  </si>
  <si>
    <t>valsartan 80 mg tablet, vitamin B complex (B1,B6,B12) 100,200,0.2 mg Film coated tablets [oral], calcium carbonate 600 mg - colecalciferol 200 international units Film coated tablets [oral], omeprazole 20 mg tablet: enteric coated, metFORMIN hydrochloride 500 mg tablet, amLODIPine 10 mg capsule, acetylsalicylic acid 100 mg tablet: enteric coated, valsartan 80 mg tablet, vitamin B complex (B1,B6,B12) 100,200,0.2 mg Film coated tablets [oral], calcium carbonate 600 mg - colecalciferol 200 international units Film coated tablets [oral], omeprazole 20 mg tablet: enteric coated, metFORMIN hydrochloride 500 mg tablet, amLODIPine 10 mg capsule, acetylsalicylic acid 100 mg tablet: enteric coated, valsartan 80 mg tablet, vitamin B complex (B1,B6,B12) 100,200,0.2 mg Film coated tablets [oral], calcium carbonate 600 mg - colecalciferol 200 international units Film coated tablets [oral], omeprazole 20 mg tablet: enteric coated, metFORMIN hydrochloride 500 mg tablet, amLODIPine 10 mg capsule, acetylsalicylic acid 100 mg tablet: enteric coated, valsartan 80 mg tablet, valsartan 80 mg tablet, valsartan 80 mg tablet, vitamin B complex (B1,B6,B12) 100,200,0.2 mg Film coated tablets [oral], omeprazole 20 mg tablet: enteric coated, amLODIPine 10 mg capsule, calcium carbonate 600 mg - colecalciferol 200 international units Film coated tablets [oral], metFORMIN hydrochloride 500 mg tablet, vitamin B complex (B1,B6,B12) 100,200,0.2 mg Film coated tablets [oral], omeprazole 20 mg tablet: enteric coated, amLODIPine 10 mg capsule, calcium carbonate 600 mg - colecalciferol 200 international units Film coated tablets [oral], metFORMIN hydrochloride 500 mg tablet, vitamin B complex (B1,B6,B12) 100,200,0.2 mg Film coated tablets [oral], omeprazole 20 mg tablet: enteric coated, amLODIPine 10 mg capsule, calcium carbonate 600 mg - colecalciferol 200 international units Film coated tablets [oral], metFORMIN hydrochloride 500 mg tablet, acetylsalicylic acid 100 mg tablet: enteric coated, acetylsalicylic acid 100 mg tablet: enteric coated, acetylsalicylic acid 100 mg tablet: enteric coated, valsartan 80 mg tablet, valsartan 80 mg tablet, valsartan 80 mg tablet, acetylsalicylic acid 100 mg tablet: enteric coated, calcium carbonate 600 mg - colecalciferol 200 international units Film coated tablets [oral], amLODIPine 10 mg capsule, metFORMIN hydrochloride 500 mg tablet, acetylsalicylic acid 100 mg tablet: enteric coated, calcium carbonate 600 mg - colecalciferol 200 international units Film coated tablets [oral], amLODIPine 10 mg capsule, metFORMIN hydrochloride 500 mg tablet, acetylsalicylic acid 100 mg tablet: enteric coated, calcium carbonate 600 mg - colecalciferol 200 international units Film coated tablets [oral], amLODIPine 10 mg capsule, metFORMIN hydrochloride 500 mg tablet, omeprazole 20 mg tablet: enteric coated, omeprazole 20 mg tablet: enteric coated, omeprazole 20 mg tablet: enteric coated, vitamin B complex (B1,B6,B12) 100,200,0.2 mg Film coated tablets [oral], vitamin B complex (B1,B6,B12) 100,200,0.2 mg Film coated tablets [oral], vitamin B complex (B1,B6,B12) 100,200,0.2 mg Film coated tablets [oral], amLODIPine 10 mg capsule, amLODIPine 10 mg capsule, amLODIPine 10 mg capsule, valsartan 80 mg tablet, amLODIPine 10 mg capsule, valsartan 80 mg tablet, amLODIPine 10 mg capsule, valsartan 80 mg tablet, amLODIPine 10 mg capsule, metFORMIN hydrochloride 500 mg tablet, acetylsalicylic acid 100 mg tablet: enteric coated, metFORMIN hydrochloride 500 mg tablet, acetylsalicylic acid 100 mg tablet: enteric coated, metFORMIN hydrochloride 500 mg tablet, acetylsalicylic acid 100 mg tablet: enteric coated, omeprazole 20 mg tablet: enteric coated, calcium carbonate 600 mg - colecalciferol 200 international units Film coated tablets [oral], omeprazole 20 mg tablet: enteric coated, calcium carbonate 600 mg - colecalciferol 200 international units Film coated tablets [oral], omeprazole 20 mg tablet: enteric coated, calcium carbonate 600 mg - colecalciferol 200 international units Film coated tablets [oral], vitamin B complex (B1,B6,B12) 100,200,0.2 mg Film coated tablets [oral], vitamin B complex (B1,B6,B12) 100,200,0.2 mg Film coated tablets [oral], vitamin B complex (B1,B6,B12) 100,200,0.2 mg Film coated tablets [oral]</t>
  </si>
  <si>
    <t>Antiplatelet, Diabetes, GI/PPI, Hypertension, Vitamins/Supplements</t>
  </si>
  <si>
    <t>الصنوت مسفر عوض المطيري</t>
  </si>
  <si>
    <t>rosuvastatin 20 mg tablet, rosuvastatin 20 mg tablet, rosuvastatin 20 mg tablet, rosuvastatin 20 mg tablet, rosuvastatin 20 mg tablet, rosuvastatin 20 mg tablet, rosuvastatin 20 mg tablet, rosuvastatin 20 mg tablet, rosuvastatin 20 mg tablet</t>
  </si>
  <si>
    <t>علي احمد عبدالله العماري</t>
  </si>
  <si>
    <t>empagliflozin, vitamin B complex (B, B, gliclazide, metFORMIN hydrochloride</t>
  </si>
  <si>
    <t>empagliflozin 25 mg tablet, empagliflozin 25 mg tablet, empagliflozin 25 mg tablet, vitamin B complex (B1,B6,B12) 100,200,0.2 mg Film coated tablets [oral], gliclazide 60 mg tablet: modified release, vitamin B complex (B1,B6,B12) 100,200,0.2 mg Film coated tablets [oral], gliclazide 60 mg tablet: modified release, vitamin B complex (B1,B6,B12) 100,200,0.2 mg Film coated tablets [oral], gliclazide 60 mg tablet: modified release, metFORMIN hydrochloride 750 mg tablet: modified release, metFORMIN hydrochloride 750 mg tablet: modified release, metFORMIN hydrochloride 750 mg tablet: modified release, gliclazide 60 mg tablet: modified release, gliclazide 60 mg tablet: modified release, gliclazide 60 mg tablet: modified release, vitamin B complex (B1,B6,B12) 100,200,0.2 mg Film coated tablets [oral], metFORMIN hydrochloride 750 mg tablet: modified release, vitamin B complex (B1,B6,B12) 100,200,0.2 mg Film coated tablets [oral], metFORMIN hydrochloride 750 mg tablet: modified release, vitamin B complex (B1,B6,B12) 100,200,0.2 mg Film coated tablets [oral], metFORMIN hydrochloride 750 mg tablet: modified release, empagliflozin 25 mg tablet, empagliflozin 25 mg tablet, empagliflozin 25 mg tablet</t>
  </si>
  <si>
    <t>ماجد صالح يوسف العبيسي</t>
  </si>
  <si>
    <t>SITagliptin, vitamin B complex (B, B, gliclazide, metFORMIN hydrochloride</t>
  </si>
  <si>
    <t>SITagliptin 100 mg tablet, SITagliptin 100 mg tablet, SITagliptin 100 mg tablet, SITagliptin 100 mg tablet, vitamin B complex (B1,B6,B12) 100,200,0.2 mg Film coated tablets [oral], gliclazide 60 mg tablet: modified release, vitamin B complex (B1,B6,B12) 100,200,0.2 mg Film coated tablets [oral], gliclazide 60 mg tablet: modified release, vitamin B complex (B1,B6,B12) 100,200,0.2 mg Film coated tablets [oral], gliclazide 60 mg tablet: modified release, vitamin B complex (B1,B6,B12) 100,200,0.2 mg Film coated tablets [oral], gliclazide 60 mg tablet: modified release, metFORMIN hydrochloride 500 mg tablet, metFORMIN hydrochloride 500 mg tablet, metFORMIN hydrochloride 500 mg tablet, metFORMIN hydrochloride 500 mg tablet, gliclazide 60 mg tablet: modified release, vitamin B complex (B1,B6,B12) 100,200,0.2 mg Film coated tablets [oral], gliclazide 60 mg tablet: modified release, vitamin B complex (B1,B6,B12) 100,200,0.2 mg Film coated tablets [oral], gliclazide 60 mg tablet: modified release, vitamin B complex (B1,B6,B12) 100,200,0.2 mg Film coated tablets [oral], gliclazide 60 mg tablet: modified release, vitamin B complex (B1,B6,B12) 100,200,0.2 mg Film coated tablets [oral], metFORMIN hydrochloride 500 mg tablet, metFORMIN hydrochloride 500 mg tablet, metFORMIN hydrochloride 500 mg tablet, metFORMIN hydrochloride 500 mg tablet, SITagliptin 100 mg tablet, SITagliptin 100 mg tablet, SITagliptin 100 mg tablet, SITagliptin 100 mg tablet</t>
  </si>
  <si>
    <t>عبدالله ابن عتيق ابن علي الغامدي</t>
  </si>
  <si>
    <t>atorvastatin, metFORMIN hydrochloride, acetylsalicylic acid</t>
  </si>
  <si>
    <t>atorvastatin 20 mg tablet, atorvastatin 20 mg tablet, atorvastatin 20 mg tablet, atorvastatin 20 mg tablet, atorvastatin 20 mg tablet, metFORMIN hydrochloride 500 mg tablet, acetylsalicylic acid 100 mg tablet: enteric coated, metFORMIN hydrochloride 500 mg tablet, acetylsalicylic acid 100 mg tablet: enteric coated, metFORMIN hydrochloride 500 mg tablet, acetylsalicylic acid 100 mg tablet: enteric coated, metFORMIN hydrochloride 500 mg tablet, acetylsalicylic acid 100 mg tablet: enteric coated, metFORMIN hydrochloride 500 mg tablet,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metFORMIN hydrochloride 500 mg tablet, metFORMIN hydrochloride 500 mg tablet, metFORMIN hydrochloride 500 mg tablet, metFORMIN hydrochloride 500 mg tablet, metFORMIN hydrochloride 500 mg tablet, atorvastatin 20 mg tablet, atorvastatin 20 mg tablet, atorvastatin 20 mg tablet, atorvastatin 20 mg tablet, atorvastatin 20 mg tablet, metFORMIN hydrochloride 500 mg tablet, metFORMIN hydrochloride 500 mg tablet, metFORMIN hydrochloride 500 mg tablet, metFORMIN hydrochloride 500 mg tablet, metFORMIN hydrochloride 500 mg tablet, acetylsalicylic acid 100 mg tablet: enteric coated, acetylsalicylic acid 100 mg tablet: enteric coated, acetylsalicylic acid 100 mg tablet: enteric coated, acetylsalicylic acid 100 mg tablet: enteric coated, acetylsalicylic acid 100 mg tablet: enteric coated, atorvastatin 20 mg tablet, atorvastatin 20 mg tablet, atorvastatin 20 mg tablet, atorvastatin 20 mg tablet, atorvastatin 20 mg tablet</t>
  </si>
  <si>
    <t>Antiplatelet, Diabetes, Dyslipidemia</t>
  </si>
  <si>
    <t>فدوى فؤاد احمد نجار</t>
  </si>
  <si>
    <t>linagliptin</t>
  </si>
  <si>
    <t>linagliptin 5 mg tablet, linagliptin 5 mg tablet, linagliptin 5 mg tablet, linagliptin 5 mg tablet, linagliptin 5 mg tablet, linagliptin 5 mg tablet, linagliptin 5 mg tablet, linagliptin 5 mg tablet, linagliptin 5 mg tablet, linagliptin 5 mg tablet, linagliptin 5 mg tablet, linagliptin 5 mg tablet</t>
  </si>
  <si>
    <t>نجلاء دخيل الله بن عبدالرحمن</t>
  </si>
  <si>
    <t>omeprazole, vitamins (A, B, C, D, chlorzoxazone</t>
  </si>
  <si>
    <t>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vitamins (A, B1, B2, B3, C, D3) tablet, vitamins (A, B1, B2, B3, C, D3) tablet, vitamins (A, B1, B2, B3, C, D3) tablet, vitamins (A, B1, B2, B3, C, D3) tablet, vitamins (A, B1, B2, B3, C, D3) tablet, chlorzoxazone 250 mg + paracetamol 300 mg capsule, chlorzoxazone 250 mg + paracetamol 300 mg capsule, chlorzoxazone 250 mg + paracetamol 300 mg capsule, chlorzoxazone 250 mg + paracetamol 300 mg capsule, chlorzoxazone 250 mg + paracetamol 300 mg capsule, omeprazole 20 mg tablet: enteric coated, chlorzoxazone 250 mg + paracetamol 300 mg capsule, omeprazole 20 mg tablet: enteric coated, chlorzoxazone 250 mg + paracetamol 300 mg capsule, omeprazole 20 mg tablet: enteric coated, chlorzoxazone 250 mg + paracetamol 300 mg capsule, omeprazole 20 mg tablet: enteric coated, chlorzoxazone 250 mg + paracetamol 300 mg capsule, omeprazole 20 mg tablet: enteric coated, chlorzoxazone 250 mg + paracetamol 300 mg capsule,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omeprazole 20 mg tablet: enteric coated, chlorzoxazone 250 mg + paracetamol 300 mg capsule, omeprazole 20 mg tablet: enteric coated, chlorzoxazone 250 mg + paracetamol 300 mg capsule, omeprazole 20 mg tablet: enteric coated, chlorzoxazone 250 mg + paracetamol 300 mg capsule, omeprazole 20 mg tablet: enteric coated, chlorzoxazone 250 mg + paracetamol 300 mg capsule, omeprazole 20 mg tablet: enteric coated, chlorzoxazone 250 mg + paracetamol 300 mg capsule, chlorzoxazone 250 mg + paracetamol 300 mg capsule, chlorzoxazone 250 mg + paracetamol 300 mg capsule, chlorzoxazone 250 mg + paracetamol 300 mg capsule, chlorzoxazone 250 mg + paracetamol 300 mg capsule, chlorzoxazone 250 mg + paracetamol 300 mg capsule, vitamins (A, B1, B2, B3, C, D3) tablet, omeprazole 20 mg tablet: enteric coated, vitamins (A, B1, B2, B3, C, D3) tablet, omeprazole 20 mg tablet: enteric coated, vitamins (A, B1, B2, B3, C, D3) tablet, omeprazole 20 mg tablet: enteric coated, vitamins (A, B1, B2, B3, C, D3) tablet, omeprazole 20 mg tablet: enteric coated, vitamins (A, B1, B2, B3, C, D3) tablet, omeprazole 20 mg tablet: enteric coated, omeprazole 20 mg tablet: enteric coated, omeprazole 20 mg tablet: enteric coated, omeprazole 20 mg tablet: enteric coated, omeprazole 20 mg tablet: enteric coated, omeprazole 20 mg tablet: enteric coated</t>
  </si>
  <si>
    <t>GI/PPI, Vitamins/Supplements</t>
  </si>
  <si>
    <t>رشاد ابن عبداللطيف ابن عبدالله وزقر</t>
  </si>
  <si>
    <t>clopidogrel, sodium chloride, cetirizine hydrochloride, acetylsalicylic acid, paracetamol, atorvastatin, bisoprolol fumarate</t>
  </si>
  <si>
    <t>clopidogrel 75 mg tablet, clopidogrel 75 mg tablet, clopidogrel 75 mg tablet, sodium chloride 0.9% (9 mg/mL) nasal spray, sodium chloride 0.9% (9 mg/mL) nasal spray, sodium chloride 0.9% (9 mg/mL) nasal spray, cetirizine hydrochloride 10 mg tablet, cetirizine hydrochloride 10 mg tablet, cetirizine hydrochloride 10 mg tablet, acetylsalicylic acid 100 mg tablet: enteric coated, paracetamol 500 mg tablet, acetylsalicylic acid 100 mg tablet: enteric coated, paracetamol 500 mg tablet, acetylsalicylic acid 100 mg tablet: enteric coated, paracetamol 500 mg tablet, atorvastatin 20 mg tablet, atorvastatin 20 mg tablet, atorvastatin 20 mg tablet, clopidogrel 75 mg tablet, clopidogrel 75 mg tablet, clopidogrel 75 mg tablet, bisoprolol fumarate 5 mg tablet, cetirizine hydrochloride 10 mg tablet, sodium chloride 0.9% (9 mg/mL) nasal spray, acetylsalicylic acid 100 mg tablet: enteric coated, bisoprolol fumarate 5 mg tablet, cetirizine hydrochloride 10 mg tablet, sodium chloride 0.9% (9 mg/mL) nasal spray, acetylsalicylic acid 100 mg tablet: enteric coated, bisoprolol fumarate 5 mg tablet, cetirizine hydrochloride 10 mg tablet, sodium chloride 0.9% (9 mg/mL) nasal spray, acetylsalicylic acid 100 mg tablet: enteric coated, paracetamol 500 mg tablet, paracetamol 500 mg tablet, paracetamol 500 mg tablet, atorvastatin 20 mg tablet, atorvastatin 20 mg tablet, atorvastatin 20 mg tablet, bisoprolol fumarate 5 mg tablet, bisoprolol fumarate 5 mg tablet, bisoprolol fumarate 5 mg tablet, cetirizine hydrochloride 10 mg tablet, bisoprolol fumarate 5 mg tablet, cetirizine hydrochloride 10 mg tablet, bisoprolol fumarate 5 mg tablet, cetirizine hydrochloride 10 mg tablet, bisoprolol fumarate 5 mg tablet, paracetamol 500 mg tablet, paracetamol 500 mg tablet, paracetamol 500 mg tablet, acetylsalicylic acid 100 mg tablet: enteric coated, acetylsalicylic acid 100 mg tablet: enteric coated, acetylsalicylic acid 100 mg tablet: enteric coated, sodium chloride 0.9% (9 mg/mL) nasal spray, clopidogrel 75 mg tablet, atorvastatin 20 mg tablet, sodium chloride 0.9% (9 mg/mL) nasal spray, clopidogrel 75 mg tablet, atorvastatin 20 mg tablet, sodium chloride 0.9% (9 mg/mL) nasal spray, clopidogrel 75 mg tablet, atorvastatin 20 mg tablet</t>
  </si>
  <si>
    <t>عبدالرحمن عاتق احمد الحربي</t>
  </si>
  <si>
    <t>amLODIPine, empagliflozin, perindopril arginine, rosuvastatin, SITagliptin, bisoprolol fumarate, metFORMIN hydrochloride, acetylsalicylic acid</t>
  </si>
  <si>
    <t>amLODIPine 5 mg tablet, empagliflozin 10 mg tablet, perindopril arginine 5 mg tablet, amLODIPine 5 mg tablet, empagliflozin 10 mg tablet, perindopril arginine 5 mg tablet, amLODIPine 5 mg tablet, empagliflozin 10 mg tablet, perindopril arginine 5 mg tablet, amLODIPine 5 mg tablet, empagliflozin 10 mg tablet, perindopril arginine 5 mg tablet, rosuvastatin 20 mg tablet, SITagliptin 100 mg tablet, bisoprolol fumarate 5 mg tablet, rosuvastatin 20 mg tablet, SITagliptin 100 mg tablet, bisoprolol fumarate 5 mg tablet, rosuvastatin 20 mg tablet, SITagliptin 100 mg tablet, bisoprolol fumarate 5 mg tablet, rosuvastatin 20 mg tablet, SITagliptin 100 mg tablet, bisoprolol fumarate 5 mg tablet, metFORMIN hydrochloride 500 mg tablet, metFORMIN hydrochloride 500 mg tablet, metFORMIN hydrochloride 500 mg tablet, metFORMIN hydrochloride 500 mg tablet, acetylsalicylic acid 100 mg tablet: enteric coated, acetylsalicylic acid 100 mg tablet: enteric coated, acetylsalicylic acid 100 mg tablet: enteric coated, acetylsalicylic acid 100 mg tablet: enteric coated, rosuvastatin 20 mg tablet, rosuvastatin 20 mg tablet, rosuvastatin 20 mg tablet, rosuvastatin 20 mg tablet, bisoprolol fumarate 5 mg tablet, acetylsalicylic acid 100 mg tablet: enteric coated, bisoprolol fumarate 5 mg tablet, acetylsalicylic acid 100 mg tablet: enteric coated, bisoprolol fumarate 5 mg tablet, acetylsalicylic acid 100 mg tablet: enteric coated, bisoprolol fumarate 5 mg tablet, acetylsalicylic acid 100 mg tablet: enteric coated, amLODIPine 5 mg tablet, SITagliptin 100 mg tablet, metFORMIN hydrochloride 500 mg tablet, amLODIPine 5 mg tablet, SITagliptin 100 mg tablet, metFORMIN hydrochloride 500 mg tablet, amLODIPine 5 mg tablet, SITagliptin 100 mg tablet, metFORMIN hydrochloride 500 mg tablet, amLODIPine 5 mg tablet, SITagliptin 100 mg tablet, metFORMIN hydrochloride 500 mg tablet, empagliflozin 10 mg tablet, perindopril arginine 5 mg tablet, empagliflozin 10 mg tablet, perindopril arginine 5 mg tablet, empagliflozin 10 mg tablet, perindopril arginine 5 mg tablet, empagliflozin 10 mg tablet, perindopril arginine 5 mg tablet, amLODIPine 5 mg tablet, amLODIPine 5 mg tablet, amLODIPine 5 mg tablet, amLODIPine 5 mg tablet, acetylsalicylic acid 100 mg tablet: enteric coated, empagliflozin 10 mg tablet, SITagliptin 100 mg tablet, acetylsalicylic acid 100 mg tablet: enteric coated, empagliflozin 10 mg tablet, SITagliptin 100 mg tablet, acetylsalicylic acid 100 mg tablet: enteric coated, empagliflozin 10 mg tablet, SITagliptin 100 mg tablet, acetylsalicylic acid 100 mg tablet: enteric coated, empagliflozin 10 mg tablet, SITagliptin 100 mg tablet, bisoprolol fumarate 5 mg tablet, bisoprolol fumarate 5 mg tablet, bisoprolol fumarate 5 mg tablet, bisoprolol fumarate 5 mg tablet, perindopril arginine 5 mg tablet, rosuvastatin 20 mg tablet, perindopril arginine 5 mg tablet, rosuvastatin 20 mg tablet, perindopril arginine 5 mg tablet, rosuvastatin 20 mg tablet, perindopril arginine 5 mg tablet, rosuvastatin 20 mg tablet, metFORMIN hydrochloride 500 mg tablet, metFORMIN hydrochloride 500 mg tablet, metFORMIN hydrochloride 500 mg tablet, metFORMIN hydrochloride 500 mg tablet, perindopril arginine 5 mg tablet, empagliflozin 10 mg tablet, perindopril arginine 5 mg tablet, empagliflozin 10 mg tablet, perindopril arginine 5 mg tablet, empagliflozin 10 mg tablet, perindopril arginine 5 mg tablet, empagliflozin 10 mg tablet, amLODIPine 5 mg tablet, metFORMIN hydrochloride 500 mg tablet, amLODIPine 5 mg tablet, metFORMIN hydrochloride 500 mg tablet, amLODIPine 5 mg tablet, metFORMIN hydrochloride 500 mg tablet, amLODIPine 5 mg tablet, metFORMIN hydrochloride 500 mg tablet, rosuvastatin 20 mg tablet, bisoprolol fumarate 5 mg tablet, rosuvastatin 20 mg tablet, bisoprolol fumarate 5 mg tablet, rosuvastatin 20 mg tablet, bisoprolol fumarate 5 mg tablet, rosuvastatin 20 mg tablet, bisoprolol fumarate 5 mg tablet, acetylsalicylic acid 100 mg tablet: enteric coated, acetylsalicylic acid 100 mg tablet: enteric coated, acetylsalicylic acid 100 mg tablet: enteric coated, acetylsalicylic acid 100 mg tablet: enteric coated, SITagliptin 100 mg tablet, SITagliptin 100 mg tablet, SITagliptin 100 mg tablet, SITagliptin 100 mg tablet, amLODIPine 5 mg tablet, amLODIPine 5 mg tablet, amLODIPine 5 mg tablet, amLODIPine 5 mg tablet, bisoprolol fumarate 5 mg tablet, bisoprolol fumarate 5 mg tablet, bisoprolol fumarate 5 mg tablet, bisoprolol fumarate 5 mg tablet, SITagliptin 100 mg tablet, SITagliptin 100 mg tablet, SITagliptin 100 mg tablet, SITagliptin 100 mg tablet</t>
  </si>
  <si>
    <t>عيده عوده عيد الحربي</t>
  </si>
  <si>
    <t>amoxicillin, ibuprofen, metroNIDAZOLE</t>
  </si>
  <si>
    <t>amoxicillin 500 mg + clavulanic acid 125 mg tablet, amoxicillin 500 mg + clavulanic acid 125 mg tablet, amoxicillin 500 mg + clavulanic acid 125 mg tablet, amoxicillin 500 mg + clavulanic acid 125 mg tablet, ibuprofen 400 mg tablet, ibuprofen 400 mg tablet, ibuprofen 400 mg tablet, ibuprofen 400 mg tablet, metroNIDAZOLE 500 mg tablet, metroNIDAZOLE 500 mg tablet, metroNIDAZOLE 500 mg tablet, metroNIDAZOLE 500 mg tablet, ibuprofen 400 mg tablet, amoxicillin 500 mg + clavulanic acid 125 mg tablet, ibuprofen 400 mg tablet, amoxicillin 500 mg + clavulanic acid 125 mg tablet, ibuprofen 400 mg tablet, amoxicillin 500 mg + clavulanic acid 125 mg tablet, ibuprofen 400 mg tablet, amoxicillin 500 mg + clavulanic acid 125 mg tablet, metroNIDAZOLE 500 mg tablet, metroNIDAZOLE 500 mg tablet, metroNIDAZOLE 500 mg tablet, metroNIDAZOLE 500 mg tablet, amoxicillin 500 mg + clavulanic acid 125 mg tablet, amoxicillin 500 mg + clavulanic acid 125 mg tablet, amoxicillin 500 mg + clavulanic acid 125 mg tablet, amoxicillin 500 mg + clavulanic acid 125 mg tablet, metroNIDAZOLE 500 mg tablet, metroNIDAZOLE 500 mg tablet, metroNIDAZOLE 500 mg tablet, metroNIDAZOLE 500 mg tablet, metroNIDAZOLE 500 mg tablet, metroNIDAZOLE 500 mg tablet, metroNIDAZOLE 500 mg tablet, metroNIDAZOLE 500 mg tablet</t>
  </si>
  <si>
    <t>ريهام عبدالرحمن عبدالحي قاري</t>
  </si>
  <si>
    <t>غاده عبدالله كريدم السفياني</t>
  </si>
  <si>
    <t>levothyroxine sodium, valsartan, insulin glargine (lantus), vitamin B complex (B, B, insulin aspart, Insulin Pen Needle</t>
  </si>
  <si>
    <t>levothyroxine sodium 25 microgram tablet, levothyroxine sodium 25 microgram tablet, levothyroxine sodium 25 microgram tablet, valsartan 80 mg tablet, valsartan 80 mg tablet, valsartan 80 mg tablet, insulin glargine (lantus) 100 international units/mL injection, 3 mL prefilled pen, vitamin B complex (B1,B6,B12) 100,200,0.2 mg Film coated tablets [oral], insulin glargine (lantus) 100 international units/mL injection, 3 mL prefilled pen, vitamin B complex (B1,B6,B12) 100,200,0.2 mg Film coated tablets [oral], insulin glargine (lantus) 100 international units/mL injection, 3 mL prefilled pen, vitamin B complex (B1,B6,B12) 100,200,0.2 mg Film coated tablets [oral], insulin aspart 100 international units/mL injection, 3 mL prefilled pen, insulin aspart 100 international units/mL injection, 3 mL prefilled pen, insulin aspart 100 international units/mL injection, 3 mL prefilled pen, Insulin Pen Needle 4mm Needle [sc], levothyroxine sodium 50 microgram tablet, Insulin Pen Needle 4mm Needle [sc], levothyroxine sodium 50 microgram tablet, Insulin Pen Needle 4mm Needle [sc], levothyroxine sodium 50 microgram tablet, levothyroxine sodium 25 microgram tablet, levothyroxine sodium 25 microgram tablet, levothyroxine sodium 25 microgram tablet, insulin glargine (lantus) 100 international units/mL injection, 3 mL prefilled pen, insulin glargine (lantus) 100 international units/mL injection, 3 mL prefilled pen, insulin glargine (lantus) 100 international units/mL injection, 3 mL prefilled pen, valsartan 80 mg tablet, Insulin Pen Needle 4mm Needle [sc], valsartan 80 mg tablet, Insulin Pen Needle 4mm Needle [sc], valsartan 80 mg tablet, Insulin Pen Needle 4mm Needle [sc], vitamin B complex (B1,B6,B12) 100,200,0.2 mg Film coated tablets [oral], vitamin B complex (B1,B6,B12) 100,200,0.2 mg Film coated tablets [oral], vitamin B complex (B1,B6,B12) 100,200,0.2 mg Film coated tablets [oral], insulin aspart 100 international units/mL injection, 3 mL prefilled pen, levothyroxine sodium 50 microgram tablet, insulin aspart 100 international units/mL injection, 3 mL prefilled pen, levothyroxine sodium 50 microgram tablet, insulin aspart 100 international units/mL injection, 3 mL prefilled pen, levothyroxine sodium 50 microgram tablet</t>
  </si>
  <si>
    <t>Diabetes, Hypertension, Thyroid, Vitamins/Supplements</t>
  </si>
  <si>
    <t>راويه محمد علي العلاسي</t>
  </si>
  <si>
    <t>valsartan 80 mg tablet, valsartan 80 mg tablet, valsartan 80 mg tablet</t>
  </si>
  <si>
    <t>رجا عبدالعزيز عائض السلمي</t>
  </si>
  <si>
    <t>atorvastatin, colecalciferol, omeprazole, metFORMIN hydrochloride</t>
  </si>
  <si>
    <t>atorvastatin 10 mg tablet, colecalciferol 50 000 international units tablet, omeprazole 20 mg tablet: enteric coated, metFORMIN hydrochloride 750 mg tablet: modified release, atorvastatin 10 mg tablet, colecalciferol 50 000 international units tablet, omeprazole 20 mg tablet: enteric coated, metFORMIN hydrochloride 750 mg tablet: modified release, atorvastatin 10 mg tablet, colecalciferol 50 000 international units tablet, omeprazole 20 mg tablet: enteric coated, metFORMIN hydrochloride 750 mg tablet: modified release, atorvastatin 10 mg tablet, colecalciferol 50 000 international units tablet, omeprazole 20 mg tablet: enteric coated, metFORMIN hydrochloride 750 mg tablet: modified release, atorvastatin 10 mg tablet, colecalciferol 50 000 international units tablet, omeprazole 20 mg tablet: enteric coated, metFORMIN hydrochloride 750 mg tablet: modified release, colecalciferol 50 000 international units tablet, omeprazole 20 mg tablet: enteric coated, metFORMIN hydrochloride 750 mg tablet: modified release, colecalciferol 50 000 international units tablet, omeprazole 20 mg tablet: enteric coated, metFORMIN hydrochloride 750 mg tablet: modified release, colecalciferol 50 000 international units tablet, omeprazole 20 mg tablet: enteric coated, metFORMIN hydrochloride 750 mg tablet: modified release, colecalciferol 50 000 international units tablet, omeprazole 20 mg tablet: enteric coated, metFORMIN hydrochloride 750 mg tablet: modified release, colecalciferol 50 000 international units tablet, omeprazole 20 mg tablet: enteric coated, metFORMIN hydrochloride 750 mg tablet: modified release, atorvastatin 10 mg tablet, atorvastatin 10 mg tablet, atorvastatin 10 mg tablet, atorvastatin 10 mg tablet, atorvastatin 10 mg tablet, metFORMIN hydrochloride 750 mg tablet: modified release, colecalciferol 50 000 international units tablet, atorvastatin 10 mg tablet, metFORMIN hydrochloride 750 mg tablet: modified release, colecalciferol 50 000 international units tablet, atorvastatin 10 mg tablet, metFORMIN hydrochloride 750 mg tablet: modified release, colecalciferol 50 000 international units tablet, atorvastatin 10 mg tablet, metFORMIN hydrochloride 750 mg tablet: modified release, colecalciferol 50 000 international units tablet, atorvastatin 10 mg tablet, metFORMIN hydrochloride 750 mg tablet: modified release, colecalciferol 50 000 international units tablet, atorvastatin 10 mg tablet,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atorvastatin 10 mg tablet, atorvastatin 10 mg tablet, atorvastatin 10 mg tablet, atorvastatin 10 mg tablet, atorvastatin 10 mg tablet, colecalciferol 50 000 international units tablet, colecalciferol 50 000 international units tablet, colecalciferol 50 000 international units tablet, colecalciferol 50 000 international units tablet, colecalciferol 50 000 international units tablet, metFORMIN hydrochloride 750 mg tablet: modified release, metFORMIN hydrochloride 750 mg tablet: modified release, metFORMIN hydrochloride 750 mg tablet: modified release, metFORMIN hydrochloride 750 mg tablet: modified release, metFORMIN hydrochloride 750 mg tablet: modified release, atorvastatin 10 mg tablet, atorvastatin 10 mg tablet, atorvastatin 10 mg tablet, atorvastatin 10 mg tablet, atorvastatin 10 mg tablet, metFORMIN hydrochloride 750 mg tablet: modified release, metFORMIN hydrochloride 750 mg tablet: modified release, metFORMIN hydrochloride 750 mg tablet: modified release, metFORMIN hydrochloride 750 mg tablet: modified release, metFORMIN hydrochloride 750 mg tablet: modified release, colecalciferol 50 000 international units tablet, colecalciferol 50 000 international units tablet, colecalciferol 50 000 international units tablet, colecalciferol 50 000 international units tablet, colecalciferol 50 000 international units tablet, omeprazole 20 mg tablet: enteric coated, omeprazole 20 mg tablet: enteric coated, omeprazole 20 mg tablet: enteric coated, omeprazole 20 mg tablet: enteric coated, omeprazole 20 mg tablet: enteric coated, atorvastatin 10 mg tablet, atorvastatin 10 mg tablet, atorvastatin 10 mg tablet, atorvastatin 10 mg tablet, atorvastatin 10 mg tablet, omeprazole 20 mg tablet: enteric coated, colecalciferol 50 000 international units tablet, metFORMIN hydrochloride 750 mg tablet: modified release, omeprazole 20 mg tablet: enteric coated, colecalciferol 50 000 international units tablet, metFORMIN hydrochloride 750 mg tablet: modified release, omeprazole 20 mg tablet: enteric coated, colecalciferol 50 000 international units tablet, metFORMIN hydrochloride 750 mg tablet: modified release, omeprazole 20 mg tablet: enteric coated, colecalciferol 50 000 international units tablet, metFORMIN hydrochloride 750 mg tablet: modified release, omeprazole 20 mg tablet: enteric coated, colecalciferol 50 000 international units tablet, metFORMIN hydrochloride 750 mg tablet: modified release, atorvastatin 10 mg tablet, atorvastatin 10 mg tablet, atorvastatin 10 mg tablet, atorvastatin 10 mg tablet, atorvastatin 10 mg tablet, metFORMIN hydrochloride 750 mg tablet: modified release, metFORMIN hydrochloride 750 mg tablet: modified release, metFORMIN hydrochloride 750 mg tablet: modified release, metFORMIN hydrochloride 750 mg tablet: modified release, metFORMIN hydrochloride 750 mg tablet: modified release, colecalciferol 50 000 international units tablet, colecalciferol 50 000 international units tablet, colecalciferol 50 000 international units tablet, colecalciferol 50 000 international units tablet, colecalciferol 50 000 international units tablet, omeprazole 20 mg tablet: enteric coated, omeprazole 20 mg tablet: enteric coated, omeprazole 20 mg tablet: enteric coated, omeprazole 20 mg tablet: enteric coated, omeprazole 20 mg tablet: enteric coated</t>
  </si>
  <si>
    <t>Diabetes, Dyslipidemia, GI/PPI, Vitamins/Supplements</t>
  </si>
  <si>
    <t>فيصل محمد علي عسيري</t>
  </si>
  <si>
    <t>سعود بن عبدالله بن محمد باكلا</t>
  </si>
  <si>
    <t>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t>
  </si>
  <si>
    <t>رقيه احمد عارف محمد ناظر</t>
  </si>
  <si>
    <t>levothyroxine sodium, omeprazole, carbomer, chlorzoxazone, metFORMIN hydrochloride, rosuvastatin, clopidogrel</t>
  </si>
  <si>
    <t>levothyroxine sodium 100 microgram tablet, omeprazole 20 mg tablet: enteric coated, carbomer 0.2% (2 mg/g) eye gel, chlorzoxazone 250 mg + paracetamol 300 mg capsule, levothyroxine sodium 100 microgram tablet, omeprazole 20 mg tablet: enteric coated, carbomer 0.2% (2 mg/g) eye gel, chlorzoxazone 250 mg + paracetamol 300 mg capsule, levothyroxine sodium 100 microgram tablet, omeprazole 20 mg tablet: enteric coated, carbomer 0.2% (2 mg/g) eye gel, chlorzoxazone 250 mg + paracetamol 300 mg capsule, levothyroxine sodium 100 microgram tablet, omeprazole 20 mg tablet: enteric coated, carbomer 0.2% (2 mg/g) eye gel, chlorzoxazone 250 mg + paracetamol 300 mg capsule, levothyroxine sodium 100 microgram tablet, omeprazole 20 mg tablet: enteric coated, carbomer 0.2% (2 mg/g) eye gel, chlorzoxazone 250 mg + paracetamol 300 mg capsule, levothyroxine sodium 100 microgram tablet, omeprazole 20 mg tablet: enteric coated, carbomer 0.2% (2 mg/g) eye gel, chlorzoxazone 250 mg + paracetamol 300 mg capsule, levothyroxine sodium 100 microgram tablet, omeprazole 20 mg tablet: enteric coated, carbomer 0.2% (2 mg/g) eye gel, chlorzoxazone 250 mg + paracetamol 300 mg capsule, metFORMIN hydrochloride 750 mg tablet: modified release, rosuvastatin 20 mg tablet, metFORMIN hydrochloride 750 mg tablet: modified release, rosuvastatin 20 mg tablet, metFORMIN hydrochloride 750 mg tablet: modified release, rosuvastatin 20 mg tablet, metFORMIN hydrochloride 750 mg tablet: modified release, rosuvastatin 20 mg tablet, metFORMIN hydrochloride 750 mg tablet: modified release, rosuvastatin 20 mg tablet, metFORMIN hydrochloride 750 mg tablet: modified release, rosuvastatin 20 mg tablet, metFORMIN hydrochloride 750 mg tablet: modified release, rosuvastatin 20 mg tablet, clopidogrel 75 mg tablet, clopidogrel 75 mg tablet, clopidogrel 75 mg tablet, clopidogrel 75 mg tablet, clopidogrel 75 mg tablet, clopidogrel 75 mg tablet, clopidogrel 75 mg tablet, clopidogrel 75 mg tablet, clopidogrel 75 mg tablet, clopidogrel 75 mg tablet, clopidogrel 75 mg tablet, clopidogrel 75 mg tablet, clopidogrel 75 mg tablet, clopidogrel 75 mg tablet, rosuvastatin 20 mg tablet, carbomer 0.2% (2 mg/g) eye gel, metFORMIN hydrochloride 750 mg tablet: modified release, rosuvastatin 20 mg tablet, carbomer 0.2% (2 mg/g) eye gel, metFORMIN hydrochloride 750 mg tablet: modified release, rosuvastatin 20 mg tablet, carbomer 0.2% (2 mg/g) eye gel, metFORMIN hydrochloride 750 mg tablet: modified release, rosuvastatin 20 mg tablet, carbomer 0.2% (2 mg/g) eye gel, metFORMIN hydrochloride 750 mg tablet: modified release, rosuvastatin 20 mg tablet, carbomer 0.2% (2 mg/g) eye gel, metFORMIN hydrochloride 750 mg tablet: modified release, rosuvastatin 20 mg tablet, carbomer 0.2% (2 mg/g) eye gel, metFORMIN hydrochloride 750 mg tablet: modified release, rosuvastatin 20 mg tablet, carbomer 0.2% (2 mg/g) eye gel, metFORMIN hydrochloride 750 mg tablet: modified release, omeprazole 20 mg tablet: enteric coated, levothyroxine sodium 100 microgram tablet, chlorzoxazone 250 mg + paracetamol 300 mg capsule, omeprazole 20 mg tablet: enteric coated, levothyroxine sodium 100 microgram tablet, chlorzoxazone 250 mg + paracetamol 300 mg capsule, omeprazole 20 mg tablet: enteric coated, levothyroxine sodium 100 microgram tablet, chlorzoxazone 250 mg + paracetamol 300 mg capsule, omeprazole 20 mg tablet: enteric coated, levothyroxine sodium 100 microgram tablet, chlorzoxazone 250 mg + paracetamol 300 mg capsule, omeprazole 20 mg tablet: enteric coated, levothyroxine sodium 100 microgram tablet, chlorzoxazone 250 mg + paracetamol 300 mg capsule, omeprazole 20 mg tablet: enteric coated, levothyroxine sodium 100 microgram tablet, chlorzoxazone 250 mg + paracetamol 300 mg capsule, omeprazole 20 mg tablet: enteric coated, levothyroxine sodium 100 microgram tablet, chlorzoxazone 250 mg + paracetamol 300 mg capsule, clopidogrel 75 mg tablet, chlorzoxazone 250 mg + paracetamol 300 mg capsule, levothyroxine sodium 100 microgram tablet, rosuvastatin 20 mg tablet, clopidogrel 75 mg tablet, chlorzoxazone 250 mg + paracetamol 300 mg capsule, levothyroxine sodium 100 microgram tablet, rosuvastatin 20 mg tablet, clopidogrel 75 mg tablet, chlorzoxazone 250 mg + paracetamol 300 mg capsule, levothyroxine sodium 100 microgram tablet, rosuvastatin 20 mg tablet, clopidogrel 75 mg tablet, chlorzoxazone 250 mg + paracetamol 300 mg capsule, levothyroxine sodium 100 microgram tablet, rosuvastatin 20 mg tablet, clopidogrel 75 mg tablet, chlorzoxazone 250 mg + paracetamol 300 mg capsule, levothyroxine sodium 100 microgram tablet, rosuvastatin 20 mg tablet, clopidogrel 75 mg tablet, chlorzoxazone 250 mg + paracetamol 300 mg capsule, levothyroxine sodium 100 microgram tablet, rosuvastatin 20 mg tablet, clopidogrel 75 mg tablet, chlorzoxazone 250 mg + paracetamol 300 mg capsule, levothyroxine sodium 100 microgram tablet, rosuvastatin 20 mg tablet, metFORMIN hydrochloride 750 mg tablet: modified release, omeprazole 20 mg tablet: enteric coated, carbomer 0.2% (2 mg/g) eye gel, metFORMIN hydrochloride 750 mg tablet: modified release, omeprazole 20 mg tablet: enteric coated, carbomer 0.2% (2 mg/g) eye gel, metFORMIN hydrochloride 750 mg tablet: modified release, omeprazole 20 mg tablet: enteric coated, carbomer 0.2% (2 mg/g) eye gel, metFORMIN hydrochloride 750 mg tablet: modified release, omeprazole 20 mg tablet: enteric coated, carbomer 0.2% (2 mg/g) eye gel, metFORMIN hydrochloride 750 mg tablet: modified release, omeprazole 20 mg tablet: enteric coated, carbomer 0.2% (2 mg/g) eye gel, metFORMIN hydrochloride 750 mg tablet: modified release, omeprazole 20 mg tablet: enteric coated, carbomer 0.2% (2 mg/g) eye gel, metFORMIN hydrochloride 750 mg tablet: modified release, omeprazole 20 mg tablet: enteric coated, carbomer 0.2% (2 mg/g) eye gel,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clopidogrel 75 mg tablet, clopidogrel 75 mg tablet, clopidogrel 75 mg tablet, clopidogrel 75 mg tablet, clopidogrel 75 mg tablet, clopidogrel 75 mg tablet, clopidogrel 75 mg tablet</t>
  </si>
  <si>
    <t>Antiplatelet, Diabetes, Dyslipidemia, GI/PPI, Thyroid</t>
  </si>
  <si>
    <t>عمار سمير رشاد فارسي</t>
  </si>
  <si>
    <t>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t>
  </si>
  <si>
    <t>علي محمد علي شعبي</t>
  </si>
  <si>
    <t>carbomer 0.2% (2 mg/g) eye gel, carbomer 0.2% (2 mg/g) eye gel, carbomer 0.2% (2 mg/g) eye gel, carbomer 0.2% (2 mg/g) eye gel</t>
  </si>
  <si>
    <t>رابعه حسين علي شعبي</t>
  </si>
  <si>
    <t>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t>
  </si>
  <si>
    <t>خديجه صدقه احمد عثمان</t>
  </si>
  <si>
    <t>valsartan, indapamide, metFORMIN hydrochloride, atorvastatin</t>
  </si>
  <si>
    <t>valsartan 80 mg tablet, valsartan 80 mg tablet, valsartan 80 mg tablet, valsartan 80 mg tablet, indapamide 1.5 mg tablet: modified release, indapamide 1.5 mg tablet: modified release, indapamide 1.5 mg tablet: modified release, indapamide 1.5 mg tablet: modified release, metFORMIN hydrochloride 750 mg tablet: modified release, metFORMIN hydrochloride 750 mg tablet: modified release, metFORMIN hydrochloride 750 mg tablet: modified release, metFORMIN hydrochloride 750 mg tablet: modified release, atorvastatin 20 mg tablet, atorvastatin 20 mg tablet, atorvastatin 20 mg tablet, atorvastatin 20 mg tablet, atorvastatin 20 mg tablet, metFORMIN hydrochloride 750 mg tablet: modified release, valsartan 80 mg tablet, indapamide 1.5 mg tablet: modified release, atorvastatin 20 mg tablet, metFORMIN hydrochloride 750 mg tablet: modified release, valsartan 80 mg tablet, indapamide 1.5 mg tablet: modified release, atorvastatin 20 mg tablet, metFORMIN hydrochloride 750 mg tablet: modified release, valsartan 80 mg tablet, indapamide 1.5 mg tablet: modified release, atorvastatin 20 mg tablet, metFORMIN hydrochloride 750 mg tablet: modified release, valsartan 80 mg tablet, indapamide 1.5 mg tablet: modified release, metFORMIN hydrochloride 750 mg tablet: modified release, metFORMIN hydrochloride 750 mg tablet: modified release, metFORMIN hydrochloride 750 mg tablet: modified release, metFORMIN hydrochloride 750 mg tablet: modified release, valsartan 80 mg tablet, atorvastatin 20 mg tablet, valsartan 80 mg tablet, atorvastatin 20 mg tablet, valsartan 80 mg tablet, atorvastatin 20 mg tablet, valsartan 80 mg tablet, atorvastatin 20 mg tablet, indapamide 1.5 mg tablet: modified release, indapamide 1.5 mg tablet: modified release, indapamide 1.5 mg tablet: modified release, indapamide 1.5 mg tablet: modified release, metFORMIN hydrochloride 750 mg tablet: modified release, metFORMIN hydrochloride 750 mg tablet: modified release, metFORMIN hydrochloride 750 mg tablet: modified release, metFORMIN hydrochloride 750 mg tablet: modified release, valsartan 80 mg tablet, valsartan 80 mg tablet, valsartan 80 mg tablet, valsartan 80 mg tablet, atorvastatin 20 mg tablet, atorvastatin 20 mg tablet, atorvastatin 20 mg tablet, atorvastatin 20 mg tablet, indapamide 1.5 mg tablet: modified release, indapamide 1.5 mg tablet: modified release, indapamide 1.5 mg tablet: modified release, indapamide 1.5 mg tablet: modified release, atorvastatin 20 mg tablet, atorvastatin 20 mg tablet, atorvastatin 20 mg tablet, atorvastatin 20 mg tablet, valsartan 80 mg tablet, valsartan 80 mg tablet, valsartan 80 mg tablet, valsartan 80 mg tablet, indapamide 1.5 mg tablet: modified release, metFORMIN hydrochloride 750 mg tablet: modified release, indapamide 1.5 mg tablet: modified release, metFORMIN hydrochloride 750 mg tablet: modified release, indapamide 1.5 mg tablet: modified release, metFORMIN hydrochloride 750 mg tablet: modified release, indapamide 1.5 mg tablet: modified release, metFORMIN hydrochloride 750 mg tablet: modified release</t>
  </si>
  <si>
    <t>احمد بن موسى بن ابراهيم البوشي</t>
  </si>
  <si>
    <t>metFORMIN hydrochloride, acetylsalicylic acid, Lancets (Accu-Check), Glucometer Device (Accu-Chek), Strips (Accu-Check), rosuvastatin, empagliflozin, gliclazide, vitamin B complex (B, B</t>
  </si>
  <si>
    <t>metFORMIN hydrochloride 750 mg tablet: modified release, acetylsalicylic acid 100 mg tablet: enteric coated, metFORMIN hydrochloride 750 mg tablet: modified release, acetylsalicylic acid 100 mg tablet: enteric coated, metFORMIN hydrochloride 750 mg tablet: modified release, acetylsalicylic acid 100 mg tablet: enteric coated, Lancets (Accu-Check) 1 box Lancets [n/a], Glucometer Device (Accu-Chek) 1 device Device [n/a], Lancets (Accu-Check) 1 box Lancets [n/a], Glucometer Device (Accu-Chek) 1 device Device [n/a], Lancets (Accu-Check) 1 box Lancets [n/a], Glucometer Device (Accu-Chek) 1 device Device [n/a], Strips (Accu-Check) 1 box Strip [n/a], Strips (Accu-Check) 1 box Strip [n/a], Strips (Accu-Check) 1 box Strip [n/a], rosuvastatin 10 mg tablet, empagliflozin 10 mg tablet, gliclazide 60 mg tablet: modified release, vitamin B complex (B1,B6,B12) 100,200,0.2 mg Film coated tablets [oral], rosuvastatin 10 mg tablet, empagliflozin 10 mg tablet, gliclazide 60 mg tablet: modified release, vitamin B complex (B1,B6,B12) 100,200,0.2 mg Film coated tablets [oral], rosuvastatin 10 mg tablet, empagliflozin 10 mg tablet, gliclazide 60 mg tablet: modified release, vitamin B complex (B1,B6,B12) 100,200,0.2 mg Film coated tablets [oral], Strips (Accu-Check) 1 box Strip [n/a], Strips (Accu-Check) 1 box Strip [n/a], Strips (Accu-Check) 1 box Strip [n/a], acetylsalicylic acid 100 mg tablet: enteric coated, rosuvastatin 10 mg tablet, acetylsalicylic acid 100 mg tablet: enteric coated, rosuvastatin 10 mg tablet, acetylsalicylic acid 100 mg tablet: enteric coated, rosuvastatin 10 mg tablet, metFORMIN hydrochloride 750 mg tablet: modified release, vitamin B complex (B1,B6,B12) 100,200,0.2 mg Film coated tablets [oral], gliclazide 60 mg tablet: modified release, metFORMIN hydrochloride 750 mg tablet: modified release, vitamin B complex (B1,B6,B12) 100,200,0.2 mg Film coated tablets [oral], gliclazide 60 mg tablet: modified release, metFORMIN hydrochloride 750 mg tablet: modified release, vitamin B complex (B1,B6,B12) 100,200,0.2 mg Film coated tablets [oral], gliclazide 60 mg tablet: modified release, Glucometer Device (Accu-Chek) 1 device Device [n/a], Glucometer Device (Accu-Chek) 1 device Device [n/a], Glucometer Device (Accu-Chek) 1 device Device [n/a], empagliflozin 10 mg tablet, Lancets (Accu-Check) 1 box Lancets [n/a], empagliflozin 10 mg tablet, Lancets (Accu-Check) 1 box Lancets [n/a], empagliflozin 10 mg tablet, Lancets (Accu-Check) 1 box Lancets [n/a], Lancets (Accu-Check) 1 box Lancets [n/a], acetylsalicylic acid 100 mg tablet: enteric coated, Lancets (Accu-Check) 1 box Lancets [n/a], acetylsalicylic acid 100 mg tablet: enteric coated, Lancets (Accu-Check) 1 box Lancets [n/a], acetylsalicylic acid 100 mg tablet: enteric coated, vitamin B complex (B1,B6,B12) 100,200,0.2 mg Film coated tablets [oral], metFORMIN hydrochloride 750 mg tablet: modified release, vitamin B complex (B1,B6,B12) 100,200,0.2 mg Film coated tablets [oral], metFORMIN hydrochloride 750 mg tablet: modified release, vitamin B complex (B1,B6,B12) 100,200,0.2 mg Film coated tablets [oral], metFORMIN hydrochloride 750 mg tablet: modified release, rosuvastatin 10 mg tablet, gliclazide 60 mg tablet: modified release, Strips (Accu-Check) 1 box Strip [n/a], Glucometer Device (Accu-Chek) 1 device Device [n/a], rosuvastatin 10 mg tablet, gliclazide 60 mg tablet: modified release, Strips (Accu-Check) 1 box Strip [n/a], Glucometer Device (Accu-Chek) 1 device Device [n/a], rosuvastatin 10 mg tablet, gliclazide 60 mg tablet: modified release, Strips (Accu-Check) 1 box Strip [n/a], Glucometer Device (Accu-Chek) 1 device Device [n/a], empagliflozin 10 mg tablet, empagliflozin 10 mg tablet, empagliflozin 10 mg tablet</t>
  </si>
  <si>
    <t>عبدالله علي سلمان العلاسي</t>
  </si>
  <si>
    <t>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t>
  </si>
  <si>
    <t>ابراهيم محمد عبدالله الشهري</t>
  </si>
  <si>
    <t>amLODIPine, metFORMIN hydrochloride, perindopril arginine, Strips (Accu-Check), atorvastatin</t>
  </si>
  <si>
    <t>amLODIPine 5 mg tablet, amLODIPine 5 mg tablet, amLODIPine 5 mg tablet, metFORMIN hydrochloride 500 mg tablet, metFORMIN hydrochloride 500 mg tablet, metFORMIN hydrochloride 500 mg tablet, perindopril arginine 5 mg tablet, perindopril arginine 5 mg tablet, perindopril arginine 5 mg tablet, Strips (Accu-Check) 1 box Strip [n/a], Strips (Accu-Check) 1 box Strip [n/a], Strips (Accu-Check) 1 box Strip [n/a], perindopril arginine 5 mg tablet, perindopril arginine 5 mg tablet, perindopril arginine 5 mg tablet, Strips (Accu-Check) 1 box Strip [n/a], metFORMIN hydrochloride 500 mg tablet, Strips (Accu-Check) 1 box Strip [n/a], metFORMIN hydrochloride 500 mg tablet, Strips (Accu-Check) 1 box Strip [n/a], metFORMIN hydrochloride 500 mg tablet, amLODIPine 5 mg tablet, atorvastatin 10 mg tablet, amLODIPine 5 mg tablet, atorvastatin 10 mg tablet, amLODIPine 5 mg tablet, atorvastatin 10 mg tablet, atorvastatin 10 mg tablet, atorvastatin 10 mg tablet, atorvastatin 10 mg tablet, amLODIPine 5 mg tablet, Strips (Accu-Check) 1 box Strip [n/a], perindopril arginine 5 mg tablet, amLODIPine 5 mg tablet, Strips (Accu-Check) 1 box Strip [n/a], perindopril arginine 5 mg tablet, amLODIPine 5 mg tablet, Strips (Accu-Check) 1 box Strip [n/a], perindopril arginine 5 mg tablet, atorvastatin 10 mg tablet, atorvastatin 10 mg tablet, atorvastatin 10 mg tablet, metFORMIN hydrochloride 500 mg tablet, metFORMIN hydrochloride 500 mg tablet, metFORMIN hydrochloride 500 mg tablet, atorvastatin 10 mg tablet, atorvastatin 10 mg tablet, atorvastatin 10 mg tablet, amLODIPine 5 mg tablet, metFORMIN hydrochloride 500 mg tablet, Strips (Accu-Check) 1 box Strip [n/a], amLODIPine 5 mg tablet, metFORMIN hydrochloride 500 mg tablet, Strips (Accu-Check) 1 box Strip [n/a], amLODIPine 5 mg tablet, metFORMIN hydrochloride 500 mg tablet, Strips (Accu-Check) 1 box Strip [n/a], perindopril arginine 5 mg tablet, perindopril arginine 5 mg tablet, perindopril arginine 5 mg tablet</t>
  </si>
  <si>
    <t>عبدالله عياش سعد المحمدي</t>
  </si>
  <si>
    <t>valsartan 80 mg tablet, valsartan 80 mg tablet, valsartan 80 mg tablet, valsartan 80 mg tablet, valsartan 80 mg tablet, amLODIPine 5 mg tablet, atorvastatin 20 mg tablet, amLODIPine 5 mg tablet, atorvastatin 20 mg tablet, amLODIPine 5 mg tablet, atorvastatin 20 mg tablet, amLODIPine 5 mg tablet, atorvastatin 20 mg tablet, amLODIPine 5 mg tablet, atorvastatin 20 mg tablet, amLODIPine 5 mg tablet, valsartan 80 mg tablet, atorvastatin 20 mg tablet, amLODIPine 5 mg tablet, valsartan 80 mg tablet, atorvastatin 20 mg tablet, amLODIPine 5 mg tablet, valsartan 80 mg tablet, atorvastatin 20 mg tablet, amLODIPine 5 mg tablet, valsartan 80 mg tablet, atorvastatin 20 mg tablet, amLODIPine 5 mg tablet, valsartan 80 mg tablet, atorvastatin 20 mg tablet, amLODIPine 5 mg tablet, amLODIPine 5 mg tablet, amLODIPine 5 mg tablet, amLODIPine 5 mg tablet, amLODIPine 5 mg tablet, valsartan 80 mg tablet, atorvastatin 20 mg tablet, valsartan 80 mg tablet, atorvastatin 20 mg tablet, valsartan 80 mg tablet, atorvastatin 20 mg tablet, valsartan 80 mg tablet, atorvastatin 20 mg tablet, valsartan 80 mg tablet, atorvastatin 20 mg tablet, atorvastatin 20 mg tablet, atorvastatin 20 mg tablet, atorvastatin 20 mg tablet, atorvastatin 20 mg tablet, atorvastatin 20 mg tablet, valsartan 80 mg tablet, valsartan 80 mg tablet, valsartan 80 mg tablet, valsartan 80 mg tablet, valsartan 80 mg tablet, amLODIPine 5 mg tablet, amLODIPine 5 mg tablet, amLODIPine 5 mg tablet, amLODIPine 5 mg tablet, amLODIPine 5 mg tablet, valsartan 80 mg tablet, atorvastatin 20 mg tablet, valsartan 80 mg tablet, atorvastatin 20 mg tablet, valsartan 80 mg tablet, atorvastatin 20 mg tablet, valsartan 80 mg tablet, atorvastatin 20 mg tablet, valsartan 80 mg tablet, atorvastatin 20 mg tablet, amLODIPine 5 mg tablet, amLODIPine 5 mg tablet, amLODIPine 5 mg tablet, amLODIPine 5 mg tablet, amLODIPine 5 mg tablet, amLODIPine 5 mg tablet, amLODIPine 5 mg tablet, amLODIPine 5 mg tablet, amLODIPine 5 mg tablet, amLODIPine 5 mg tablet, valsartan 80 mg tablet, atorvastatin 20 mg tablet, valsartan 80 mg tablet, atorvastatin 20 mg tablet, valsartan 80 mg tablet, atorvastatin 20 mg tablet, valsartan 80 mg tablet, atorvastatin 20 mg tablet, valsartan 80 mg tablet, atorvastatin 20 mg tablet</t>
  </si>
  <si>
    <t>حنان هاشم احمد الملاوى</t>
  </si>
  <si>
    <t>diclofenac sodium, celecoxib, cetirizine hydrochloride, chlorzoxazone</t>
  </si>
  <si>
    <t>diclofenac sodium 1% (10 mg/g) gel, diclofenac sodium 1% (10 mg/g) gel, diclofenac sodium 1% (10 mg/g) gel, diclofenac sodium 1% (10 mg/g) gel, celecoxib 200 mg capsule, cetirizine hydrochloride 10 mg tablet, chlorzoxazone 250 mg + paracetamol 300 mg capsule, celecoxib 200 mg capsule, cetirizine hydrochloride 10 mg tablet, chlorzoxazone 250 mg + paracetamol 300 mg capsule, celecoxib 200 mg capsule, cetirizine hydrochloride 10 mg tablet, chlorzoxazone 250 mg + paracetamol 300 mg capsule, celecoxib 200 mg capsule, cetirizine hydrochloride 10 mg tablet, chlorzoxazone 250 mg + paracetamol 300 mg capsule, diclofenac sodium 1% (10 mg/g) gel, diclofenac sodium 1% (10 mg/g) gel, diclofenac sodium 1% (10 mg/g) gel, diclofenac sodium 1% (10 mg/g) gel, chlorzoxazone 250 mg + paracetamol 300 mg capsule, celecoxib 200 mg capsule, chlorzoxazone 250 mg + paracetamol 300 mg capsule, celecoxib 200 mg capsule, chlorzoxazone 250 mg + paracetamol 300 mg capsule, celecoxib 200 mg capsule, chlorzoxazone 250 mg + paracetamol 300 mg capsule, celecoxib 200 mg capsule, cetirizine hydrochloride 10 mg tablet, cetirizine hydrochloride 10 mg tablet, cetirizine hydrochloride 10 mg tablet, cetirizine hydrochloride 10 mg tablet, celecoxib 200 mg capsule, celecoxib 200 mg capsule, celecoxib 200 mg capsule, celecoxib 200 mg capsule, diclofenac sodium 1% (10 mg/g) gel, diclofenac sodium 1% (10 mg/g) gel, diclofenac sodium 1% (10 mg/g) gel, diclofenac sodium 1% (10 mg/g) gel, chlorzoxazone 250 mg + paracetamol 300 mg capsule, cetirizine hydrochloride 10 mg tablet, chlorzoxazone 250 mg + paracetamol 300 mg capsule, cetirizine hydrochloride 10 mg tablet, chlorzoxazone 250 mg + paracetamol 300 mg capsule, cetirizine hydrochloride 10 mg tablet, chlorzoxazone 250 mg + paracetamol 300 mg capsule, cetirizine hydrochloride 10 mg tablet</t>
  </si>
  <si>
    <t>هدى مسلم عبدالكريم الثقفي</t>
  </si>
  <si>
    <t>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t>
  </si>
  <si>
    <t>اميره مبروك علي برادعي</t>
  </si>
  <si>
    <t>levothyroxine sodium</t>
  </si>
  <si>
    <t>levothyroxine sodium 25 microgram tablet, levothyroxine sodium 25 microgram tablet, levothyroxine sodium 25 microgram tablet, levothyroxine sodium 50 microgram tablet, levothyroxine sodium 50 microgram tablet, levothyroxine sodium 50 microgram tablet, levothyroxine sodium 50 microgram tablet, levothyroxine sodium 50 microgram tablet, levothyroxine sodium 50 microgram tablet, levothyroxine sodium 25 microgram tablet, levothyroxine sodium 25 microgram tablet, levothyroxine sodium 25 microgram tablet, levothyroxine sodium 50 microgram tablet, levothyroxine sodium 50 microgram tablet, levothyroxine sodium 50 microgram tablet, levothyroxine sodium 25 microgram tablet, levothyroxine sodium 25 microgram tablet, levothyroxine sodium 25 microgram tablet</t>
  </si>
  <si>
    <t>Thyroid</t>
  </si>
  <si>
    <t>جواهر سعيد مساعد الصبحي</t>
  </si>
  <si>
    <t>vitamin B complex (B, B, valsartan, insulin glargine, rosuvastatin</t>
  </si>
  <si>
    <t>vitamin B complex (B1,B6,B12) 100,200,0.2 mg Film coated tablets [oral], valsartan 80 mg tablet, insulin glargine 300 international units/mL injection, 1.5 mL prefilled pen, vitamin B complex (B1,B6,B12) 100,200,0.2 mg Film coated tablets [oral], valsartan 80 mg tablet, insulin glargine 300 international units/mL injection, 1.5 mL prefilled pen, vitamin B complex (B1,B6,B12) 100,200,0.2 mg Film coated tablets [oral], valsartan 80 mg tablet, insulin glargine 300 international units/mL injection, 1.5 mL prefilled pen, rosuvastatin 10 mg tablet, rosuvastatin 10 mg tablet, rosuvastatin 10 mg tablet, valsartan 80 mg tablet, valsartan 80 mg tablet, valsartan 80 mg tablet, rosuvastatin 10 mg tablet, rosuvastatin 10 mg tablet, rosuvastatin 10 mg tablet, insulin glargine 300 international units/mL injection, 1.5 mL prefilled pen, insulin glargine 300 international units/mL injection, 1.5 mL prefilled pen, insulin glargine 300 international units/mL injection, 1.5 mL prefilled pen, vitamin B complex (B1,B6,B12) 100,200,0.2 mg Film coated tablets [oral], vitamin B complex (B1,B6,B12) 100,200,0.2 mg Film coated tablets [oral], vitamin B complex (B1,B6,B12) 100,200,0.2 mg Film coated tablets [oral]</t>
  </si>
  <si>
    <t>احسان اسماعيل عطار</t>
  </si>
  <si>
    <t>perindopril arginine, Lancets (Accu-Check), calcium carbonate, atorvastatin, vitamin B complex (B, B, SITagliptin, metFORMIN hydrochloride</t>
  </si>
  <si>
    <t>perindopril arginine 5 mg tablet, Lancets (Accu-Check) 1 box Lancets [n/a], calcium carbonate 600 mg - colecalciferol 200 international units Film coated tablets [oral], atorvastatin 10 mg tablet, vitamin B complex (B1,B6,B12) 100,200,0.2 mg Film coated tablets [oral], SITagliptin 100 mg tablet, metFORMIN hydrochloride 500 mg tablet, perindopril arginine 5 mg tablet, Lancets (Accu-Check) 1 box Lancets [n/a], calcium carbonate 600 mg - colecalciferol 200 international units Film coated tablets [oral], atorvastatin 10 mg tablet, vitamin B complex (B1,B6,B12) 100,200,0.2 mg Film coated tablets [oral], SITagliptin 100 mg tablet, metFORMIN hydrochloride 500 mg tablet, perindopril arginine 5 mg tablet, Lancets (Accu-Check) 1 box Lancets [n/a], calcium carbonate 600 mg - colecalciferol 200 international units Film coated tablets [oral], atorvastatin 10 mg tablet, vitamin B complex (B1,B6,B12) 100,200,0.2 mg Film coated tablets [oral], SITagliptin 100 mg tablet, metFORMIN hydrochloride 500 mg tablet, calcium carbonate 600 mg - colecalciferol 200 international units Film coated tablets [oral], Lancets (Accu-Check) 1 box Lancets [n/a], calcium carbonate 600 mg - colecalciferol 200 international units Film coated tablets [oral], Lancets (Accu-Check) 1 box Lancets [n/a], calcium carbonate 600 mg - colecalciferol 200 international units Film coated tablets [oral], Lancets (Accu-Check) 1 box Lancets [n/a], perindopril arginine 5 mg tablet, vitamin B complex (B1,B6,B12) 100,200,0.2 mg Film coated tablets [oral], metFORMIN hydrochloride 500 mg tablet, SITagliptin 100 mg tablet, perindopril arginine 5 mg tablet, vitamin B complex (B1,B6,B12) 100,200,0.2 mg Film coated tablets [oral], metFORMIN hydrochloride 500 mg tablet, SITagliptin 100 mg tablet, perindopril arginine 5 mg tablet, vitamin B complex (B1,B6,B12) 100,200,0.2 mg Film coated tablets [oral], metFORMIN hydrochloride 500 mg tablet, SITagliptin 100 mg tablet, atorvastatin 10 mg tablet, atorvastatin 10 mg tablet, atorvastatin 10 mg tablet, vitamin B complex (B1,B6,B12) 100,200,0.2 mg Film coated tablets [oral], SITagliptin 100 mg tablet, Lancets (Accu-Check) 1 box Lancets [n/a], metFORMIN hydrochloride 500 mg tablet, perindopril arginine 5 mg tablet, vitamin B complex (B1,B6,B12) 100,200,0.2 mg Film coated tablets [oral], SITagliptin 100 mg tablet, Lancets (Accu-Check) 1 box Lancets [n/a], metFORMIN hydrochloride 500 mg tablet, perindopril arginine 5 mg tablet, vitamin B complex (B1,B6,B12) 100,200,0.2 mg Film coated tablets [oral], SITagliptin 100 mg tablet, Lancets (Accu-Check) 1 box Lancets [n/a], metFORMIN hydrochloride 500 mg tablet, perindopril arginine 5 mg tablet, calcium carbonate 600 mg - colecalciferol 200 international units Film coated tablets [oral], atorvastatin 10 mg tablet, calcium carbonate 600 mg - colecalciferol 200 international units Film coated tablets [oral], atorvastatin 10 mg tablet, calcium carbonate 600 mg - colecalciferol 200 international units Film coated tablets [oral], atorvastatin 10 mg tablet, vitamin B complex (B1,B6,B12) 100,200,0.2 mg Film coated tablets [oral], SITagliptin 100 mg tablet, vitamin B complex (B1,B6,B12) 100,200,0.2 mg Film coated tablets [oral], SITagliptin 100 mg tablet, vitamin B complex (B1,B6,B12) 100,200,0.2 mg Film coated tablets [oral], SITagliptin 100 mg tablet, perindopril arginine 5 mg tablet, perindopril arginine 5 mg tablet, perindopril arginine 5 mg tablet, atorvastatin 10 mg tablet, atorvastatin 10 mg tablet, atorvastatin 10 mg tablet, calcium carbonate 600 mg - colecalciferol 200 international units Film coated tablets [oral], calcium carbonate 600 mg - colecalciferol 200 international units Film coated tablets [oral], calcium carbonate 600 mg - colecalciferol 200 international units Film coated tablets [oral], Lancets (Accu-Check) 1 box Lancets [n/a], metFORMIN hydrochloride 500 mg tablet, Lancets (Accu-Check) 1 box Lancets [n/a], metFORMIN hydrochloride 500 mg tablet, Lancets (Accu-Check) 1 box Lancets [n/a], metFORMIN hydrochloride 500 mg tablet, SITagliptin 100 mg tablet, calcium carbonate 600 mg - colecalciferol 200 international units Film coated tablets [oral], SITagliptin 100 mg tablet, calcium carbonate 600 mg - colecalciferol 200 international units Film coated tablets [oral], SITagliptin 100 mg tablet, calcium carbonate 600 mg - colecalciferol 200 international units Film coated tablets [oral], Lancets (Accu-Check) 1 box Lancets [n/a], Lancets (Accu-Check) 1 box Lancets [n/a], Lancets (Accu-Check) 1 box Lancets [n/a], vitamin B complex (B1,B6,B12) 100,200,0.2 mg Film coated tablets [oral], vitamin B complex (B1,B6,B12) 100,200,0.2 mg Film coated tablets [oral], vitamin B complex (B1,B6,B12) 100,200,0.2 mg Film coated tablets [oral], metFORMIN hydrochloride 500 mg tablet, metFORMIN hydrochloride 500 mg tablet, metFORMIN hydrochloride 500 mg tablet, Lancets (Accu-Check) 1 box Lancets [n/a], SITagliptin 100 mg tablet, Lancets (Accu-Check) 1 box Lancets [n/a], SITagliptin 100 mg tablet, Lancets (Accu-Check) 1 box Lancets [n/a], SITagliptin 100 mg tablet, perindopril arginine 5 mg tablet, perindopril arginine 5 mg tablet, perindopril arginine 5 mg tablet, vitamin B complex (B1,B6,B12) 100,200,0.2 mg Film coated tablets [oral], vitamin B complex (B1,B6,B12) 100,200,0.2 mg Film coated tablets [oral], vitamin B complex (B1,B6,B12) 100,200,0.2 mg Film coated tablets [oral], calcium carbonate 600 mg - colecalciferol 200 international units Film coated tablets [oral], atorvastatin 10 mg tablet, calcium carbonate 600 mg - colecalciferol 200 international units Film coated tablets [oral], atorvastatin 10 mg tablet, calcium carbonate 600 mg - colecalciferol 200 international units Film coated tablets [oral], atorvastatin 10 mg tablet, metFORMIN hydrochloride 500 mg tablet, metFORMIN hydrochloride 500 mg tablet, metFORMIN hydrochloride 500 mg tablet, SITagliptin 100 mg tablet, calcium carbonate 600 mg - colecalciferol 200 international units Film coated tablets [oral], SITagliptin 100 mg tablet, calcium carbonate 600 mg - colecalciferol 200 international units Film coated tablets [oral], SITagliptin 100 mg tablet, calcium carbonate 600 mg - colecalciferol 200 international units Film coated tablets [oral], Lancets (Accu-Check) 1 box Lancets [n/a], atorvastatin 10 mg tablet, perindopril arginine 5 mg tablet, Lancets (Accu-Check) 1 box Lancets [n/a], atorvastatin 10 mg tablet, perindopril arginine 5 mg tablet, Lancets (Accu-Check) 1 box Lancets [n/a], atorvastatin 10 mg tablet, perindopril arginine 5 mg tablet, vitamin B complex (B1,B6,B12) 100,200,0.2 mg Film coated tablets [oral], vitamin B complex (B1,B6,B12) 100,200,0.2 mg Film coated tablets [oral], vitamin B complex (B1,B6,B12) 100,200,0.2 mg Film coated tablets [oral]</t>
  </si>
  <si>
    <t>حسين عبدالعزيز حسين عشري</t>
  </si>
  <si>
    <t>valsartan, cetirizine hydrochloride, omeprazole, paracetamol, amLODIPine</t>
  </si>
  <si>
    <t>valsartan 80 mg tablet, valsartan 80 mg tablet, valsartan 80 mg tablet, valsartan 80 mg tablet, valsartan 80 mg tablet, valsartan 80 mg tablet, valsartan 80 mg tablet, valsartan 80 mg tablet, valsartan 80 mg tablet, valsartan 80 mg tablet, cetirizine hydrochloride 10 mg tablet, cetirizine hydrochloride 10 mg tablet, cetirizine hydrochloride 10 mg tablet, cetirizine hydrochloride 10 mg tablet, cetirizine hydrochloride 10 mg tablet, omeprazole 20 mg tablet: enteric coated, paracetamol 500 mg tablet, omeprazole 20 mg tablet: enteric coated, paracetamol 500 mg tablet, omeprazole 20 mg tablet: enteric coated, paracetamol 500 mg tablet, omeprazole 20 mg tablet: enteric coated, paracetamol 500 mg tablet, omeprazole 20 mg tablet: enteric coated, paracetamol 500 mg tablet, amLODIPine 5 mg tablet, paracetamol 500 mg tablet, cetirizine hydrochloride 10 mg tablet, amLODIPine 5 mg tablet, omeprazole 20 mg tablet: enteric coated, amLODIPine 5 mg tablet, paracetamol 500 mg tablet, cetirizine hydrochloride 10 mg tablet, amLODIPine 5 mg tablet, omeprazole 20 mg tablet: enteric coated, amLODIPine 5 mg tablet, paracetamol 500 mg tablet, cetirizine hydrochloride 10 mg tablet, amLODIPine 5 mg tablet, omeprazole 20 mg tablet: enteric coated, amLODIPine 5 mg tablet, paracetamol 500 mg tablet, cetirizine hydrochloride 10 mg tablet, amLODIPine 5 mg tablet, omeprazole 20 mg tablet: enteric coated, amLODIPine 5 mg tablet, paracetamol 500 mg tablet, cetirizine hydrochloride 10 mg tablet, amLODIPine 5 mg tablet, omeprazole 20 mg tablet: enteric coated, paracetamol 500 mg tablet, valsartan 80 mg tablet, omeprazole 20 mg tablet: enteric coated, paracetamol 500 mg tablet, valsartan 80 mg tablet, omeprazole 20 mg tablet: enteric coated, paracetamol 500 mg tablet, valsartan 80 mg tablet, omeprazole 20 mg tablet: enteric coated, paracetamol 500 mg tablet, valsartan 80 mg tablet, omeprazole 20 mg tablet: enteric coated, paracetamol 500 mg tablet, valsartan 80 mg tablet, omeprazole 20 mg tablet: enteric coated, cetirizine hydrochloride 10 mg tablet, amLODIPine 5 mg tablet, cetirizine hydrochloride 10 mg tablet, amLODIPine 5 mg tablet, cetirizine hydrochloride 10 mg tablet, amLODIPine 5 mg tablet, cetirizine hydrochloride 10 mg tablet, amLODIPine 5 mg tablet, cetirizine hydrochloride 10 mg tablet, amLODIPine 5 mg tablet, paracetamol 500 mg tablet, amLODIPine 5 mg tablet, paracetamol 500 mg tablet, amLODIPine 5 mg tablet, paracetamol 500 mg tablet, amLODIPine 5 mg tablet, paracetamol 500 mg tablet, amLODIPine 5 mg tablet, paracetamol 500 mg tablet, amLODIPine 5 mg tablet, cetirizine hydrochloride 10 mg tablet, valsartan 80 mg tablet, cetirizine hydrochloride 10 mg tablet, valsartan 80 mg tablet, cetirizine hydrochloride 10 mg tablet, valsartan 80 mg tablet, cetirizine hydrochloride 10 mg tablet, valsartan 80 mg tablet, cetirizine hydrochloride 10 mg tablet, valsartan 80 mg tablet, omeprazole 20 mg tablet: enteric coated, omeprazole 20 mg tablet: enteric coated, omeprazole 20 mg tablet: enteric coated, omeprazole 20 mg tablet: enteric coated, omeprazole 20 mg tablet: enteric coated, paracetamol 500 mg tablet, valsartan 80 mg tablet, cetirizine hydrochloride 10 mg tablet, paracetamol 500 mg tablet, valsartan 80 mg tablet, cetirizine hydrochloride 10 mg tablet, paracetamol 500 mg tablet, valsartan 80 mg tablet, cetirizine hydrochloride 10 mg tablet, paracetamol 500 mg tablet, valsartan 80 mg tablet, cetirizine hydrochloride 10 mg tablet, paracetamol 500 mg tablet, valsartan 80 mg tablet, cetirizine hydrochloride 10 mg tablet, cetirizine hydrochloride 10 mg tablet, amLODIPine 5 mg tablet, cetirizine hydrochloride 10 mg tablet, amLODIPine 5 mg tablet, cetirizine hydrochloride 10 mg tablet, amLODIPine 5 mg tablet, cetirizine hydrochloride 10 mg tablet, amLODIPine 5 mg tablet, cetirizine hydrochloride 10 mg tablet, amLODIPine 5 mg tablet, omeprazole 20 mg tablet: enteric coated, paracetamol 500 mg tablet, omeprazole 20 mg tablet: enteric coated, omeprazole 20 mg tablet: enteric coated, paracetamol 500 mg tablet, omeprazole 20 mg tablet: enteric coated, omeprazole 20 mg tablet: enteric coated, paracetamol 500 mg tablet, omeprazole 20 mg tablet: enteric coated, omeprazole 20 mg tablet: enteric coated, paracetamol 500 mg tablet, omeprazole 20 mg tablet: enteric coated, omeprazole 20 mg tablet: enteric coated, paracetamol 500 mg tablet, omeprazole 20 mg tablet: enteric coated, amLODIPine 5 mg tablet, valsartan 80 mg tablet, amLODIPine 5 mg tablet, valsartan 80 mg tablet, amLODIPine 5 mg tablet, valsartan 80 mg tablet, amLODIPine 5 mg tablet, valsartan 80 mg tablet, amLODIPine 5 mg tablet, valsartan 80 mg tablet</t>
  </si>
  <si>
    <t>خلود عبدالله سليمان الحلواني</t>
  </si>
  <si>
    <t>budesonide</t>
  </si>
  <si>
    <t>budesonide 64 microgram/actuation nasal spray, budesonide 64 microgram/actuation nasal spray, budesonide 64 microgram/actuation nasal spray, budesonide 64 microgram/actuation nasal spray, budesonide 64 microgram/actuation nasal spray, budesonide 64 microgram/actuation nasal spray, budesonide 64 microgram/actuation nasal spray, budesonide 64 microgram/actuation nasal spray, budesonide 64 microgram/actuation nasal spray, budesonide 64 microgram/actuation nasal spray, budesonide 64 microgram/actuation nasal spray, budesonide 64 microgram/actuation nasal spray, budesonide 64 microgram/actuation nasal spray, budesonide 64 microgram/actuation nasal spray, budesonide 64 microgram/actuation nasal spray, budesonide 64 microgram/actuation nasal spray</t>
  </si>
  <si>
    <t>تهاني عبدالله سليمان الحلواني</t>
  </si>
  <si>
    <t>sennosides, fenofibrate, atorvastatin, amLODIPine, valsartan</t>
  </si>
  <si>
    <t>sennosides 12 mg tablet, fenofibrate 145 mg tablet, sennosides 12 mg tablet, fenofibrate 145 mg tablet, sennosides 12 mg tablet, fenofibrate 145 mg tablet, sennosides 12 mg tablet, fenofibrate 145 mg tablet, sennosides 12 mg tablet, atorvastatin 20 mg tablet, sennosides 12 mg tablet, atorvastatin 20 mg tablet, sennosides 12 mg tablet, atorvastatin 20 mg tablet, sennosides 12 mg tablet, atorvastatin 20 mg tablet, amLODIPine 5 mg tablet, amLODIPine 5 mg tablet, amLODIPine 5 mg tablet, amLODIPine 5 mg tablet, valsartan 80 mg tablet, valsartan 80 mg tablet, valsartan 80 mg tablet, valsartan 80 mg tablet, valsartan 80 mg tablet, amLODIPine 5 mg tablet, atorvastatin 20 mg tablet, fenofibrate 145 mg tablet, sennosides 12 mg tablet, valsartan 80 mg tablet, amLODIPine 5 mg tablet, atorvastatin 20 mg tablet, fenofibrate 145 mg tablet, sennosides 12 mg tablet, valsartan 80 mg tablet, amLODIPine 5 mg tablet, atorvastatin 20 mg tablet, fenofibrate 145 mg tablet, sennosides 12 mg tablet, valsartan 80 mg tablet, amLODIPine 5 mg tablet, atorvastatin 20 mg tablet, fenofibrate 145 mg tablet, sennosides 12 mg tablet, amLODIPine 5 mg tablet, amLODIPine 5 mg tablet, amLODIPine 5 mg tablet, amLODIPine 5 mg tablet, atorvastatin 20 mg tablet, atorvastatin 20 mg tablet, atorvastatin 20 mg tablet, atorvastatin 20 mg tablet, valsartan 80 mg tablet, valsartan 80 mg tablet, valsartan 80 mg tablet, valsartan 80 mg tablet, valsartan 80 mg tablet, valsartan 80 mg tablet, valsartan 80 mg tablet, valsartan 80 mg tablet, fenofibrate 145 mg tablet, amLODIPine 5 mg tablet, atorvastatin 20 mg tablet, fenofibrate 145 mg tablet, amLODIPine 5 mg tablet, atorvastatin 20 mg tablet, fenofibrate 145 mg tablet, amLODIPine 5 mg tablet, atorvastatin 20 mg tablet, fenofibrate 145 mg tablet, amLODIPine 5 mg tablet, atorvastatin 20 mg tablet, sennosides 12 mg tablet, sennosides 12 mg tablet, sennosides 12 mg tablet, sennosides 12 mg tablet, atorvastatin 20 mg tablet, atorvastatin 20 mg tablet, atorvastatin 20 mg tablet, atorvastatin 20 mg tablet, valsartan 80 mg tablet, valsartan 80 mg tablet, valsartan 80 mg tablet, valsartan 80 mg tablet</t>
  </si>
  <si>
    <t>عزيزه محسن علي البركاتي</t>
  </si>
  <si>
    <t>insulin aspart, metFORMIN hydrochloride, valsartan, chlorzoxazone, colecalciferol, atorvastatin, calcium carbonate, vitamin B complex (B, B, paracetamol</t>
  </si>
  <si>
    <t>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metFORMIN hydrochloride 500 mg tablet, valsartan 80 mg tablet, metFORMIN hydrochloride 500 mg tablet, valsartan 80 mg tablet, metFORMIN hydrochloride 500 mg tablet, valsartan 80 mg tablet, metFORMIN hydrochloride 500 mg tablet, valsartan 80 mg tablet, metFORMIN hydrochloride 500 mg tablet, valsartan 80 mg tablet, metFORMIN hydrochloride 500 mg tablet, valsartan 80 mg tablet, metFORMIN hydrochloride 500 mg tablet, valsartan 80 mg tablet, chlorzoxazone 250 mg + paracetamol 300 mg capsule, colecalciferol 50 000 international units tablet, atorvastatin 20 mg tablet, chlorzoxazone 250 mg + paracetamol 300 mg capsule, colecalciferol 50 000 international units tablet, atorvastatin 20 mg tablet, chlorzoxazone 250 mg + paracetamol 300 mg capsule, colecalciferol 50 000 international units tablet, atorvastatin 20 mg tablet, chlorzoxazone 250 mg + paracetamol 300 mg capsule, colecalciferol 50 000 international units tablet, atorvastatin 20 mg tablet, chlorzoxazone 250 mg + paracetamol 300 mg capsule, colecalciferol 50 000 international units tablet, atorvastatin 20 mg tablet, chlorzoxazone 250 mg + paracetamol 300 mg capsule, colecalciferol 50 000 international units tablet, atorvastatin 20 mg tablet, chlorzoxazone 250 mg + paracetamol 300 mg capsule, colecalciferol 50 000 international units tablet, atorvastatin 20 mg tablet, calcium carbonate 600 mg - colecalciferol 200 international units Film coated tablets [oral], vitamin B complex (B1,B6,B12) 100,200,0.2 mg Film coated tablets [oral], calcium carbonate 600 mg - colecalciferol 200 international units Film coated tablets [oral], vitamin B complex (B1,B6,B12) 100,200,0.2 mg Film coated tablets [oral], calcium carbonate 600 mg - colecalciferol 200 international units Film coated tablets [oral], vitamin B complex (B1,B6,B12) 100,200,0.2 mg Film coated tablets [oral], calcium carbonate 600 mg - colecalciferol 200 international units Film coated tablets [oral], vitamin B complex (B1,B6,B12) 100,200,0.2 mg Film coated tablets [oral], calcium carbonate 600 mg - colecalciferol 200 international units Film coated tablets [oral], vitamin B complex (B1,B6,B12) 100,200,0.2 mg Film coated tablets [oral], calcium carbonate 600 mg - colecalciferol 200 international units Film coated tablets [oral], vitamin B complex (B1,B6,B12) 100,200,0.2 mg Film coated tablets [oral], calcium carbonate 600 mg - colecalciferol 200 international units Film coated tablets [oral], vitamin B complex (B1,B6,B12) 100,200,0.2 mg Film coated tablets [oral], paracetamol 500 mg tablet, paracetamol 500 mg tablet, paracetamol 500 mg tablet, paracetamol 500 mg tablet, paracetamol 500 mg tablet, paracetamol 500 mg tablet, paracetamol 500 mg tablet,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colecalciferol 50 000 international units tablet, vitamin B complex (B1,B6,B12) 100,200,0.2 mg Film coated tablets [oral], atorvastatin 20 mg tablet, calcium carbonate 600 mg - colecalciferol 200 international units Film coated tablets [oral], colecalciferol 50 000 international units tablet, vitamin B complex (B1,B6,B12) 100,200,0.2 mg Film coated tablets [oral], atorvastatin 20 mg tablet, calcium carbonate 600 mg - colecalciferol 200 international units Film coated tablets [oral], colecalciferol 50 000 international units tablet, vitamin B complex (B1,B6,B12) 100,200,0.2 mg Film coated tablets [oral], atorvastatin 20 mg tablet, calcium carbonate 600 mg - colecalciferol 200 international units Film coated tablets [oral], colecalciferol 50 000 international units tablet, vitamin B complex (B1,B6,B12) 100,200,0.2 mg Film coated tablets [oral], atorvastatin 20 mg tablet, calcium carbonate 600 mg - colecalciferol 200 international units Film coated tablets [oral], colecalciferol 50 000 international units tablet, vitamin B complex (B1,B6,B12) 100,200,0.2 mg Film coated tablets [oral], atorvastatin 20 mg tablet, calcium carbonate 600 mg - colecalciferol 200 international units Film coated tablets [oral], colecalciferol 50 000 international units tablet, vitamin B complex (B1,B6,B12) 100,200,0.2 mg Film coated tablets [oral], atorvastatin 20 mg tablet, calcium carbonate 600 mg - colecalciferol 200 international units Film coated tablets [oral], colecalciferol 50 000 international units tablet, vitamin B complex (B1,B6,B12) 100,200,0.2 mg Film coated tablets [oral], atorvastatin 20 mg tablet, calcium carbonate 600 mg - colecalciferol 200 international units Film coated tablets [oral], insulin aspart 100 international units/mL injection, 3 mL prefilled pen, chlorzoxazone 250 mg + paracetamol 300 mg capsule, insulin aspart 100 international units/mL injection, 3 mL prefilled pen, chlorzoxazone 250 mg + paracetamol 300 mg capsule, insulin aspart 100 international units/mL injection, 3 mL prefilled pen, chlorzoxazone 250 mg + paracetamol 300 mg capsule, insulin aspart 100 international units/mL injection, 3 mL prefilled pen, chlorzoxazone 250 mg + paracetamol 300 mg capsule, insulin aspart 100 international units/mL injection, 3 mL prefilled pen, chlorzoxazone 250 mg + paracetamol 300 mg capsule, insulin aspart 100 international units/mL injection, 3 mL prefilled pen, chlorzoxazone 250 mg + paracetamol 300 mg capsule, insulin aspart 100 international units/mL injection, 3 mL prefilled pen, chlorzoxazone 250 mg + paracetamol 300 mg capsule, valsartan 80 mg tablet, paracetamol 500 mg tablet, valsartan 80 mg tablet, paracetamol 500 mg tablet, valsartan 80 mg tablet, paracetamol 500 mg tablet, valsartan 80 mg tablet, paracetamol 500 mg tablet, valsartan 80 mg tablet, paracetamol 500 mg tablet, valsartan 80 mg tablet, paracetamol 500 mg tablet, valsartan 80 mg tablet, paracetamol 500 mg tablet, insulin glargine 300 international units/mL injection, 1.5 mL prefilled pen, metFORMIN hydrochloride 500 mg tablet, insulin glargine 300 international units/mL injection, 1.5 mL prefilled pen, metFORMIN hydrochloride 500 mg tablet, insulin glargine 300 international units/mL injection, 1.5 mL prefilled pen, metFORMIN hydrochloride 500 mg tablet, insulin glargine 300 international units/mL injection, 1.5 mL prefilled pen, metFORMIN hydrochloride 500 mg tablet, insulin glargine 300 international units/mL injection, 1.5 mL prefilled pen, metFORMIN hydrochloride 500 mg tablet, insulin glargine 300 international units/mL injection, 1.5 mL prefilled pen, metFORMIN hydrochloride 500 mg tablet, insulin glargine 300 international units/mL injection, 1.5 mL prefilled pen, metFORMIN hydrochloride 500 mg tablet, paracetamol 500 mg tablet, vitamin B complex (B1,B6,B12) 100,200,0.2 mg Film coated tablets [oral], paracetamol 500 mg tablet, vitamin B complex (B1,B6,B12) 100,200,0.2 mg Film coated tablets [oral], paracetamol 500 mg tablet, vitamin B complex (B1,B6,B12) 100,200,0.2 mg Film coated tablets [oral], paracetamol 500 mg tablet, vitamin B complex (B1,B6,B12) 100,200,0.2 mg Film coated tablets [oral], paracetamol 500 mg tablet, vitamin B complex (B1,B6,B12) 100,200,0.2 mg Film coated tablets [oral], paracetamol 500 mg tablet, vitamin B complex (B1,B6,B12) 100,200,0.2 mg Film coated tablets [oral], paracetamol 500 mg tablet, vitamin B complex (B1,B6,B12) 100,200,0.2 mg Film coated tablets [oral], insulin aspart 100 international units/mL injection, 3 mL prefilled pen, insulin glargine 300 international units/mL injection, 1.5 mL prefilled pen, colecalciferol 50 000 international units tablet, metFORMIN hydrochloride 500 mg tablet, chlorzoxazone 250 mg + paracetamol 300 mg capsule, insulin aspart 100 international units/mL injection, 3 mL prefilled pen, insulin glargine 300 international units/mL injection, 1.5 mL prefilled pen, colecalciferol 50 000 international units tablet, metFORMIN hydrochloride 500 mg tablet, chlorzoxazone 250 mg + paracetamol 300 mg capsule, insulin aspart 100 international units/mL injection, 3 mL prefilled pen, insulin glargine 300 international units/mL injection, 1.5 mL prefilled pen, colecalciferol 50 000 international units tablet, metFORMIN hydrochloride 500 mg tablet, chlorzoxazone 250 mg + paracetamol 300 mg capsule, insulin aspart 100 international units/mL injection, 3 mL prefilled pen, insulin glargine 300 international units/mL injection, 1.5 mL prefilled pen, colecalciferol 50 000 international units tablet, metFORMIN hydrochloride 500 mg tablet, chlorzoxazone 250 mg + paracetamol 300 mg capsule, insulin aspart 100 international units/mL injection, 3 mL prefilled pen, insulin glargine 300 international units/mL injection, 1.5 mL prefilled pen, colecalciferol 50 000 international units tablet, metFORMIN hydrochloride 500 mg tablet, chlorzoxazone 250 mg + paracetamol 300 mg capsule, insulin aspart 100 international units/mL injection, 3 mL prefilled pen, insulin glargine 300 international units/mL injection, 1.5 mL prefilled pen, colecalciferol 50 000 international units tablet, metFORMIN hydrochloride 500 mg tablet, chlorzoxazone 250 mg + paracetamol 300 mg capsule, insulin aspart 100 international units/mL injection, 3 mL prefilled pen, insulin glargine 300 international units/mL injection, 1.5 mL prefilled pen, colecalciferol 50 000 international units tablet, metFORMIN hydrochloride 500 mg tablet, chlorzoxazone 250 mg + paracetamol 300 mg capsule, atorvastatin 20 mg tablet, valsartan 80 mg tablet, atorvastatin 20 mg tablet, valsartan 80 mg tablet, atorvastatin 20 mg tablet, valsartan 80 mg tablet, atorvastatin 20 mg tablet, valsartan 80 mg tablet, atorvastatin 20 mg tablet, valsartan 80 mg tablet, atorvastatin 20 mg tablet, valsartan 80 mg tablet, atorvastatin 20 mg tablet, valsartan 80 mg tablet,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insulin glargine 300 international units/mL injection, 1.5 mL prefilled pen, vitamin B complex (B1,B6,B12) 100,200,0.2 mg Film coated tablets [oral], calcium carbonate 600 mg - colecalciferol 200 international units Film coated tablets [oral], insulin glargine 300 international units/mL injection, 1.5 mL prefilled pen, vitamin B complex (B1,B6,B12) 100,200,0.2 mg Film coated tablets [oral], calcium carbonate 600 mg - colecalciferol 200 international units Film coated tablets [oral], insulin glargine 300 international units/mL injection, 1.5 mL prefilled pen, vitamin B complex (B1,B6,B12) 100,200,0.2 mg Film coated tablets [oral], calcium carbonate 600 mg - colecalciferol 200 international units Film coated tablets [oral], insulin glargine 300 international units/mL injection, 1.5 mL prefilled pen, vitamin B complex (B1,B6,B12) 100,200,0.2 mg Film coated tablets [oral], calcium carbonate 600 mg - colecalciferol 200 international units Film coated tablets [oral], insulin glargine 300 international units/mL injection, 1.5 mL prefilled pen, vitamin B complex (B1,B6,B12) 100,200,0.2 mg Film coated tablets [oral], calcium carbonate 600 mg - colecalciferol 200 international units Film coated tablets [oral], insulin glargine 300 international units/mL injection, 1.5 mL prefilled pen, vitamin B complex (B1,B6,B12) 100,200,0.2 mg Film coated tablets [oral], calcium carbonate 600 mg - colecalciferol 200 international units Film coated tablets [oral], insulin glargine 300 international units/mL injection, 1.5 mL prefilled pen, vitamin B complex (B1,B6,B12) 100,200,0.2 mg Film coated tablets [oral], paracetamol 500 mg tablet, paracetamol 500 mg tablet, paracetamol 500 mg tablet, paracetamol 500 mg tablet, paracetamol 500 mg tablet, paracetamol 500 mg tablet, paracetamol 500 mg tablet, atorvastatin 20 mg tablet, insulin aspart 100 international units/mL injection, 3 mL prefilled pen, valsartan 80 mg tablet, atorvastatin 20 mg tablet, insulin aspart 100 international units/mL injection, 3 mL prefilled pen, valsartan 80 mg tablet, atorvastatin 20 mg tablet, insulin aspart 100 international units/mL injection, 3 mL prefilled pen, valsartan 80 mg tablet, atorvastatin 20 mg tablet, insulin aspart 100 international units/mL injection, 3 mL prefilled pen, valsartan 80 mg tablet, atorvastatin 20 mg tablet, insulin aspart 100 international units/mL injection, 3 mL prefilled pen, valsartan 80 mg tablet, atorvastatin 20 mg tablet, insulin aspart 100 international units/mL injection, 3 mL prefilled pen, valsartan 80 mg tablet, atorvastatin 20 mg tablet, insulin aspart 100 international units/mL injection, 3 mL prefilled pen, valsartan 80 mg tablet, metFORMIN hydrochloride 500 mg tablet, colecalciferol 50 000 international units tablet, metFORMIN hydrochloride 500 mg tablet, colecalciferol 50 000 international units tablet, metFORMIN hydrochloride 500 mg tablet, colecalciferol 50 000 international units tablet, metFORMIN hydrochloride 500 mg tablet, colecalciferol 50 000 international units tablet, metFORMIN hydrochloride 500 mg tablet, colecalciferol 50 000 international units tablet, metFORMIN hydrochloride 500 mg tablet, colecalciferol 50 000 international units tablet, metFORMIN hydrochloride 500 mg tablet, colecalciferol 50 000 international units tablet, chlorzoxazone 250 mg + paracetamol 300 mg capsule, chlorzoxazone 250 mg + paracetamol 300 mg capsule, chlorzoxazone 250 mg + paracetamol 300 mg capsule, chlorzoxazone 250 mg + paracetamol 300 mg capsule, chlorzoxazone 250 mg + paracetamol 300 mg capsule, chlorzoxazone 250 mg + paracetamol 300 mg capsule, chlorzoxazone 250 mg + paracetamol 300 mg capsule, insulin aspart 100 international units/mL injection, 3 mL prefilled pen, valsartan 80 mg tablet, insulin aspart 100 international units/mL injection, 3 mL prefilled pen, valsartan 80 mg tablet, insulin aspart 100 international units/mL injection, 3 mL prefilled pen, valsartan 80 mg tablet, insulin aspart 100 international units/mL injection, 3 mL prefilled pen, valsartan 80 mg tablet, insulin aspart 100 international units/mL injection, 3 mL prefilled pen, valsartan 80 mg tablet, insulin aspart 100 international units/mL injection, 3 mL prefilled pen, valsartan 80 mg tablet, insulin aspart 100 international units/mL injection, 3 mL prefilled pen, valsartan 80 mg tablet, metFORMIN hydrochloride 500 mg tablet, colecalciferol 50 000 international units tablet, atorvastatin 20 mg tablet, metFORMIN hydrochloride 500 mg tablet, colecalciferol 50 000 international units tablet, atorvastatin 20 mg tablet, metFORMIN hydrochloride 500 mg tablet, colecalciferol 50 000 international units tablet, atorvastatin 20 mg tablet, metFORMIN hydrochloride 500 mg tablet, colecalciferol 50 000 international units tablet, atorvastatin 20 mg tablet, metFORMIN hydrochloride 500 mg tablet, colecalciferol 50 000 international units tablet, atorvastatin 20 mg tablet, metFORMIN hydrochloride 500 mg tablet, colecalciferol 50 000 international units tablet, atorvastatin 20 mg tablet, metFORMIN hydrochloride 500 mg tablet, colecalciferol 50 000 international units tablet, atorvastatin 20 mg tablet, insulin glargine 300 international units/mL injection, 1.5 mL prefilled pen, paracetamol 500 mg tablet, insulin glargine 300 international units/mL injection, 1.5 mL prefilled pen, paracetamol 500 mg tablet, insulin glargine 300 international units/mL injection, 1.5 mL prefilled pen, paracetamol 500 mg tablet, insulin glargine 300 international units/mL injection, 1.5 mL prefilled pen, paracetamol 500 mg tablet, insulin glargine 300 international units/mL injection, 1.5 mL prefilled pen, paracetamol 500 mg tablet, insulin glargine 300 international units/mL injection, 1.5 mL prefilled pen, paracetamol 500 mg tablet, insulin glargine 300 international units/mL injection, 1.5 mL prefilled pen, paracetamol 500 mg tablet, vitamin B complex (B1,B6,B12) 100,200,0.2 mg Film coated tablets [oral], chlorzoxazone 250 mg + paracetamol 300 mg capsule, vitamin B complex (B1,B6,B12) 100,200,0.2 mg Film coated tablets [oral], chlorzoxazone 250 mg + paracetamol 300 mg capsule, vitamin B complex (B1,B6,B12) 100,200,0.2 mg Film coated tablets [oral], chlorzoxazone 250 mg + paracetamol 300 mg capsule, vitamin B complex (B1,B6,B12) 100,200,0.2 mg Film coated tablets [oral], chlorzoxazone 250 mg + paracetamol 300 mg capsule, vitamin B complex (B1,B6,B12) 100,200,0.2 mg Film coated tablets [oral], chlorzoxazone 250 mg + paracetamol 300 mg capsule, vitamin B complex (B1,B6,B12) 100,200,0.2 mg Film coated tablets [oral], chlorzoxazone 250 mg + paracetamol 300 mg capsule, vitamin B complex (B1,B6,B12) 100,200,0.2 mg Film coated tablets [oral], chlorzoxazone 250 mg + paracetamol 300 mg capsule,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metFORMIN hydrochloride 500 mg tablet, valsartan 80 mg tablet, metFORMIN hydrochloride 500 mg tablet, valsartan 80 mg tablet, metFORMIN hydrochloride 500 mg tablet, valsartan 80 mg tablet, metFORMIN hydrochloride 500 mg tablet, valsartan 80 mg tablet, metFORMIN hydrochloride 500 mg tablet, valsartan 80 mg tablet, metFORMIN hydrochloride 500 mg tablet, valsartan 80 mg tablet, metFORMIN hydrochloride 500 mg tablet, valsartan 80 mg tablet, insulin aspart 100 international units/mL injection, 3 mL prefilled pen, atorvastatin 20 mg tablet, insulin aspart 100 international units/mL injection, 3 mL prefilled pen, atorvastatin 20 mg tablet, insulin aspart 100 international units/mL injection, 3 mL prefilled pen, atorvastatin 20 mg tablet, insulin aspart 100 international units/mL injection, 3 mL prefilled pen, atorvastatin 20 mg tablet, insulin aspart 100 international units/mL injection, 3 mL prefilled pen, atorvastatin 20 mg tablet, insulin aspart 100 international units/mL injection, 3 mL prefilled pen, atorvastatin 20 mg tablet, insulin aspart 100 international units/mL injection, 3 mL prefilled pen, atorvastatin 20 mg tablet, chlorzoxazone 250 mg + paracetamol 300 mg capsule, calcium carbonate 600 mg - colecalciferol 200 international units Film coated tablets [oral], vitamin B complex (B1,B6,B12) 100,200,0.2 mg Film coated tablets [oral], paracetamol 500 mg tablet, chlorzoxazone 250 mg + paracetamol 300 mg capsule, calcium carbonate 600 mg - colecalciferol 200 international units Film coated tablets [oral], vitamin B complex (B1,B6,B12) 100,200,0.2 mg Film coated tablets [oral], paracetamol 500 mg tablet, chlorzoxazone 250 mg + paracetamol 300 mg capsule, calcium carbonate 600 mg - colecalciferol 200 international units Film coated tablets [oral], vitamin B complex (B1,B6,B12) 100,200,0.2 mg Film coated tablets [oral], paracetamol 500 mg tablet, chlorzoxazone 250 mg + paracetamol 300 mg capsule, calcium carbonate 600 mg - colecalciferol 200 international units Film coated tablets [oral], vitamin B complex (B1,B6,B12) 100,200,0.2 mg Film coated tablets [oral], paracetamol 500 mg tablet, chlorzoxazone 250 mg + paracetamol 300 mg capsule, calcium carbonate 600 mg - colecalciferol 200 international units Film coated tablets [oral], vitamin B complex (B1,B6,B12) 100,200,0.2 mg Film coated tablets [oral], paracetamol 500 mg tablet, chlorzoxazone 250 mg + paracetamol 300 mg capsule, calcium carbonate 600 mg - colecalciferol 200 international units Film coated tablets [oral], vitamin B complex (B1,B6,B12) 100,200,0.2 mg Film coated tablets [oral], paracetamol 500 mg tablet, chlorzoxazone 250 mg + paracetamol 300 mg capsule, calcium carbonate 600 mg - colecalciferol 200 international units Film coated tablets [oral], vitamin B complex (B1,B6,B12) 100,200,0.2 mg Film coated tablets [oral], paracetamol 500 mg tablet, paracetamol 500 mg tablet, paracetamol 500 mg tablet, paracetamol 500 mg tablet, paracetamol 500 mg tablet, paracetamol 500 mg tablet, paracetamol 500 mg tablet, paracetamol 500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insulin aspart 100 international units/mL injection, 3 mL prefilled pen, insulin glargine 300 international units/mL injection, 1.5 mL prefilled pen, colecalciferol 50 000 international units tablet, metFORMIN hydrochloride 500 mg tablet, chlorzoxazone 250 mg + paracetamol 300 mg capsule, insulin aspart 100 international units/mL injection, 3 mL prefilled pen, insulin glargine 300 international units/mL injection, 1.5 mL prefilled pen, colecalciferol 50 000 international units tablet, metFORMIN hydrochloride 500 mg tablet, chlorzoxazone 250 mg + paracetamol 300 mg capsule, insulin aspart 100 international units/mL injection, 3 mL prefilled pen, insulin glargine 300 international units/mL injection, 1.5 mL prefilled pen, colecalciferol 50 000 international units tablet, metFORMIN hydrochloride 500 mg tablet, chlorzoxazone 250 mg + paracetamol 300 mg capsule, insulin aspart 100 international units/mL injection, 3 mL prefilled pen, insulin glargine 300 international units/mL injection, 1.5 mL prefilled pen, colecalciferol 50 000 international units tablet, metFORMIN hydrochloride 500 mg tablet, chlorzoxazone 250 mg + paracetamol 300 mg capsule, insulin aspart 100 international units/mL injection, 3 mL prefilled pen, insulin glargine 300 international units/mL injection, 1.5 mL prefilled pen, colecalciferol 50 000 international units tablet, metFORMIN hydrochloride 500 mg tablet, chlorzoxazone 250 mg + paracetamol 300 mg capsule, insulin aspart 100 international units/mL injection, 3 mL prefilled pen, insulin glargine 300 international units/mL injection, 1.5 mL prefilled pen, colecalciferol 50 000 international units tablet, metFORMIN hydrochloride 500 mg tablet, chlorzoxazone 250 mg + paracetamol 300 mg capsule, insulin aspart 100 international units/mL injection, 3 mL prefilled pen, insulin glargine 300 international units/mL injection, 1.5 mL prefilled pen, colecalciferol 50 000 international units tablet, metFORMIN hydrochloride 500 mg tablet, chlorzoxazone 250 mg + paracetamol 300 mg capsule, atorvastatin 20 mg tablet, atorvastatin 20 mg tablet, atorvastatin 20 mg tablet, atorvastatin 20 mg tablet, atorvastatin 20 mg tablet, atorvastatin 20 mg tablet, atorvastatin 20 mg tablet, valsartan 80 mg tablet, valsartan 80 mg tablet, valsartan 80 mg tablet, valsartan 80 mg tablet, valsartan 80 mg tablet, valsartan 80 mg tablet, valsartan 80 mg tablet,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insulin glargine 300 international units/mL injection, 1.5 mL prefilled pen, calcium carbonate 600 mg - colecalciferol 200 international units Film coated tablets [oral], insulin glargine 300 international units/mL injection, 1.5 mL prefilled pen, calcium carbonate 600 mg - colecalciferol 200 international units Film coated tablets [oral], insulin glargine 300 international units/mL injection, 1.5 mL prefilled pen, calcium carbonate 600 mg - colecalciferol 200 international units Film coated tablets [oral], insulin glargine 300 international units/mL injection, 1.5 mL prefilled pen, calcium carbonate 600 mg - colecalciferol 200 international units Film coated tablets [oral], insulin glargine 300 international units/mL injection, 1.5 mL prefilled pen, calcium carbonate 600 mg - colecalciferol 200 international units Film coated tablets [oral], insulin glargine 300 international units/mL injection, 1.5 mL prefilled pen, calcium carbonate 600 mg - colecalciferol 200 international units Film coated tablets [oral], insulin glargine 300 international units/mL injection, 1.5 mL prefilled pen,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paracetamol 500 mg tablet, metFORMIN hydrochloride 500 mg tablet, insulin aspart 100 international units/mL injection, 3 mL prefilled pen, atorvastatin 20 mg tablet, paracetamol 500 mg tablet, metFORMIN hydrochloride 500 mg tablet, insulin aspart 100 international units/mL injection, 3 mL prefilled pen, atorvastatin 20 mg tablet, paracetamol 500 mg tablet, metFORMIN hydrochloride 500 mg tablet, insulin aspart 100 international units/mL injection, 3 mL prefilled pen, atorvastatin 20 mg tablet, paracetamol 500 mg tablet, metFORMIN hydrochloride 500 mg tablet, insulin aspart 100 international units/mL injection, 3 mL prefilled pen, atorvastatin 20 mg tablet, paracetamol 500 mg tablet, metFORMIN hydrochloride 500 mg tablet, insulin aspart 100 international units/mL injection, 3 mL prefilled pen, atorvastatin 20 mg tablet, paracetamol 500 mg tablet, metFORMIN hydrochloride 500 mg tablet, insulin aspart 100 international units/mL injection, 3 mL prefilled pen, atorvastatin 20 mg tablet, paracetamol 500 mg tablet, metFORMIN hydrochloride 500 mg tablet, insulin aspart 100 international units/mL injection, 3 mL prefilled pen, atorvastatin 20 mg tablet, valsartan 80 mg tablet, colecalciferol 50 000 international units tablet, valsartan 80 mg tablet, colecalciferol 50 000 international units tablet, valsartan 80 mg tablet, colecalciferol 50 000 international units tablet, valsartan 80 mg tablet, colecalciferol 50 000 international units tablet, valsartan 80 mg tablet, colecalciferol 50 000 international units tablet, valsartan 80 mg tablet, colecalciferol 50 000 international units tablet, valsartan 80 mg tablet, colecalciferol 50 000 international units tablet, chlorzoxazone 250 mg + paracetamol 300 mg capsule, chlorzoxazone 250 mg + paracetamol 300 mg capsule, chlorzoxazone 250 mg + paracetamol 300 mg capsule, chlorzoxazone 250 mg + paracetamol 300 mg capsule, chlorzoxazone 250 mg + paracetamol 300 mg capsule, chlorzoxazone 250 mg + paracetamol 300 mg capsule, chlorzoxazone 250 mg + paracetamol 300 mg capsule, atorvastatin 20 mg tablet, insulin glargine 300 international units/mL injection, 1.5 mL prefilled pen, calcium carbonate 600 mg - colecalciferol 200 international units Film coated tablets [oral], valsartan 80 mg tablet, atorvastatin 20 mg tablet, insulin glargine 300 international units/mL injection, 1.5 mL prefilled pen, calcium carbonate 600 mg - colecalciferol 200 international units Film coated tablets [oral], valsartan 80 mg tablet, atorvastatin 20 mg tablet, insulin glargine 300 international units/mL injection, 1.5 mL prefilled pen, calcium carbonate 600 mg - colecalciferol 200 international units Film coated tablets [oral], valsartan 80 mg tablet, atorvastatin 20 mg tablet, insulin glargine 300 international units/mL injection, 1.5 mL prefilled pen, calcium carbonate 600 mg - colecalciferol 200 international units Film coated tablets [oral], valsartan 80 mg tablet, atorvastatin 20 mg tablet, insulin glargine 300 international units/mL injection, 1.5 mL prefilled pen, calcium carbonate 600 mg - colecalciferol 200 international units Film coated tablets [oral], valsartan 80 mg tablet, atorvastatin 20 mg tablet, insulin glargine 300 international units/mL injection, 1.5 mL prefilled pen, calcium carbonate 600 mg - colecalciferol 200 international units Film coated tablets [oral], valsartan 80 mg tablet, atorvastatin 20 mg tablet, insulin glargine 300 international units/mL injection, 1.5 mL prefilled pen, calcium carbonate 600 mg - colecalciferol 200 international units Film coated tablets [oral], valsartan 80 mg tablet, paracetamol 500 mg tablet, paracetamol 500 mg tablet, paracetamol 500 mg tablet, paracetamol 500 mg tablet, paracetamol 500 mg tablet, paracetamol 500 mg tablet, paracetamol 500 mg tablet,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t>
  </si>
  <si>
    <t>احمد بن حامد بن حمود الاحمدي</t>
  </si>
  <si>
    <t>colecalciferol, empagliflozin, metFORMIN hydrochloride</t>
  </si>
  <si>
    <t>colecalciferol 50 000 international units tablet, empagliflozin 10 mg tablet, colecalciferol 50 000 international units tablet, empagliflozin 10 mg tablet, colecalciferol 50 000 international units tablet, empagliflozin 10 mg tablet, metFORMIN hydrochloride 500 mg tablet, metFORMIN hydrochloride 500 mg tablet, metFORMIN hydrochloride 500 mg tablet, colecalciferol 50 000 international units tablet, empagliflozin 10 mg tablet, colecalciferol 50 000 international units tablet, empagliflozin 10 mg tablet, colecalciferol 50 000 international units tablet, empagliflozin 10 mg tablet, metFORMIN hydrochloride 500 mg tablet, metFORMIN hydrochloride 500 mg tablet, metFORMIN hydrochloride 500 mg tablet</t>
  </si>
  <si>
    <t>محسن احمد عثمان باصقر</t>
  </si>
  <si>
    <t>salbutamol, perindopril arginine, metFORMIN hydrochloride, budesonide, atorvastatin</t>
  </si>
  <si>
    <t>salbutamol 100 microgram/actuation inhaler, salbutamol 100 microgram/actuation inhaler, salbutamol 100 microgram/actuation inhaler, salbutamol 100 microgram/actuation inhaler, perindopril arginine 5 mg tablet, perindopril arginine 5 mg tablet, perindopril arginine 5 mg tablet, perindopril arginine 5 mg tablet, metFORMIN hydrochloride 750 mg tablet: modified release, budesonide 160 microgram/actuation + formoterol fumarate dihydrate 4.5 microgram/actuation inhalation: powder for, metFORMIN hydrochloride 750 mg tablet: modified release, budesonide 160 microgram/actuation + formoterol fumarate dihydrate 4.5 microgram/actuation inhalation: powder for, metFORMIN hydrochloride 750 mg tablet: modified release, budesonide 160 microgram/actuation + formoterol fumarate dihydrate 4.5 microgram/actuation inhalation: powder for, metFORMIN hydrochloride 750 mg tablet: modified release, budesonide 160 microgram/actuation + formoterol fumarate dihydrate 4.5 microgram/actuation inhalation: powder for, atorvastatin 20 mg tablet, atorvastatin 20 mg tablet, atorvastatin 20 mg tablet, atorvastatin 20 mg tablet, metFORMIN hydrochloride 750 mg tablet: modified release, salbutamol 100 microgram/actuation inhaler, metFORMIN hydrochloride 750 mg tablet: modified release, salbutamol 100 microgram/actuation inhaler, metFORMIN hydrochloride 750 mg tablet: modified release, salbutamol 100 microgram/actuation inhaler, metFORMIN hydrochloride 750 mg tablet: modified release, salbutamol 100 microgram/actuation inhaler, budesonide 160 microgram/actuation + formoterol fumarate dihydrate 4.5 microgram/actuation inhalation: powder for, atorvastatin 20 mg tablet, budesonide 160 microgram/actuation + formoterol fumarate dihydrate 4.5 microgram/actuation inhalation: powder for, atorvastatin 20 mg tablet, budesonide 160 microgram/actuation + formoterol fumarate dihydrate 4.5 microgram/actuation inhalation: powder for, atorvastatin 20 mg tablet, budesonide 160 microgram/actuation + formoterol fumarate dihydrate 4.5 microgram/actuation inhalation: powder for, atorvastatin 20 mg tablet, perindopril arginine 5 mg tablet, perindopril arginine 5 mg tablet, perindopril arginine 5 mg tablet, perindopril arginine 5 mg tablet, metFORMIN hydrochloride 750 mg tablet: modified release, budesonide 160 microgram/actuation + formoterol fumarate dihydrate 4.5 microgram/actuation inhalation: powder for, metFORMIN hydrochloride 750 mg tablet: modified release, budesonide 160 microgram/actuation + formoterol fumarate dihydrate 4.5 microgram/actuation inhalation: powder for, metFORMIN hydrochloride 750 mg tablet: modified release, budesonide 160 microgram/actuation + formoterol fumarate dihydrate 4.5 microgram/actuation inhalation: powder for, metFORMIN hydrochloride 750 mg tablet: modified release, budesonide 160 microgram/actuation + formoterol fumarate dihydrate 4.5 microgram/actuation inhalation: powder for, salbutamol 100 microgram/actuation inhaler, salbutamol 100 microgram/actuation inhaler, salbutamol 100 microgram/actuation inhaler, salbutamol 100 microgram/actuation inhaler, perindopril arginine 5 mg tablet, atorvastatin 20 mg tablet, perindopril arginine 5 mg tablet, atorvastatin 20 mg tablet, perindopril arginine 5 mg tablet, atorvastatin 20 mg tablet, perindopril arginine 5 mg tablet, atorvastatin 20 mg tablet, atorvastatin 20 mg tablet, metFORMIN hydrochloride 750 mg tablet: modified release, salbutamol 100 microgram/actuation inhaler, atorvastatin 20 mg tablet, metFORMIN hydrochloride 750 mg tablet: modified release, salbutamol 100 microgram/actuation inhaler, atorvastatin 20 mg tablet, metFORMIN hydrochloride 750 mg tablet: modified release, salbutamol 100 microgram/actuation inhaler, atorvastatin 20 mg tablet, metFORMIN hydrochloride 750 mg tablet: modified release, salbutamol 100 microgram/actuation inhaler, perindopril arginine 5 mg tablet, perindopril arginine 5 mg tablet, perindopril arginine 5 mg tablet, perindopril arginine 5 mg tablet,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atorvastatin 20 mg tablet, atorvastatin 20 mg tablet, atorvastatin 20 mg tablet, atorvastatin 20 mg tablet, metFORMIN hydrochloride 750 mg tablet: modified release, metFORMIN hydrochloride 750 mg tablet: modified release, metFORMIN hydrochloride 750 mg tablet: modified release, metFORMIN hydrochloride 750 mg tablet: modified release, perindopril arginine 5 mg tablet, salbutamol 100 microgram/actuation inhaler, perindopril arginine 5 mg tablet, salbutamol 100 microgram/actuation inhaler, perindopril arginine 5 mg tablet, salbutamol 100 microgram/actuation inhaler, perindopril arginine 5 mg tablet, salbutamol 100 microgram/actuation inhaler,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metFORMIN hydrochloride 750 mg tablet: modified release, budesonide 160 microgram/actuation + formoterol fumarate dihydrate 4.5 microgram/actuation inhalation: powder for, metFORMIN hydrochloride 750 mg tablet: modified release, budesonide 160 microgram/actuation + formoterol fumarate dihydrate 4.5 microgram/actuation inhalation: powder for, metFORMIN hydrochloride 750 mg tablet: modified release, budesonide 160 microgram/actuation + formoterol fumarate dihydrate 4.5 microgram/actuation inhalation: powder for, metFORMIN hydrochloride 750 mg tablet: modified release, budesonide 160 microgram/actuation + formoterol fumarate dihydrate 4.5 microgram/actuation inhalation: powder for, salbutamol 100 microgram/actuation inhaler, salbutamol 100 microgram/actuation inhaler, salbutamol 100 microgram/actuation inhaler, salbutamol 100 microgram/actuation inhaler, perindopril arginine 5 mg tablet, atorvastatin 20 mg tablet, perindopril arginine 5 mg tablet, atorvastatin 20 mg tablet, perindopril arginine 5 mg tablet, atorvastatin 20 mg tablet, perindopril arginine 5 mg tablet, atorvastatin 20 mg tablet, salbutamol 100 microgram/actuation inhaler, metFORMIN hydrochloride 750 mg tablet: modified release, perindopril arginine 5 mg tablet, salbutamol 100 microgram/actuation inhaler, metFORMIN hydrochloride 750 mg tablet: modified release, perindopril arginine 5 mg tablet, salbutamol 100 microgram/actuation inhaler, metFORMIN hydrochloride 750 mg tablet: modified release, perindopril arginine 5 mg tablet, salbutamol 100 microgram/actuation inhaler, metFORMIN hydrochloride 750 mg tablet: modified release, perindopril arginine 5 mg tablet, atorvastatin 20 mg tablet, budesonide 160 microgram/actuation + formoterol fumarate dihydrate 4.5 microgram/actuation inhalation: powder for, atorvastatin 20 mg tablet, budesonide 160 microgram/actuation + formoterol fumarate dihydrate 4.5 microgram/actuation inhalation: powder for, atorvastatin 20 mg tablet, budesonide 160 microgram/actuation + formoterol fumarate dihydrate 4.5 microgram/actuation inhalation: powder for, atorvastatin 20 mg tablet, budesonide 160 microgram/actuation + formoterol fumarate dihydrate 4.5 microgram/actuation inhalation: powder for, metFORMIN hydrochloride 750 mg tablet: modified release, metFORMIN hydrochloride 750 mg tablet: modified release, metFORMIN hydrochloride 750 mg tablet: modified release, metFORMIN hydrochloride 750 mg tablet: modified release, perindopril arginine 5 mg tablet, perindopril arginine 5 mg tablet, perindopril arginine 5 mg tablet, perindopril arginine 5 mg tablet, budesonide 160 microgram/actuation + formoterol fumarate dihydrate 4.5 microgram/actuation inhalation: powder for, atorvastatin 20 mg tablet, budesonide 160 microgram/actuation + formoterol fumarate dihydrate 4.5 microgram/actuation inhalation: powder for, atorvastatin 20 mg tablet, budesonide 160 microgram/actuation + formoterol fumarate dihydrate 4.5 microgram/actuation inhalation: powder for, atorvastatin 20 mg tablet, budesonide 160 microgram/actuation + formoterol fumarate dihydrate 4.5 microgram/actuation inhalation: powder for, atorvastatin 20 mg tablet, salbutamol 100 microgram/actuation inhaler, salbutamol 100 microgram/actuation inhaler, salbutamol 100 microgram/actuation inhaler, salbutamol 100 microgram/actuation inhaler</t>
  </si>
  <si>
    <t>خالد ابراهيم خليل الخيبري</t>
  </si>
  <si>
    <t>colecalciferol, allopurinol</t>
  </si>
  <si>
    <t>colecalciferol 50 000 international units tablet, colecalciferol 50 000 international units tablet, colecalciferol 50 000 international units tablet, colecalciferol 50 000 international units tablet, colecalciferol 50 000 international units tablet, allopurinol 100 mg tablet, allopurinol 100 mg tablet, allopurinol 100 mg tablet, allopurinol 100 mg tablet, allopurinol 100 mg tablet, colecalciferol 50 000 international units tablet, colecalciferol 50 000 international units tablet, colecalciferol 50 000 international units tablet, colecalciferol 50 000 international units tablet, colecalciferol 50 000 international units tablet, allopurinol 100 mg tablet, allopurinol 100 mg tablet, allopurinol 100 mg tablet, allopurinol 100 mg tablet, allopurinol 100 mg tablet, allopurinol 100 mg tablet, allopurinol 100 mg tablet, allopurinol 100 mg tablet, allopurinol 100 mg tablet, allopurinol 100 mg tablet, colecalciferol 50 000 international units tablet, colecalciferol 50 000 international units tablet, colecalciferol 50 000 international units tablet, colecalciferol 50 000 international units tablet, colecalciferol 50 000 international units tablet</t>
  </si>
  <si>
    <t>نور زامل فوزان العمرى</t>
  </si>
  <si>
    <t>metFORMIN hydrochloride, diclofenac sodium, paracetamol, vitamin B complex (B, B, mebeverine hydrochloride</t>
  </si>
  <si>
    <t>metFORMIN hydrochloride 500 mg tablet, diclofenac sodium 1% (10 mg/g) gel, metFORMIN hydrochloride 500 mg tablet, diclofenac sodium 1% (10 mg/g) gel, metFORMIN hydrochloride 500 mg tablet, diclofenac sodium 1% (10 mg/g) gel, metFORMIN hydrochloride 500 mg tablet, diclofenac sodium 1% (10 mg/g) gel, metFORMIN hydrochloride 500 mg tablet, diclofenac sodium 1% (10 mg/g) gel, metFORMIN hydrochloride 500 mg tablet, diclofenac sodium 1% (10 mg/g) gel,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paracetamol 500 mg + codeine phosphate 8 mg + caffeine 30 mg tablet, vitamin B complex (B1,B6,B12) 100,200,0.2 mg Film coated tablets [oral], paracetamol 500 mg + codeine phosphate 8 mg + caffeine 30 mg tablet, vitamin B complex (B1,B6,B12) 100,200,0.2 mg Film coated tablets [oral], paracetamol 500 mg + codeine phosphate 8 mg + caffeine 30 mg tablet, vitamin B complex (B1,B6,B12) 100,200,0.2 mg Film coated tablets [oral], paracetamol 500 mg + codeine phosphate 8 mg + caffeine 30 mg tablet, vitamin B complex (B1,B6,B12) 100,200,0.2 mg Film coated tablets [oral], paracetamol 500 mg + codeine phosphate 8 mg + caffeine 30 mg tablet, vitamin B complex (B1,B6,B12) 100,200,0.2 mg Film coated tablets [oral], paracetamol 500 mg + codeine phosphate 8 mg + caffeine 30 mg tablet, vitamin B complex (B1,B6,B12) 100,200,0.2 mg Film coated tablets [oral],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diclofenac sodium 1% (10 mg/g) gel, diclofenac sodium 1% (10 mg/g) gel, diclofenac sodium 1% (10 mg/g) gel, diclofenac sodium 1% (10 mg/g) gel, diclofenac sodium 1% (10 mg/g) gel, diclofenac sodium 1% (10 mg/g) gel, metFORMIN hydrochloride 500 mg tablet, metFORMIN hydrochloride 500 mg tablet, metFORMIN hydrochloride 500 mg tablet, metFORMIN hydrochloride 500 mg tablet, metFORMIN hydrochloride 500 mg tablet, metFORMIN hydrochloride 500 mg tablet, paracetamol 500 mg + codeine phosphate 8 mg + caffeine 30 mg tablet, vitamin B complex (B1,B6,B12) 100,200,0.2 mg Film coated tablets [oral], paracetamol 500 mg + codeine phosphate 8 mg + caffeine 30 mg tablet, vitamin B complex (B1,B6,B12) 100,200,0.2 mg Film coated tablets [oral], paracetamol 500 mg + codeine phosphate 8 mg + caffeine 30 mg tablet, vitamin B complex (B1,B6,B12) 100,200,0.2 mg Film coated tablets [oral], paracetamol 500 mg + codeine phosphate 8 mg + caffeine 30 mg tablet, vitamin B complex (B1,B6,B12) 100,200,0.2 mg Film coated tablets [oral], paracetamol 500 mg + codeine phosphate 8 mg + caffeine 30 mg tablet, vitamin B complex (B1,B6,B12) 100,200,0.2 mg Film coated tablets [oral], paracetamol 500 mg + codeine phosphate 8 mg + caffeine 30 mg tablet, vitamin B complex (B1,B6,B12) 100,200,0.2 mg Film coated tablets [oral],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metFORMIN hydrochloride 500 mg tablet, metFORMIN hydrochloride 500 mg tablet, metFORMIN hydrochloride 500 mg tablet, metFORMIN hydrochloride 500 mg tablet, metFORMIN hydrochloride 500 mg tablet, metFORMIN hydrochloride 500 mg tablet, diclofenac sodium 1% (10 mg/g) gel, diclofenac sodium 1% (10 mg/g) gel, diclofenac sodium 1% (10 mg/g) gel, diclofenac sodium 1% (10 mg/g) gel, diclofenac sodium 1% (10 mg/g) gel, diclofenac sodium 1% (10 mg/g) gel</t>
  </si>
  <si>
    <t>عنود فليح بن فالح اللحياني</t>
  </si>
  <si>
    <t>amLODIPine, dextromethorphan hydrobromide</t>
  </si>
  <si>
    <t>amLODIPine 5 mg tablet, amLODIPine 5 mg tablet, dextromethorphan hydrobromide 15 mg/5 mL oral liquid, dextromethorphan hydrobromide 15 mg/5 mL oral liquid, amLODIPine 5 mg tablet, dextromethorphan hydrobromide 15 mg/5 mL oral liquid, amLODIPine 5 mg tablet, dextromethorphan hydrobromide 15 mg/5 mL oral liquid, dextromethorphan hydrobromide 15 mg/5 mL oral liquid, dextromethorphan hydrobromide 15 mg/5 mL oral liquid</t>
  </si>
  <si>
    <t>ميثا فليح بن فالح اللحياني</t>
  </si>
  <si>
    <t>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t>
  </si>
  <si>
    <t>واصل ابن مهنا ابن وصل الله الحرازي</t>
  </si>
  <si>
    <t>sennosides 12 mg tablet, sennosides 12 mg tablet, sennosides 12 mg tablet, sennosides 12 mg tablet, sennosides 12 mg tablet, sennosides 12 mg tablet, sennosides 12 mg tablet, sennosides 12 mg tablet, sennosides 12 mg tablet, sennosides 12 mg tablet, sennosides 12 mg tablet, sennosides 12 mg tablet, sennosides 12 mg tablet, sennosides 12 mg tablet, sennosides 12 mg tablet, sennosides 12 mg tablet, sennosides 12 mg tablet, sennosides 12 mg tablet, sennosides 12 mg tablet, sennosides 12 mg tablet, sennosides 12 mg tablet</t>
  </si>
  <si>
    <t>سعيده مده حامد الدريوشي</t>
  </si>
  <si>
    <t>omeprazole, metFORMIN hydrochloride, levothyroxine sodium, calcium carbonate</t>
  </si>
  <si>
    <t>omeprazole 20 mg tablet: enteric coated, omeprazole 20 mg tablet: enteric coated, omeprazole 20 mg tablet: enteric coated, metFORMIN hydrochloride 500 mg tablet, levothyroxine sodium 50 microgram tablet, metFORMIN hydrochloride 500 mg tablet, levothyroxine sodium 50 microgram tablet, metFORMIN hydrochloride 500 mg tablet, levothyroxine sodium 50 microgram tablet,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metFORMIN hydrochloride 500 mg tablet, metFORMIN hydrochloride 500 mg tablet, metFORMIN hydrochloride 500 mg tablet, levothyroxine sodium 50 microgram tablet, omeprazole 20 mg tablet: enteric coated, levothyroxine sodium 50 microgram tablet, omeprazole 20 mg tablet: enteric coated, levothyroxine sodium 50 microgram tablet, omeprazole 20 mg tablet: enteric coated</t>
  </si>
  <si>
    <t>منال حسين حمزه كماس</t>
  </si>
  <si>
    <t>mebeverine hydrochloride</t>
  </si>
  <si>
    <t>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t>
  </si>
  <si>
    <t>مداوي شعثان محمد القحطاني</t>
  </si>
  <si>
    <t>chlorzoxazone, hydroCHLOROthiazide, allopurinol, dextromethorphan hydrobromide</t>
  </si>
  <si>
    <t>chlorzoxazone 250 mg + paracetamol 300 mg capsule, chlorzoxazone 250 mg + paracetamol 300 mg capsule, chlorzoxazone 250 mg + paracetamol 300 mg capsule, chlorzoxazone 250 mg + paracetamol 300 mg capsule, chlorzoxazone 250 mg + paracetamol 300 mg capsule, hydroCHLOROthiazide 25 mg tablet: scored, hydroCHLOROthiazide 25 mg tablet: scored, hydroCHLOROthiazide 25 mg tablet: scored, hydroCHLOROthiazide 25 mg tablet: scored, hydroCHLOROthiazide 25 mg tablet: scored, allopurinol 100 mg tablet, allopurinol 100 mg tablet, allopurinol 100 mg tablet, allopurinol 100 mg tablet, allopurinol 100 mg tablet, dextromethorphan hydrobromide 15 mg/5 mL oral liquid, dextromethorphan hydrobromide 15 mg/5 mL oral liquid, dextromethorphan hydrobromide 15 mg/5 mL oral liquid, dextromethorphan hydrobromide 15 mg/5 mL oral liquid, dextromethorphan hydrobromide 15 mg/5 mL oral liquid, hydroCHLOROthiazide 25 mg tablet: scored, hydroCHLOROthiazide 25 mg tablet: scored, hydroCHLOROthiazide 25 mg tablet: scored, hydroCHLOROthiazide 25 mg tablet: scored, hydroCHLOROthiazide 25 mg tablet: scored, chlorzoxazone 250 mg + paracetamol 300 mg capsule, chlorzoxazone 250 mg + paracetamol 300 mg capsule, chlorzoxazone 250 mg + paracetamol 300 mg capsule, chlorzoxazone 250 mg + paracetamol 300 mg capsule, chlorzoxazone 250 mg + paracetamol 300 mg capsule, allopurinol 100 mg tablet, allopurinol 100 mg tablet, allopurinol 100 mg tablet, allopurinol 100 mg tablet, allopurinol 100 mg tablet, dextromethorphan hydrobromide 15 mg/5 mL oral liquid, dextromethorphan hydrobromide 15 mg/5 mL oral liquid, dextromethorphan hydrobromide 15 mg/5 mL oral liquid, dextromethorphan hydrobromide 15 mg/5 mL oral liquid, dextromethorphan hydrobromide 15 mg/5 mL oral liquid, hydroCHLOROthiazide 25 mg tablet: scored, hydroCHLOROthiazide 25 mg tablet: scored, hydroCHLOROthiazide 25 mg tablet: scored, hydroCHLOROthiazide 25 mg tablet: scored, hydroCHLOROthiazide 25 mg tablet: scored, dextromethorphan hydrobromide 15 mg/5 mL oral liquid, dextromethorphan hydrobromide 15 mg/5 mL oral liquid, dextromethorphan hydrobromide 15 mg/5 mL oral liquid, dextromethorphan hydrobromide 15 mg/5 mL oral liquid, dextromethorphan hydrobromide 15 mg/5 mL oral liquid, chlorzoxazone 250 mg + paracetamol 300 mg capsule, allopurinol 100 mg tablet, chlorzoxazone 250 mg + paracetamol 300 mg capsule, allopurinol 100 mg tablet, chlorzoxazone 250 mg + paracetamol 300 mg capsule, allopurinol 100 mg tablet, chlorzoxazone 250 mg + paracetamol 300 mg capsule, allopurinol 100 mg tablet, chlorzoxazone 250 mg + paracetamol 300 mg capsule, allopurinol 100 mg tablet</t>
  </si>
  <si>
    <t>عبدالرحمن يحي ناصر اليامي</t>
  </si>
  <si>
    <t>gliclazide, empagliflozin, metFORMIN hydrochloride</t>
  </si>
  <si>
    <t>gliclazide 30 mg tablet: modified release, empagliflozin 25 mg tablet, metFORMIN hydrochloride 500 mg tablet, gliclazide 30 mg tablet: modified release, empagliflozin 25 mg tablet, metFORMIN hydrochloride 500 mg tablet, gliclazide 30 mg tablet: modified release, empagliflozin 25 mg tablet, metFORMIN hydrochloride 500 mg tablet, gliclazide 30 mg tablet: modified release, empagliflozin 25 mg tablet, metFORMIN hydrochloride 500 mg tablet, gliclazide 30 mg tablet: modified release, gliclazide 30 mg tablet: modified release, gliclazide 30 mg tablet: modified release, gliclazide 30 mg tablet: modified release, metFORMIN hydrochloride 500 mg tablet, metFORMIN hydrochloride 500 mg tablet, metFORMIN hydrochloride 500 mg tablet, metFORMIN hydrochloride 500 mg tablet, empagliflozin 25 mg tablet, empagliflozin 25 mg tablet, empagliflozin 25 mg tablet, empagliflozin 25 mg tablet</t>
  </si>
  <si>
    <t>حمود علي جعفر العمري</t>
  </si>
  <si>
    <t>celecoxib, sulfamethoxazole, hyoscine butylbromide</t>
  </si>
  <si>
    <t>celecoxib 200 mg capsule, celecoxib 200 mg capsule, celecoxib 200 mg capsule, celecoxib 200 mg capsule, sulfamethoxazole 800 mg + trimethoprim 160 mg tablet, sulfamethoxazole 800 mg + trimethoprim 160 mg tablet, sulfamethoxazole 800 mg + trimethoprim 160 mg tablet, sulfamethoxazole 800 mg + trimethoprim 160 mg tablet, hyoscine butylbromide 10 mg tablet, hyoscine butylbromide 10 mg tablet, hyoscine butylbromide 10 mg tablet, hyoscine butylbromide 10 mg tablet, sulfamethoxazole 800 mg + trimethoprim 160 mg tablet, sulfamethoxazole 800 mg + trimethoprim 160 mg tablet, sulfamethoxazole 800 mg + trimethoprim 160 mg tablet, sulfamethoxazole 800 mg + trimethoprim 160 mg tablet, celecoxib 200 mg capsule, celecoxib 200 mg capsule, celecoxib 200 mg capsule, celecoxib 200 mg capsule, hyoscine butylbromide 10 mg tablet, hyoscine butylbromide 10 mg tablet, hyoscine butylbromide 10 mg tablet, hyoscine butylbromide 10 mg tablet, celecoxib 200 mg capsule, celecoxib 200 mg capsule, celecoxib 200 mg capsule, celecoxib 200 mg capsule, sulfamethoxazole 800 mg + trimethoprim 160 mg tablet, sulfamethoxazole 800 mg + trimethoprim 160 mg tablet, sulfamethoxazole 800 mg + trimethoprim 160 mg tablet, sulfamethoxazole 800 mg + trimethoprim 160 mg tablet, hyoscine butylbromide 10 mg tablet, hyoscine butylbromide 10 mg tablet, hyoscine butylbromide 10 mg tablet, hyoscine butylbromide 10 mg tablet</t>
  </si>
  <si>
    <t>نوير عواض ضريص العتيبي</t>
  </si>
  <si>
    <t>ciprofloxacin 500 mg tablet, ciprofloxacin 500 mg tablet, ciprofloxacin 500 mg tablet, ciprofloxacin 500 mg tablet, ciprofloxacin 500 mg tablet, ciprofloxacin 500 mg tablet</t>
  </si>
  <si>
    <t>محمود شاه مقصود حاجي باي</t>
  </si>
  <si>
    <t>fusidic acid, amLODIPine</t>
  </si>
  <si>
    <t>fusidic acid 2% (20 mg/g) cream, fusidic acid 2% (20 mg/g) cream, fusidic acid 2% (20 mg/g) cream, fusidic acid 2% (20 mg/g) cream, amLODIPine 5 mg tablet, amLODIPine 5 mg tablet, amLODIPine 5 mg tablet, amLODIPine 5 mg tablet, fusidic acid 2% (20 mg/g) cream, fusidic acid 2% (20 mg/g) cream, fusidic acid 2% (20 mg/g) cream, fusidic acid 2% (20 mg/g) cream, amLODIPine 5 mg tablet, amLODIPine 5 mg tablet, amLODIPine 5 mg tablet, amLODIPine 5 mg tablet, fusidic acid 2% (20 mg/g) cream, fusidic acid 2% (20 mg/g) cream, fusidic acid 2% (20 mg/g) cream, fusidic acid 2% (20 mg/g) cream, fusidic acid 2% (20 mg/g) cream, fusidic acid 2% (20 mg/g) cream, fusidic acid 2% (20 mg/g) cream, fusidic acid 2% (20 mg/g) cream</t>
  </si>
  <si>
    <t>شريفه احمد محمد عسيري</t>
  </si>
  <si>
    <t>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t>
  </si>
  <si>
    <t>سليمان عبدالله محمد الشهري</t>
  </si>
  <si>
    <t>dextromethorphan hydrobromide, paracetamol, cetirizine hydrochloride</t>
  </si>
  <si>
    <t>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paracetamol 500 mg tablet, paracetamol 500 mg tablet, paracetamol 500 mg tablet, paracetamol 500 mg tablet, paracetamol 500 mg tablet, paracetamol 500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paracetamol 500 mg tablet, paracetamol 500 mg tablet, paracetamol 500 mg tablet, paracetamol 500 mg tablet, paracetamol 500 mg tablet, paracetamol 500 mg tablet,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paracetamol 500 mg tablet, paracetamol 500 mg tablet, paracetamol 500 mg tablet, paracetamol 500 mg tablet, paracetamol 500 mg tablet, paracetamol 500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paracetamol 500 mg tablet, dextromethorphan hydrobromide 15 mg/5 mL oral liquid, paracetamol 500 mg tablet, dextromethorphan hydrobromide 15 mg/5 mL oral liquid, paracetamol 500 mg tablet, dextromethorphan hydrobromide 15 mg/5 mL oral liquid, paracetamol 500 mg tablet, dextromethorphan hydrobromide 15 mg/5 mL oral liquid, paracetamol 500 mg tablet, dextromethorphan hydrobromide 15 mg/5 mL oral liquid, paracetamol 500 mg tablet, dextromethorphan hydrobromide 15 mg/5 mL oral liquid, dextromethorphan hydrobromide 15 mg/5 mL oral liquid, paracetamol 500 mg tablet, dextromethorphan hydrobromide 15 mg/5 mL oral liquid, paracetamol 500 mg tablet, dextromethorphan hydrobromide 15 mg/5 mL oral liquid, paracetamol 500 mg tablet, dextromethorphan hydrobromide 15 mg/5 mL oral liquid, paracetamol 500 mg tablet, dextromethorphan hydrobromide 15 mg/5 mL oral liquid, paracetamol 500 mg tablet, dextromethorphan hydrobromide 15 mg/5 mL oral liquid, paracetamol 500 mg tablet</t>
  </si>
  <si>
    <t>حميد موصل واصل الحمراني</t>
  </si>
  <si>
    <t>dextromethorphan hydrobromide</t>
  </si>
  <si>
    <t>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t>
  </si>
  <si>
    <t>جواهر عبدالرحمن بن حسين الحمراني</t>
  </si>
  <si>
    <t>perindopril arginine, omeprazole, meloxicam, baclofen</t>
  </si>
  <si>
    <t>perindopril arginine 5 mg tablet, perindopril arginine 5 mg tablet, perindopril arginine 5 mg tablet, perindopril arginine 5 mg tablet, perindopril arginine 5 mg tablet, perindopril arginine 5 mg tablet, omeprazole 20 mg tablet: enteric coated, omeprazole 20 mg tablet: enteric coated, omeprazole 20 mg tablet: enteric coated, omeprazole 20 mg tablet: enteric coated, omeprazole 20 mg tablet: enteric coated, omeprazole 20 mg tablet: enteric coated, meloxicam 15 mg tablet, baclofen 10 mg tablet, meloxicam 15 mg tablet, baclofen 10 mg tablet, meloxicam 15 mg tablet, baclofen 10 mg tablet, meloxicam 15 mg tablet, baclofen 10 mg tablet, meloxicam 15 mg tablet, baclofen 10 mg tablet, meloxicam 15 mg tablet, baclofen 10 mg tablet, perindopril arginine 5 mg tablet, perindopril arginine 5 mg tablet, perindopril arginine 5 mg tablet, perindopril arginine 5 mg tablet, perindopril arginine 5 mg tablet, perindopril arginine 5 mg tablet, baclofen 10 mg tablet, omeprazole 20 mg tablet: enteric coated, meloxicam 15 mg tablet, baclofen 10 mg tablet, omeprazole 20 mg tablet: enteric coated, meloxicam 15 mg tablet, baclofen 10 mg tablet, omeprazole 20 mg tablet: enteric coated, meloxicam 15 mg tablet, baclofen 10 mg tablet, omeprazole 20 mg tablet: enteric coated, meloxicam 15 mg tablet, baclofen 10 mg tablet, omeprazole 20 mg tablet: enteric coated, meloxicam 15 mg tablet, baclofen 10 mg tablet, omeprazole 20 mg tablet: enteric coated, meloxicam 15 mg tablet, perindopril arginine 5 mg tablet, perindopril arginine 5 mg tablet, perindopril arginine 5 mg tablet, perindopril arginine 5 mg tablet, perindopril arginine 5 mg tablet, perindopril arginine 5 mg tablet, meloxicam 15 mg tablet, meloxicam 15 mg tablet, meloxicam 15 mg tablet, meloxicam 15 mg tablet, meloxicam 15 mg tablet, meloxicam 15 mg tablet, omeprazole 20 mg tablet: enteric coated, omeprazole 20 mg tablet: enteric coated, omeprazole 20 mg tablet: enteric coated, omeprazole 20 mg tablet: enteric coated, omeprazole 20 mg tablet: enteric coated, omeprazole 20 mg tablet: enteric coated, baclofen 10 mg tablet, baclofen 10 mg tablet, baclofen 10 mg tablet, baclofen 10 mg tablet, baclofen 10 mg tablet, baclofen 10 mg tablet</t>
  </si>
  <si>
    <t>فاطمه غليفص سعد الحمراني</t>
  </si>
  <si>
    <t>acetylsalicylic acid, atorvastatin, vitamin B complex (B, B, insulin glargine, metFORMIN hydrochloride, empagliflozin</t>
  </si>
  <si>
    <t>acetylsalicylic acid 100 mg tablet: enteric coated, acetylsalicylic acid 100 mg tablet: enteric coated, acetylsalicylic acid 100 mg tablet: enteric coated, acetylsalicylic acid 100 mg tablet: enteric coated,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insulin glargine 300 international units/mL injection, 1.5 mL prefilled pen, metFORMIN hydrochloride 500 mg tablet, empagliflozin 25 mg tablet, insulin glargine 300 international units/mL injection, 1.5 mL prefilled pen, metFORMIN hydrochloride 500 mg tablet, empagliflozin 25 mg tablet, insulin glargine 300 international units/mL injection, 1.5 mL prefilled pen, metFORMIN hydrochloride 500 mg tablet, empagliflozin 25 mg tablet, insulin glargine 300 international units/mL injection, 1.5 mL prefilled pen, metFORMIN hydrochloride 500 mg tablet, empagliflozin 25 mg tablet,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insulin glargine 300 international units/mL injection, 1.5 mL prefilled pen, acetylsalicylic acid 100 mg tablet: enteric coated, insulin glargine 300 international units/mL injection, 1.5 mL prefilled pen, acetylsalicylic acid 100 mg tablet: enteric coated, insulin glargine 300 international units/mL injection, 1.5 mL prefilled pen, acetylsalicylic acid 100 mg tablet: enteric coated, insulin glargine 300 international units/mL injection, 1.5 mL prefilled pen, acetylsalicylic acid 100 mg tablet: enteric coated, atorvastatin 20 mg tablet, atorvastatin 20 mg tablet, atorvastatin 20 mg tablet, atorvastatin 20 mg tablet, empagliflozin 25 mg tablet, empagliflozin 25 mg tablet, empagliflozin 25 mg tablet, empagliflozin 25 mg tablet, 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atorvastatin 20 mg tablet, empagliflozin 25 mg tablet, metFORMIN hydrochloride 500 mg tablet, atorvastatin 20 mg tablet, empagliflozin 25 mg tablet, metFORMIN hydrochloride 500 mg tablet, atorvastatin 20 mg tablet, empagliflozin 25 mg tablet, metFORMIN hydrochloride 500 mg tablet, atorvastatin 20 mg tablet, empagliflozin 25 mg tablet, acetylsalicylic acid 100 mg tablet: enteric coated, acetylsalicylic acid 100 mg tablet: enteric coated, acetylsalicylic acid 100 mg tablet: enteric coated, acetylsalicylic acid 100 mg tablet: enteric coated,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t>
  </si>
  <si>
    <t>عبدالله ابن أحمد ابن عبدالعزيز الغامدي</t>
  </si>
  <si>
    <t>Strips (Accu-Check), lidocaine hydrochloride</t>
  </si>
  <si>
    <t>Strips (Accu-Check) 1 box Strip [n/a], Strips (Accu-Check) 1 box Strip [n/a], Strips (Accu-Check) 1 box Strip [n/a], Strips (Accu-Check) 1 box Strip [n/a], Strips (Accu-Check) 1 box Strip [n/a], Strips (Accu-Check) 1 box Strip [n/a], Strips (Accu-Check) 1 box Strip [n/a], lidocaine hydrochloride 2% (20 mg/g) + tribenoside 5% (50 mg/g) rectal ointment, lidocaine hydrochloride 2% (20 mg/g) + tribenoside 5% (50 mg/g) rectal ointment, lidocaine hydrochloride 2% (20 mg/g) + tribenoside 5% (50 mg/g) rectal ointment, lidocaine hydrochloride 2% (20 mg/g) + tribenoside 5% (50 mg/g) rectal ointment, lidocaine hydrochloride 2% (20 mg/g) + tribenoside 5% (50 mg/g) rectal ointment, lidocaine hydrochloride 2% (20 mg/g) + tribenoside 5% (50 mg/g) rectal ointment, lidocaine hydrochloride 2% (20 mg/g) + tribenoside 5% (50 mg/g) rectal ointment, lidocaine hydrochloride 2% (20 mg/g) + tribenoside 5% (50 mg/g) rectal ointment, Strips (Accu-Check) 1 box Strip [n/a], lidocaine hydrochloride 2% (20 mg/g) + tribenoside 5% (50 mg/g) rectal ointment, Strips (Accu-Check) 1 box Strip [n/a], lidocaine hydrochloride 2% (20 mg/g) + tribenoside 5% (50 mg/g) rectal ointment, Strips (Accu-Check) 1 box Strip [n/a], lidocaine hydrochloride 2% (20 mg/g) + tribenoside 5% (50 mg/g) rectal ointment, Strips (Accu-Check) 1 box Strip [n/a], lidocaine hydrochloride 2% (20 mg/g) + tribenoside 5% (50 mg/g) rectal ointment, Strips (Accu-Check) 1 box Strip [n/a], lidocaine hydrochloride 2% (20 mg/g) + tribenoside 5% (50 mg/g) rectal ointment, Strips (Accu-Check) 1 box Strip [n/a], lidocaine hydrochloride 2% (20 mg/g) + tribenoside 5% (50 mg/g) rectal ointment, Strips (Accu-Check) 1 box Strip [n/a], Strips (Accu-Check) 1 box Strip [n/a], Strips (Accu-Check) 1 box Strip [n/a], Strips (Accu-Check) 1 box Strip [n/a], Strips (Accu-Check) 1 box Strip [n/a], Strips (Accu-Check) 1 box Strip [n/a], Strips (Accu-Check) 1 box Strip [n/a], Strips (Accu-Check) 1 box Strip [n/a], lidocaine hydrochloride 2% (20 mg/g) + tribenoside 5% (50 mg/g) rectal ointment, lidocaine hydrochloride 2% (20 mg/g) + tribenoside 5% (50 mg/g) rectal ointment, lidocaine hydrochloride 2% (20 mg/g) + tribenoside 5% (50 mg/g) rectal ointment, lidocaine hydrochloride 2% (20 mg/g) + tribenoside 5% (50 mg/g) rectal ointment, lidocaine hydrochloride 2% (20 mg/g) + tribenoside 5% (50 mg/g) rectal ointment, lidocaine hydrochloride 2% (20 mg/g) + tribenoside 5% (50 mg/g) rectal ointment, lidocaine hydrochloride 2% (20 mg/g) + tribenoside 5% (50 mg/g) rectal ointment</t>
  </si>
  <si>
    <t>عادل عبدالحميد حمدان فيضي</t>
  </si>
  <si>
    <t>insulin glargine (lantus), Lancets (Accu-Check), metFORMIN hydrochloride, vitamin B complex (B, B, colecalciferol, Strips (Accu-Check), SITagliptin</t>
  </si>
  <si>
    <t>insulin glargine (lantus) 100 international units/mL injection, 3 mL prefilled pen, Lancets (Accu-Check) 1 box Lancets [n/a], insulin glargine (lantus) 100 international units/mL injection, 3 mL prefilled pen, Lancets (Accu-Check) 1 box Lancets [n/a], insulin glargine (lantus) 100 international units/mL injection, 3 mL prefilled pen, Lancets (Accu-Check) 1 box Lancets [n/a], metFORMIN hydrochloride 500 mg tablet, vitamin B complex (B1,B6,B12) 100,200,0.2 mg Film coated tablets [oral], colecalciferol 5000 international units Capsules [oral], metFORMIN hydrochloride 500 mg tablet, vitamin B complex (B1,B6,B12) 100,200,0.2 mg Film coated tablets [oral], colecalciferol 5000 international units Capsules [oral], metFORMIN hydrochloride 500 mg tablet, vitamin B complex (B1,B6,B12) 100,200,0.2 mg Film coated tablets [oral], colecalciferol 5000 international units Capsules [oral], Strips (Accu-Check) 1 box Strip [n/a], SITagliptin 100 mg tablet, Strips (Accu-Check) 1 box Strip [n/a], SITagliptin 100 mg tablet, Strips (Accu-Check) 1 box Strip [n/a], SITagliptin 100 mg tablet, metFORMIN hydrochloride 500 mg tablet, metFORMIN hydrochloride 500 mg tablet, metFORMIN hydrochloride 500 mg tablet, Strips (Accu-Check) 1 box Strip [n/a], insulin glargine (lantus) 100 international units/mL injection, 3 mL prefilled pen, colecalciferol 5000 international units Capsules [oral], Lancets (Accu-Check) 1 box Lancets [n/a], Strips (Accu-Check) 1 box Strip [n/a], insulin glargine (lantus) 100 international units/mL injection, 3 mL prefilled pen, colecalciferol 5000 international units Capsules [oral], Lancets (Accu-Check) 1 box Lancets [n/a], Strips (Accu-Check) 1 box Strip [n/a], insulin glargine (lantus) 100 international units/mL injection, 3 mL prefilled pen, colecalciferol 5000 international units Capsules [oral], Lancets (Accu-Check) 1 box Lancets [n/a], SITagliptin 100 mg tablet, vitamin B complex (B1,B6,B12) 100,200,0.2 mg Film coated tablets [oral], SITagliptin 100 mg tablet, vitamin B complex (B1,B6,B12) 100,200,0.2 mg Film coated tablets [oral], SITagliptin 100 mg tablet, vitamin B complex (B1,B6,B12) 100,200,0.2 mg Film coated tablets [oral], Strips (Accu-Check) 1 box Strip [n/a], Strips (Accu-Check) 1 box Strip [n/a], Strips (Accu-Check) 1 box Strip [n/a], Lancets (Accu-Check) 1 box Lancets [n/a], Lancets (Accu-Check) 1 box Lancets [n/a], Lancets (Accu-Check) 1 box Lancets [n/a], SITagliptin 100 mg tablet, metFORMIN hydrochloride 500 mg tablet, colecalciferol 5000 international units Capsules [oral], SITagliptin 100 mg tablet, metFORMIN hydrochloride 500 mg tablet, colecalciferol 5000 international units Capsules [oral], SITagliptin 100 mg tablet, metFORMIN hydrochloride 500 mg tablet, colecalciferol 5000 international units Capsules [oral], insulin glargine (lantus) 100 international units/mL injection, 3 mL prefilled pen, insulin glargine (lantus) 100 international units/mL injection, 3 mL prefilled pen, insulin glargine (lantus) 100 international units/mL injection, 3 mL prefilled pen,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metFORMIN hydrochloride 500 mg tablet, metFORMIN hydrochloride 500 mg tablet, Lancets (Accu-Check) 1 box Lancets [n/a], insulin glargine (lantus) 100 international units/mL injection, 3 mL prefilled pen, Lancets (Accu-Check) 1 box Lancets [n/a], insulin glargine (lantus) 100 international units/mL injection, 3 mL prefilled pen, Lancets (Accu-Check) 1 box Lancets [n/a], insulin glargine (lantus) 100 international units/mL injection, 3 mL prefilled pen, colecalciferol 5000 international units Capsules [oral], SITagliptin 100 mg tablet, Strips (Accu-Check) 1 box Strip [n/a], colecalciferol 5000 international units Capsules [oral], SITagliptin 100 mg tablet, Strips (Accu-Check) 1 box Strip [n/a], colecalciferol 5000 international units Capsules [oral], SITagliptin 100 mg tablet, Strips (Accu-Check) 1 box Strip [n/a]</t>
  </si>
  <si>
    <t>بدرالدين عبدالرحيم محمد حسن</t>
  </si>
  <si>
    <t>metFORMIN hydrochloride, empagliflozin, Glucometer Device (Accu-Chek), linagliptin, amLODIPine, Strips (Accu-Check), rosuvastatin, levothyroxine sodium, Lancets (Accu-Check), vitamin B complex (B</t>
  </si>
  <si>
    <t>metFORMIN hydrochloride 500 mg tablet, empagliflozin 10 mg tablet, metFORMIN hydrochloride 500 mg tablet, empagliflozin 10 mg tablet, metFORMIN hydrochloride 500 mg tablet, empagliflozin 10 mg tablet, metFORMIN hydrochloride 500 mg tablet, empagliflozin 10 mg tablet, Glucometer Device (Accu-Chek) 1 device Device [n/a], linagliptin 5 mg tablet, amLODIPine 5 mg tablet, Glucometer Device (Accu-Chek) 1 device Device [n/a], linagliptin 5 mg tablet, amLODIPine 5 mg tablet, Glucometer Device (Accu-Chek) 1 device Device [n/a], linagliptin 5 mg tablet, amLODIPine 5 mg tablet, Glucometer Device (Accu-Chek) 1 device Device [n/a], linagliptin 5 mg tablet, amLODIPine 5 mg tablet, Strips (Accu-Check) 1 box Strip [n/a], rosuvastatin 20 mg tablet, Strips (Accu-Check) 1 box Strip [n/a], rosuvastatin 20 mg tablet, Strips (Accu-Check) 1 box Strip [n/a], rosuvastatin 20 mg tablet, Strips (Accu-Check) 1 box Strip [n/a], rosuvastatin 20 mg tablet, levothyroxine sodium 25 microgram tablet, levothyroxine sodium 25 microgram tablet, levothyroxine sodium 25 microgram tablet, levothyroxine sodium 25 microgram tablet, Lancets (Accu-Check) 1 box Lancets [n/a], Lancets (Accu-Check) 1 box Lancets [n/a], Lancets (Accu-Check) 1 box Lancets [n/a], Lancets (Accu-Check) 1 box Lancets [n/a], 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metFORMIN hydrochloride 500 mg tablet, metFORMIN hydrochloride 500 mg tablet, metFORMIN hydrochloride 500 mg tablet, empagliflozin 10 mg tablet, Glucometer Device (Accu-Chek) 1 device Device [n/a], linagliptin 5 mg tablet, empagliflozin 10 mg tablet, Glucometer Device (Accu-Chek) 1 device Device [n/a], linagliptin 5 mg tablet, empagliflozin 10 mg tablet, Glucometer Device (Accu-Chek) 1 device Device [n/a], linagliptin 5 mg tablet, empagliflozin 10 mg tablet, Glucometer Device (Accu-Chek) 1 device Device [n/a], linagliptin 5 mg tablet, amLODIPine 5 mg tablet, amLODIPine 5 mg tablet, amLODIPine 5 mg tablet, amLODIPine 5 mg tablet, Strips (Accu-Check) 1 box Strip [n/a], rosuvastatin 20 mg tablet, Strips (Accu-Check) 1 box Strip [n/a], rosuvastatin 20 mg tablet, Strips (Accu-Check) 1 box Strip [n/a], rosuvastatin 20 mg tablet, Strips (Accu-Check) 1 box Strip [n/a], rosuvastatin 20 mg tablet, levothyroxine sodium 25 microgram tablet, levothyroxine sodium 25 microgram tablet, levothyroxine sodium 25 microgram tablet, levothyroxine sodium 25 microgram tablet, vitamin B complex (B1,B6,B12) 100,200,0.2 mg Film coated tablets [oral], vitamin B complex (B1,B6,B12) 100,200,0.2 mg Film coated tablets [oral], vitamin B complex (B1,B6,B12) 100,200,0.2 mg Film coated tablets [oral], vitamin B complex (B1,B6,B12) 100,200,0.2 mg Film coated tablets [oral], Lancets (Accu-Check) 1 box Lancets [n/a], Lancets (Accu-Check) 1 box Lancets [n/a], Lancets (Accu-Check) 1 box Lancets [n/a], Lancets (Accu-Check) 1 box Lancets [n/a]</t>
  </si>
  <si>
    <t>وصال موصل بن واصل الحمراني</t>
  </si>
  <si>
    <t>calamine lotion, mometasone furoate, insulin aspart, insulin glargine (lantus), cetirizine hydrochloride, Insulin Pen Needle, fusidic acid</t>
  </si>
  <si>
    <t>calamine lotion, calamine lotion, calamine lotion, calamine lotion, mometasone furoate 0.1% (1 mg/g) cream, insulin aspart 100 international units/mL injection, 3 mL prefilled pen, mometasone furoate 0.1% (1 mg/g) cream, insulin aspart 100 international units/mL injection, 3 mL prefilled pen, mometasone furoate 0.1% (1 mg/g) cream, insulin aspart 100 international units/mL injection, 3 mL prefilled pen, mometasone furoate 0.1% (1 mg/g) cream, insulin aspart 100 international units/mL injection, 3 mL prefilled pen, insulin glargine (lantus) 100 international units/mL injection, 3 mL prefilled pen, cetirizine hydrochloride 10 mg tablet, Insulin Pen Needle 4mm Needle [sc], insulin glargine (lantus) 100 international units/mL injection, 3 mL prefilled pen, cetirizine hydrochloride 10 mg tablet, Insulin Pen Needle 4mm Needle [sc], insulin glargine (lantus) 100 international units/mL injection, 3 mL prefilled pen, cetirizine hydrochloride 10 mg tablet, Insulin Pen Needle 4mm Needle [sc], insulin glargine (lantus) 100 international units/mL injection, 3 mL prefilled pen, cetirizine hydrochloride 10 mg tablet, Insulin Pen Needle 4mm Needle [sc], fusidic acid 2% (20 mg/g) ointment, fusidic acid 2% (20 mg/g) ointment, fusidic acid 2% (20 mg/g) ointment, fusidic acid 2% (20 mg/g) ointment,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mometasone furoate 0.1% (1 mg/g) cream, insulin aspart 100 international units/mL injection, 3 mL prefilled pen, mometasone furoate 0.1% (1 mg/g) cream, insulin aspart 100 international units/mL injection, 3 mL prefilled pen, mometasone furoate 0.1% (1 mg/g) cream, insulin aspart 100 international units/mL injection, 3 mL prefilled pen, mometasone furoate 0.1% (1 mg/g) cream, insulin aspart 100 international units/mL injection, 3 mL prefilled pen, cetirizine hydrochloride 10 mg tablet, calamine lotion, cetirizine hydrochloride 10 mg tablet, calamine lotion, cetirizine hydrochloride 10 mg tablet, calamine lotion, cetirizine hydrochloride 10 mg tablet, calamine lotion, fusidic acid 2% (20 mg/g) ointment, Insulin Pen Needle 4mm Needle [sc], fusidic acid 2% (20 mg/g) ointment, Insulin Pen Needle 4mm Needle [sc], fusidic acid 2% (20 mg/g) ointment, Insulin Pen Needle 4mm Needle [sc], fusidic acid 2% (20 mg/g) ointment, Insulin Pen Needle 4mm Needle [sc]</t>
  </si>
  <si>
    <t>سالمه سعيد شتيان العصلاني</t>
  </si>
  <si>
    <t>acetylsalicylic acid, atorvastatin, vitamin B complex (B, B, mebeverine hydrochloride, perindopril arginine, glimepiride, amLODIPine, Strips (Accu-Check)</t>
  </si>
  <si>
    <t>acetylsalicylic acid 100 mg tablet: enteric coated, acetylsalicylic acid 100 mg tablet: enteric coated, acetylsalicylic acid 100 mg tablet: enteric coated, acetylsalicylic acid 100 mg tablet: enteric coated, acetylsalicylic acid 100 mg tablet: enteric coated, atorvastatin 20 mg tablet, atorvastatin 20 mg tablet, atorvastatin 20 mg tablet, atorvastatin 20 mg tablet, atorvastatin 20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acetylsalicylic acid 100 mg tablet: enteric coated, acetylsalicylic acid 100 mg tablet: enteric coated, acetylsalicylic acid 100 mg tablet: enteric coated, acetylsalicylic acid 100 mg tablet: enteric coated, acetylsalicylic acid 100 mg tablet: enteric coated, mebeverine hydrochloride 200 mg capsule: modified release, perindopril arginine 5 mg tablet, glimepiride 2 mg tablet, mebeverine hydrochloride 200 mg capsule: modified release, perindopril arginine 5 mg tablet, glimepiride 2 mg tablet, mebeverine hydrochloride 200 mg capsule: modified release, perindopril arginine 5 mg tablet, glimepiride 2 mg tablet, mebeverine hydrochloride 200 mg capsule: modified release, perindopril arginine 5 mg tablet, glimepiride 2 mg tablet, mebeverine hydrochloride 200 mg capsule: modified release, perindopril arginine 5 mg tablet, glimepiride 2 mg tablet, amLODIPine 5 mg tablet, Strips (Accu-Check) 1 box Strip [n/a], amLODIPine 5 mg tablet, Strips (Accu-Check) 1 box Strip [n/a], amLODIPine 5 mg tablet, Strips (Accu-Check) 1 box Strip [n/a], amLODIPine 5 mg tablet, Strips (Accu-Check) 1 box Strip [n/a], amLODIPine 5 mg tablet, Strips (Accu-Check) 1 box Strip [n/a], Strips (Accu-Check) 1 box Strip [n/a], Strips (Accu-Check) 1 box Strip [n/a], Strips (Accu-Check) 1 box Strip [n/a], Strips (Accu-Check) 1 box Strip [n/a], Strips (Accu-Check) 1 box Strip [n/a], vitamin B complex (B1,B6,B12) 100,200,0.2 mg Film coated tablets [oral], perindopril arginine 5 mg tablet, atorvastatin 20 mg tablet, glimepiride 2 mg tablet, vitamin B complex (B1,B6,B12) 100,200,0.2 mg Film coated tablets [oral], perindopril arginine 5 mg tablet, atorvastatin 20 mg tablet, glimepiride 2 mg tablet, vitamin B complex (B1,B6,B12) 100,200,0.2 mg Film coated tablets [oral], perindopril arginine 5 mg tablet, atorvastatin 20 mg tablet, glimepiride 2 mg tablet, vitamin B complex (B1,B6,B12) 100,200,0.2 mg Film coated tablets [oral], perindopril arginine 5 mg tablet, atorvastatin 20 mg tablet, glimepiride 2 mg tablet, vitamin B complex (B1,B6,B12) 100,200,0.2 mg Film coated tablets [oral], perindopril arginine 5 mg tablet, atorvastatin 20 mg tablet, glimepiride 2 mg tablet, amLODIPine 5 mg tablet, mebeverine hydrochloride 200 mg capsule: modified release, acetylsalicylic acid 100 mg tablet: enteric coated, amLODIPine 5 mg tablet, mebeverine hydrochloride 200 mg capsule: modified release, acetylsalicylic acid 100 mg tablet: enteric coated, amLODIPine 5 mg tablet, mebeverine hydrochloride 200 mg capsule: modified release, acetylsalicylic acid 100 mg tablet: enteric coated, amLODIPine 5 mg tablet, mebeverine hydrochloride 200 mg capsule: modified release, acetylsalicylic acid 100 mg tablet: enteric coated, amLODIPine 5 mg tablet, mebeverine hydrochloride 200 mg capsule: modified release, acetylsalicylic acid 100 mg tablet: enteric coated, glimepiride 2 mg tablet, Strips (Accu-Check) 1 box Strip [n/a], amLODIPine 5 mg tablet, glimepiride 2 mg tablet, Strips (Accu-Check) 1 box Strip [n/a], amLODIPine 5 mg tablet, glimepiride 2 mg tablet, Strips (Accu-Check) 1 box Strip [n/a], amLODIPine 5 mg tablet, glimepiride 2 mg tablet, Strips (Accu-Check) 1 box Strip [n/a], amLODIPine 5 mg tablet, glimepiride 2 mg tablet, Strips (Accu-Check) 1 box Strip [n/a], amLODIPine 5 mg tablet, atorvastatin 20 mg tablet, acetylsalicylic acid 100 mg tablet: enteric coated, mebeverine hydrochloride 200 mg capsule: modified release, atorvastatin 20 mg tablet, acetylsalicylic acid 100 mg tablet: enteric coated, mebeverine hydrochloride 200 mg capsule: modified release, atorvastatin 20 mg tablet, acetylsalicylic acid 100 mg tablet: enteric coated, mebeverine hydrochloride 200 mg capsule: modified release, atorvastatin 20 mg tablet, acetylsalicylic acid 100 mg tablet: enteric coated, mebeverine hydrochloride 200 mg capsule: modified release, atorvastatin 20 mg tablet, acetylsalicylic acid 100 mg tablet: enteric coated, mebeverine hydrochloride 200 mg capsule: modified release, perindopril arginine 5 mg tablet, vitamin B complex (B1,B6,B12) 100,200,0.2 mg Film coated tablets [oral], perindopril arginine 5 mg tablet, vitamin B complex (B1,B6,B12) 100,200,0.2 mg Film coated tablets [oral], perindopril arginine 5 mg tablet, vitamin B complex (B1,B6,B12) 100,200,0.2 mg Film coated tablets [oral], perindopril arginine 5 mg tablet, vitamin B complex (B1,B6,B12) 100,200,0.2 mg Film coated tablets [oral], perindopril arginine 5 mg tablet, vitamin B complex (B1,B6,B12) 100,200,0.2 mg Film coated tablets [oral], Strips (Accu-Check) 1 box Strip [n/a], Strips (Accu-Check) 1 box Strip [n/a], Strips (Accu-Check) 1 box Strip [n/a], Strips (Accu-Check) 1 box Strip [n/a], Strips (Accu-Check) 1 box Strip [n/a], glimepiride 2 mg tablet, mebeverine hydrochloride 200 mg capsule: modified release, glimepiride 2 mg tablet, mebeverine hydrochloride 200 mg capsule: modified release, glimepiride 2 mg tablet, mebeverine hydrochloride 200 mg capsule: modified release, glimepiride 2 mg tablet, mebeverine hydrochloride 200 mg capsule: modified release, glimepiride 2 mg tablet, mebeverine hydrochloride 200 mg capsule: modified release, perindopril arginine 5 mg tablet, atorvastatin 20 mg tablet, perindopril arginine 5 mg tablet, atorvastatin 20 mg tablet, perindopril arginine 5 mg tablet, atorvastatin 20 mg tablet, perindopril arginine 5 mg tablet, atorvastatin 20 mg tablet, perindopril arginine 5 mg tablet, atorvastatin 20 mg tablet, amLODIPine 5 mg tablet, amLODIPine 5 mg tablet, amLODIPine 5 mg tablet, amLODIPine 5 mg tablet, amLODIPine 5 mg tablet, vitamin B complex (B1,B6,B12) 100,200,0.2 mg Film coated tablets [oral], acetylsalicylic acid 100 mg tablet: enteric coated, vitamin B complex (B1,B6,B12) 100,200,0.2 mg Film coated tablets [oral], acetylsalicylic acid 100 mg tablet: enteric coated, vitamin B complex (B1,B6,B12) 100,200,0.2 mg Film coated tablets [oral], acetylsalicylic acid 100 mg tablet: enteric coated, vitamin B complex (B1,B6,B12) 100,200,0.2 mg Film coated tablets [oral], acetylsalicylic acid 100 mg tablet: enteric coated, vitamin B complex (B1,B6,B12) 100,200,0.2 mg Film coated tablets [oral], acetylsalicylic acid 100 mg tablet: enteric coated, perindopril arginine 5 mg tablet, perindopril arginine 5 mg tablet, perindopril arginine 5 mg tablet, perindopril arginine 5 mg tablet, perindopril arginine 5 mg tablet, mebeverine hydrochloride 200 mg capsule: modified release, atorvastatin 20 mg tablet, mebeverine hydrochloride 200 mg capsule: modified release, atorvastatin 20 mg tablet, mebeverine hydrochloride 200 mg capsule: modified release, atorvastatin 20 mg tablet, mebeverine hydrochloride 200 mg capsule: modified release, atorvastatin 20 mg tablet, mebeverine hydrochloride 200 mg capsule: modified release, atorvastatin 20 mg tablet, amLODIPine 5 mg tablet, vitamin B complex (B1,B6,B12) 100,200,0.2 mg Film coated tablets [oral], Strips (Accu-Check) 1 box Strip [n/a], glimepiride 2 mg tablet, amLODIPine 5 mg tablet, vitamin B complex (B1,B6,B12) 100,200,0.2 mg Film coated tablets [oral], Strips (Accu-Check) 1 box Strip [n/a], glimepiride 2 mg tablet, amLODIPine 5 mg tablet, vitamin B complex (B1,B6,B12) 100,200,0.2 mg Film coated tablets [oral], Strips (Accu-Check) 1 box Strip [n/a], glimepiride 2 mg tablet, amLODIPine 5 mg tablet, vitamin B complex (B1,B6,B12) 100,200,0.2 mg Film coated tablets [oral], Strips (Accu-Check) 1 box Strip [n/a], glimepiride 2 mg tablet, amLODIPine 5 mg tablet, vitamin B complex (B1,B6,B12) 100,200,0.2 mg Film coated tablets [oral], Strips (Accu-Check) 1 box Strip [n/a], glimepiride 2 mg tablet</t>
  </si>
  <si>
    <t>عوجان عيد راشد العتيبي</t>
  </si>
  <si>
    <t>levothyroxine sodium, atorvastatin, metFORMIN hydrochloride, bisoprolol fumarate, bisacodyl, vitamin B complex (B, B, vitamins (A, C, D</t>
  </si>
  <si>
    <t>levothyroxine sodium 50 microgram tablet, atorvastatin 20 mg tablet, levothyroxine sodium 50 microgram tablet, atorvastatin 20 mg tablet, levothyroxine sodium 50 microgram tablet, atorvastatin 20 mg tablet, levothyroxine sodium 50 microgram tablet, atorvastatin 20 mg tablet, metFORMIN hydrochloride 500 mg tablet, bisoprolol fumarate 5 mg tablet, metFORMIN hydrochloride 500 mg tablet, bisoprolol fumarate 5 mg tablet, metFORMIN hydrochloride 500 mg tablet, bisoprolol fumarate 5 mg tablet, metFORMIN hydrochloride 500 mg tablet, bisoprolol fumarate 5 mg tablet, bisacodyl 5 mg tablet: enteric-coated, vitamin B complex (B1,B6,B12) 100,200,0.2 mg Film coated tablets [oral], vitamins (A, B1, B2, B3, C, D3) tablet, atorvastatin 10 mg tablet, omeprazole 20 mg tablet: enteric coated, acetylsalicylic acid 100 mg tablet: enteric coated, bisacodyl 5 mg tablet: enteric-coated, vitamin B complex (B1,B6,B12) 100,200,0.2 mg Film coated tablets [oral], vitamins (A, B1, B2, B3, C, D3) tablet, atorvastatin 10 mg tablet, omeprazole 20 mg tablet: enteric coated, acetylsalicylic acid 100 mg tablet: enteric coated, bisacodyl 5 mg tablet: enteric-coated, vitamin B complex (B1,B6,B12) 100,200,0.2 mg Film coated tablets [oral], vitamins (A, B1, B2, B3, C, D3) tablet, atorvastatin 10 mg tablet, omeprazole 20 mg tablet: enteric coated, acetylsalicylic acid 100 mg tablet: enteric coated, bisacodyl 5 mg tablet: enteric-coated, vitamin B complex (B1,B6,B12) 100,200,0.2 mg Film coated tablets [oral], vitamins (A, B1, B2, B3, C, D3) tablet, atorvastatin 10 mg tablet, omeprazole 20 mg tablet: enteric coated, acetylsalicylic acid 100 mg tablet: enteric coated, apixaban 5 mg tablet, apixaban 5 mg tablet, apixaban 5 mg tablet, apixaban 5 mg tablet, levothyroxine sodium 50 microgram tablet, atorvastatin 20 mg tablet, acetylsalicylic acid 100 mg tablet: enteric coated, apixaban 5 mg tablet, bisacodyl 5 mg tablet: enteric-coated, vitamin B complex (B1,B6,B12) 100,200,0.2 mg Film coated tablets [oral], metFORMIN hydrochloride 500 mg tablet, omeprazole 20 mg tablet: enteric coated, vitamins (A, B1, B2, B3, C, D3) tablet, atorvastatin 10 mg tablet, bisoprolol fumarate 5 mg tablet, levothyroxine sodium 50 microgram tablet, atorvastatin 20 mg tablet, acetylsalicylic acid 100 mg tablet: enteric coated, apixaban 5 mg tablet, bisacodyl 5 mg tablet: enteric-coated, vitamin B complex (B1,B6,B12) 100,200,0.2 mg Film coated tablets [oral], metFORMIN hydrochloride 500 mg tablet, omeprazole 20 mg tablet: enteric coated, vitamins (A, B1, B2, B3, C, D3) tablet, atorvastatin 10 mg tablet, bisoprolol fumarate 5 mg tablet, levothyroxine sodium 50 microgram tablet, atorvastatin 20 mg tablet, acetylsalicylic acid 100 mg tablet: enteric coated, apixaban 5 mg tablet, bisacodyl 5 mg tablet: enteric-coated, vitamin B complex (B1,B6,B12) 100,200,0.2 mg Film coated tablets [oral], metFORMIN hydrochloride 500 mg tablet, omeprazole 20 mg tablet: enteric coated, vitamins (A, B1, B2, B3, C, D3) tablet, atorvastatin 10 mg tablet, bisoprolol fumarate 5 mg tablet, levothyroxine sodium 50 microgram tablet, atorvastatin 20 mg tablet, acetylsalicylic acid 100 mg tablet: enteric coated, apixaban 5 mg tablet, bisacodyl 5 mg tablet: enteric-coated, vitamin B complex (B1,B6,B12) 100,200,0.2 mg Film coated tablets [oral], metFORMIN hydrochloride 500 mg tablet, omeprazole 20 mg tablet: enteric coated, vitamins (A, B1, B2, B3, C, D3) tablet, atorvastatin 10 mg tablet, bisoprolol fumarate 5 mg tablet, apixaban 5 mg tablet, vitamins (A, B1, B2, B3, C, D3) tablet, atorvastatin 10 mg tablet, acetylsalicylic acid 100 mg tablet: enteric coated, apixaban 5 mg tablet, vitamins (A, B1, B2, B3, C, D3) tablet, atorvastatin 10 mg tablet, acetylsalicylic acid 100 mg tablet: enteric coated, apixaban 5 mg tablet, vitamins (A, B1, B2, B3, C, D3) tablet, atorvastatin 10 mg tablet, acetylsalicylic acid 100 mg tablet: enteric coated, apixaban 5 mg tablet, vitamins (A, B1, B2, B3, C, D3) tablet, atorvastatin 10 mg tablet, acetylsalicylic acid 100 mg tablet: enteric coated, omeprazole 20 mg tablet: enteric coated, atorvastatin 20 mg tablet, bisoprolol fumarate 5 mg tablet, bisacodyl 5 mg tablet: enteric-coated, metFORMIN hydrochloride 500 mg tablet, vitamin B complex (B1,B6,B12) 100,200,0.2 mg Film coated tablets [oral], levothyroxine sodium 50 microgram tablet, omeprazole 20 mg tablet: enteric coated, atorvastatin 20 mg tablet, bisoprolol fumarate 5 mg tablet, bisacodyl 5 mg tablet: enteric-coated, metFORMIN hydrochloride 500 mg tablet, vitamin B complex (B1,B6,B12) 100,200,0.2 mg Film coated tablets [oral], levothyroxine sodium 50 microgram tablet, omeprazole 20 mg tablet: enteric coated, atorvastatin 20 mg tablet, bisoprolol fumarate 5 mg tablet, bisacodyl 5 mg tablet: enteric-coated, metFORMIN hydrochloride 500 mg tablet, vitamin B complex (B1,B6,B12) 100,200,0.2 mg Film coated tablets [oral], levothyroxine sodium 50 microgram tablet, omeprazole 20 mg tablet: enteric coated, atorvastatin 20 mg tablet, bisoprolol fumarate 5 mg tablet, bisacodyl 5 mg tablet: enteric-coated, metFORMIN hydrochloride 500 mg tablet, vitamin B complex (B1,B6,B12) 100,200,0.2 mg Film coated tablets [oral], levothyroxine sodium 50 microgram tablet, atorvastatin 20 mg tablet, vitamins (A, B1, B2, B3, C, D3) tablet, levothyroxine sodium 50 microgram tablet, atorvastatin 10 mg tablet, vitamin B complex (B1,B6,B12) 100,200,0.2 mg Film coated tablets [oral], bisoprolol fumarate 5 mg tablet, atorvastatin 20 mg tablet, vitamins (A, B1, B2, B3, C, D3) tablet, levothyroxine sodium 50 microgram tablet, atorvastatin 10 mg tablet, vitamin B complex (B1,B6,B12) 100,200,0.2 mg Film coated tablets [oral], bisoprolol fumarate 5 mg tablet, atorvastatin 20 mg tablet, vitamins (A, B1, B2, B3, C, D3) tablet, levothyroxine sodium 50 microgram tablet, atorvastatin 10 mg tablet, vitamin B complex (B1,B6,B12) 100,200,0.2 mg Film coated tablets [oral], bisoprolol fumarate 5 mg tablet, atorvastatin 20 mg tablet, vitamins (A, B1, B2, B3, C, D3) tablet, levothyroxine sodium 50 microgram tablet, atorvastatin 10 mg tablet, vitamin B complex (B1,B6,B12) 100,200,0.2 mg Film coated tablets [oral], bisoprolol fumarate 5 mg tablet, omeprazole 20 mg tablet: enteric coated, bisacodyl 5 mg tablet: enteric-coated, acetylsalicylic acid 100 mg tablet: enteric coated, metFORMIN hydrochloride 500 mg tablet, omeprazole 20 mg tablet: enteric coated, bisacodyl 5 mg tablet: enteric-coated, acetylsalicylic acid 100 mg tablet: enteric coated, metFORMIN hydrochloride 500 mg tablet, omeprazole 20 mg tablet: enteric coated, bisacodyl 5 mg tablet: enteric-coated, acetylsalicylic acid 100 mg tablet: enteric coated, metFORMIN hydrochloride 500 mg tablet, omeprazole 20 mg tablet: enteric coated, bisacodyl 5 mg tablet: enteric-coated, acetylsalicylic acid 100 mg tablet: enteric coated, metFORMIN hydrochloride 500 mg tablet, apixaban 5 mg tablet, apixaban 5 mg tablet, apixaban 5 mg tablet, apixaban 5 mg tablet</t>
  </si>
  <si>
    <t>مزنه بريك سعودالخراص العتيبي</t>
  </si>
  <si>
    <t>paracetamol 500 mg tablet, paracetamol 500 mg tablet, paracetamol 500 mg tablet, paracetamol 500 mg tablet, paracetamol 500 mg tablet, paracetamol 500 mg tablet, paracetamol 500 mg tablet, diclofenac sodium 1% (10 mg/g) gel, paracetamol 500 mg tablet, diclofenac sodium 1% (10 mg/g) gel, paracetamol 500 mg tablet, diclofenac sodium 1% (10 mg/g) gel, paracetamol 500 mg tablet, diclofenac sodium 1% (10 mg/g) gel, paracetamol 500 mg tablet, diclofenac sodium 1% (10 mg/g) gel, paracetamol 500 mg tablet, diclofenac sodium 1% (10 mg/g) gel, diclofenac sodium 1% (10 mg/g) gel, diclofenac sodium 1% (10 mg/g) gel, diclofenac sodium 1% (10 mg/g) gel, diclofenac sodium 1% (10 mg/g) gel, diclofenac sodium 1% (10 mg/g) gel, diclofenac sodium 1% (10 mg/g) gel, paracetamol 500 mg tablet, paracetamol 500 mg tablet, paracetamol 500 mg tablet, paracetamol 500 mg tablet, paracetamol 500 mg tablet, paracetamol 500 mg tablet, diclofenac sodium 1% (10 mg/g) gel, diclofenac sodium 1% (10 mg/g) gel, diclofenac sodium 1% (10 mg/g) gel, diclofenac sodium 1% (10 mg/g) gel, diclofenac sodium 1% (10 mg/g) gel, diclofenac sodium 1% (10 mg/g) gel, diclofenac sodium 1% (10 mg/g) gel, paracetamol 500 mg tablet, diclofenac sodium 1% (10 mg/g) gel, paracetamol 500 mg tablet, diclofenac sodium 1% (10 mg/g) gel, paracetamol 500 mg tablet, diclofenac sodium 1% (10 mg/g) gel, paracetamol 500 mg tablet, diclofenac sodium 1% (10 mg/g) gel, paracetamol 500 mg tablet, diclofenac sodium 1% (10 mg/g) gel, paracetamol 500 mg tablet, paracetamol 500 mg tablet, diclofenac sodium 1% (10 mg/g) gel, paracetamol 500 mg tablet, diclofenac sodium 1% (10 mg/g) gel, paracetamol 500 mg tablet, diclofenac sodium 1% (10 mg/g) gel, paracetamol 500 mg tablet, diclofenac sodium 1% (10 mg/g) gel, paracetamol 500 mg tablet, diclofenac sodium 1% (10 mg/g) gel, paracetamol 500 mg tablet, diclofenac sodium 1% (10 mg/g) gel, paracetamol 500 mg tablet, paracetamol 500 mg tablet, paracetamol 500 mg tablet, paracetamol 500 mg tablet, paracetamol 500 mg tablet, paracetamol 500 mg tablet, diclofenac sodium 1% (10 mg/g) gel, diclofenac sodium 1% (10 mg/g) gel, diclofenac sodium 1% (10 mg/g) gel, diclofenac sodium 1% (10 mg/g) gel, diclofenac sodium 1% (10 mg/g) gel, diclofenac sodium 1% (10 mg/g) gel, paracetamol 500 mg tablet, paracetamol 500 mg tablet, paracetamol 500 mg tablet, paracetamol 500 mg tablet, paracetamol 500 mg tablet, paracetamol 500 mg tablet, diclofenac sodium 1% (10 mg/g) gel, diclofenac sodium 1% (10 mg/g) gel, diclofenac sodium 1% (10 mg/g) gel, diclofenac sodium 1% (10 mg/g) gel, diclofenac sodium 1% (10 mg/g) gel, diclofenac sodium 1% (10 mg/g) gel, paracetamol 500 mg tablet, paracetamol 500 mg tablet, paracetamol 500 mg tablet, paracetamol 500 mg tablet, paracetamol 500 mg tablet, paracetamol 500 mg tablet</t>
  </si>
  <si>
    <t>روان عيد العمري</t>
  </si>
  <si>
    <t>هدي سعيد صالح الغامدي</t>
  </si>
  <si>
    <t>paracetamol, cetirizine hydrochloride</t>
  </si>
  <si>
    <t>paracetamol 500 mg + codeine phosphate 8 mg + caffeine 30 mg tablet, cetirizine hydrochloride 10 mg tablet, paracetamol 500 mg + codeine phosphate 8 mg + caffeine 30 mg tablet, cetirizine hydrochloride 10 mg tablet, cetirizine hydrochloride 10 mg tablet, cetirizine hydrochloride 10 mg tablet, paracetamol 500 mg + codeine phosphate 8 mg + caffeine 30 mg tablet, paracetamol 500 mg + codeine phosphate 8 mg + caffeine 30 mg tablet, paracetamol 500 mg + codeine phosphate 8 mg + caffeine 30 mg tablet, cetirizine hydrochloride 10 mg tablet, paracetamol 500 mg + codeine phosphate 8 mg + caffeine 30 mg tablet, cetirizine hydrochloride 10 mg tablet, cetirizine hydrochloride 10 mg tablet, cetirizine hydrochloride 10 mg tablet, paracetamol 500 mg + codeine phosphate 8 mg + caffeine 30 mg tablet, paracetamol 500 mg + codeine phosphate 8 mg + caffeine 30 mg tablet</t>
  </si>
  <si>
    <t>عرينه احمد عبدالفتاح الشيمي</t>
  </si>
  <si>
    <t>perindopril arginine, acetylsalicylic acid, budesonide</t>
  </si>
  <si>
    <t>perindopril arginine 5 mg tablet, acetylsalicylic acid 100 mg tablet: enteric coated, budesonide 500 microgram/mL inhalation: solution, 2 mL ampoule, perindopril arginine 5 mg tablet, acetylsalicylic acid 100 mg tablet: enteric coated, budesonide 500 microgram/mL inhalation: solution, 2 mL ampoule, perindopril arginine 5 mg tablet, acetylsalicylic acid 100 mg tablet: enteric coated, budesonide 500 microgram/mL inhalation: solution, 2 mL ampoule, perindopril arginine 5 mg tablet, acetylsalicylic acid 100 mg tablet: enteric coated, budesonide 500 microgram/mL inhalation: solution, 2 mL ampoule, perindopril arginine 5 mg tablet, acetylsalicylic acid 100 mg tablet: enteric coated, budesonide 500 microgram/mL inhalation: solution, 2 mL ampoule, perindopril arginine 5 mg tablet, acetylsalicylic acid 100 mg tablet: enteric coated, perindopril arginine 5 mg tablet, acetylsalicylic acid 100 mg tablet: enteric coated, perindopril arginine 5 mg tablet, acetylsalicylic acid 100 mg tablet: enteric coated, perindopril arginine 5 mg tablet, acetylsalicylic acid 100 mg tablet: enteric coated, perindopril arginine 5 mg tablet, acetylsalicylic acid 100 mg tablet: enteric coated, budesonide 500 microgram/mL inhalation: solution, 2 mL ampoule, budesonide 500 microgram/mL inhalation: solution, 2 mL ampoule, budesonide 500 microgram/mL inhalation: solution, 2 mL ampoule, budesonide 500 microgram/mL inhalation: solution, 2 mL ampoule, budesonide 500 microgram/mL inhalation: solution, 2 mL ampoule, budesonide 500 microgram/mL inhalation: solution, 2 mL ampoule, acetylsalicylic acid 100 mg tablet: enteric coated, perindopril arginine 5 mg tablet, budesonide 500 microgram/mL inhalation: solution, 2 mL ampoule, acetylsalicylic acid 100 mg tablet: enteric coated, perindopril arginine 5 mg tablet, budesonide 500 microgram/mL inhalation: solution, 2 mL ampoule, acetylsalicylic acid 100 mg tablet: enteric coated, perindopril arginine 5 mg tablet, budesonide 500 microgram/mL inhalation: solution, 2 mL ampoule, acetylsalicylic acid 100 mg tablet: enteric coated, perindopril arginine 5 mg tablet, budesonide 500 microgram/mL inhalation: solution, 2 mL ampoule, acetylsalicylic acid 100 mg tablet: enteric coated, perindopril arginine 5 mg tablet</t>
  </si>
  <si>
    <t>محمد عبدالوهاب عبدالدائم احمد</t>
  </si>
  <si>
    <t>escitalopram, SITagliptin, mebeverine hydrochloride, metFORMIN hydrochloride, omeprazole, levothyroxine sodium, rosuvastatin, empagliflozin</t>
  </si>
  <si>
    <t>escitalopram 10 mg tablet, SITagliptin 100 mg tablet, escitalopram 10 mg tablet, SITagliptin 100 mg tablet, mebeverine hydrochloride 200 mg capsule: modified release, mebeverine hydrochloride 200 mg capsule: modified release, metFORMIN hydrochloride 500 mg tablet, omeprazole 20 mg tablet: enteric coated, levothyroxine sodium 25 microgram tablet, metFORMIN hydrochloride 500 mg tablet, omeprazole 20 mg tablet: enteric coated, levothyroxine sodium 25 microgram tablet, rosuvastatin 20 mg tablet, rosuvastatin 20 mg tablet, omeprazole 20 mg tablet: enteric coated, levothyroxine sodium 25 microgram tablet, rosuvastatin 20 mg tablet, omeprazole 20 mg tablet: enteric coated, levothyroxine sodium 25 microgram tablet, rosuvastatin 20 mg tablet, empagliflozin 25 mg tablet, empagliflozin 25 mg tablet, mebeverine hydrochloride 200 mg capsule: modified release, mebeverine hydrochloride 200 mg capsule: modified release, escitalopram 10 mg tablet, SITagliptin 100 mg tablet, escitalopram 10 mg tablet, SITagliptin 100 mg tablet, metFORMIN hydrochloride 500 mg tablet, metFORMIN hydrochloride 500 mg tablet, SITagliptin 100 mg tablet, escitalopram 10 mg tablet, SITagliptin 100 mg tablet, escitalopram 10 mg tablet, rosuvastatin 20 mg tablet, rosuvastatin 20 mg tablet, levothyroxine sodium 25 microgram tablet, mebeverine hydrochloride 200 mg capsule: modified release, empagliflozin 25 mg tablet, levothyroxine sodium 25 microgram tablet, mebeverine hydrochloride 200 mg capsule: modified release, empagliflozin 25 mg tablet, empagliflozin 25 mg tablet, empagliflozin 25 mg tablet, omeprazole 20 mg tablet: enteric coated, omeprazole 20 mg tablet: enteric coated, metFORMIN hydrochloride 500 mg tablet, metFORMIN hydrochloride 500 mg tablet, escitalopram 10 mg tablet, escitalopram 10 mg tablet, SITagliptin 100 mg tablet, SITagliptin 100 mg tablet, levothyroxine sodium 25 microgram tablet, omeprazole 20 mg tablet: enteric coated, empagliflozin 25 mg tablet, mebeverine hydrochloride 200 mg capsule: modified release, levothyroxine sodium 25 microgram tablet, omeprazole 20 mg tablet: enteric coated, empagliflozin 25 mg tablet, mebeverine hydrochloride 200 mg capsule: modified release, metFORMIN hydrochloride 500 mg tablet, metFORMIN hydrochloride 500 mg tablet, rosuvastatin 20 mg tablet, rosuvastatin 20 mg tablet</t>
  </si>
  <si>
    <t>Diabetes, Dyslipidemia, GI/PPI, Thyroid</t>
  </si>
  <si>
    <t>توفيق احمد عبدالله الزهراني</t>
  </si>
  <si>
    <t>budesonide 64 microgram/actuation nasal spray, budesonide 64 microgram/actuation nasal spray, budesonide 64 microgram/actuation nasal spray, budesonide 64 microgram/actuation nasal spray, budesonide 64 microgram/actuation nasal spray, budesonide 64 microgram/actuation nasal spray, budesonide 64 microgram/actuation nasal spray, budesonide 64 microgram/actuation nasal spray, budesonide 64 microgram/actuation nasal spray, budesonide 64 microgram/actuation nasal spray, budesonide 64 microgram/actuation nasal spray, budesonide 64 microgram/actuation nasal spray</t>
  </si>
  <si>
    <t>عائشه محمدشحاته جمعه حسن</t>
  </si>
  <si>
    <t>اريج صالح بن خضر محمد</t>
  </si>
  <si>
    <t>folic acid</t>
  </si>
  <si>
    <t>folic acid 1 mg tablet, folic acid 1 mg tablet, folic acid 1 mg tablet, folic acid 1 mg tablet, folic acid 1 mg tablet, folic acid 1 mg tablet, folic acid 1 mg tablet, folic acid 1 mg tablet, folic acid 1 mg tablet, folic acid 1 mg tablet, folic acid 1 mg tablet, folic acid 1 mg tablet, folic acid 1 mg tablet, folic acid 1 mg tablet, folic acid 1 mg tablet</t>
  </si>
  <si>
    <t>عائشه جامع محمد عثمان</t>
  </si>
  <si>
    <t>atorvastatin, metFORMIN hydrochloride, acetylsalicylic acid, colecalciferol, vitamin B complex (B, B, glimepiride</t>
  </si>
  <si>
    <t>atorvastatin 10 mg tablet, metFORMIN hydrochloride 500 mg tablet, acetylsalicylic acid 100 mg tablet: enteric coated, atorvastatin 10 mg tablet, metFORMIN hydrochloride 500 mg tablet, acetylsalicylic acid 100 mg tablet: enteric coated, atorvastatin 10 mg tablet, metFORMIN hydrochloride 500 mg tablet, acetylsalicylic acid 100 mg tablet: enteric coated, atorvastatin 10 mg tablet, metFORMIN hydrochloride 500 mg tablet, acetylsalicylic acid 100 mg tablet: enteric coated, atorvastatin 10 mg tablet, metFORMIN hydrochloride 500 mg tablet, acetylsalicylic acid 100 mg tablet: enteric coated, colecalciferol 50 000 international units tablet, colecalciferol 50 000 international units tablet, colecalciferol 50 000 international units tablet, colecalciferol 50 000 international units tablet, colecalciferol 50 000 international units tablet, vitamin B complex (B1,B6,B12) 100,200,0.2 mg Film coated tablets [oral], glimepiride 2 mg tablet, vitamin B complex (B1,B6,B12) 100,200,0.2 mg Film coated tablets [oral], glimepiride 2 mg tablet, vitamin B complex (B1,B6,B12) 100,200,0.2 mg Film coated tablets [oral], glimepiride 2 mg tablet, vitamin B complex (B1,B6,B12) 100,200,0.2 mg Film coated tablets [oral], glimepiride 2 mg tablet, vitamin B complex (B1,B6,B12) 100,200,0.2 mg Film coated tablets [oral], glimepiride 2 mg tablet, metFORMIN hydrochloride 500 mg tablet, metFORMIN hydrochloride 500 mg tablet, metFORMIN hydrochloride 500 mg tablet, metFORMIN hydrochloride 500 mg tablet, metFORMIN hydrochloride 500 mg tablet, glimepiride 2 mg tablet, colecalciferol 50 000 international units tablet, atorvastatin 10 mg tablet, glimepiride 2 mg tablet, colecalciferol 50 000 international units tablet, atorvastatin 10 mg tablet, glimepiride 2 mg tablet, colecalciferol 50 000 international units tablet, atorvastatin 10 mg tablet, glimepiride 2 mg tablet, colecalciferol 50 000 international units tablet, atorvastatin 10 mg tablet, glimepiride 2 mg tablet, colecalciferol 50 000 international units tablet, atorvastatin 10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acetylsalicylic acid 100 mg tablet: enteric coated, acetylsalicylic acid 100 mg tablet: enteric coated, acetylsalicylic acid 100 mg tablet: enteric coated, acetylsalicylic acid 100 mg tablet: enteric coated, acetylsalicylic acid 100 mg tablet: enteric coated, atorvastatin 10 mg tablet, glimepiride 2 mg tablet, atorvastatin 10 mg tablet, glimepiride 2 mg tablet, atorvastatin 10 mg tablet, glimepiride 2 mg tablet, atorvastatin 10 mg tablet, glimepiride 2 mg tablet, atorvastatin 10 mg tablet, glimepiride 2 mg tablet, metFORMIN hydrochloride 500 mg tablet, acetylsalicylic acid 100 mg tablet: enteric coated, metFORMIN hydrochloride 500 mg tablet, acetylsalicylic acid 100 mg tablet: enteric coated, metFORMIN hydrochloride 500 mg tablet, acetylsalicylic acid 100 mg tablet: enteric coated, metFORMIN hydrochloride 500 mg tablet, acetylsalicylic acid 100 mg tablet: enteric coated, metFORMIN hydrochloride 500 mg tablet, acetylsalicylic acid 100 mg tablet: enteric coated, colecalciferol 50 000 international units tablet, vitamin B complex (B1,B6,B12) 100,200,0.2 mg Film coated tablets [oral], colecalciferol 50 000 international units tablet, vitamin B complex (B1,B6,B12) 100,200,0.2 mg Film coated tablets [oral], colecalciferol 50 000 international units tablet, vitamin B complex (B1,B6,B12) 100,200,0.2 mg Film coated tablets [oral], colecalciferol 50 000 international units tablet, vitamin B complex (B1,B6,B12) 100,200,0.2 mg Film coated tablets [oral], colecalciferol 50 000 international units tablet, vitamin B complex (B1,B6,B12) 100,200,0.2 mg Film coated tablets [oral], metFORMIN hydrochloride 500 mg tablet, colecalciferol 50 000 international units tablet, metFORMIN hydrochloride 500 mg tablet, colecalciferol 50 000 international units tablet, metFORMIN hydrochloride 500 mg tablet, colecalciferol 50 000 international units tablet, metFORMIN hydrochloride 500 mg tablet, colecalciferol 50 000 international units tablet, metFORMIN hydrochloride 500 mg tablet, colecalciferol 50 000 international units tablet, glimepiride 2 mg tablet, atorvastatin 10 mg tablet, vitamin B complex (B1,B6,B12) 100,200,0.2 mg Film coated tablets [oral], glimepiride 2 mg tablet, atorvastatin 10 mg tablet, vitamin B complex (B1,B6,B12) 100,200,0.2 mg Film coated tablets [oral], glimepiride 2 mg tablet, atorvastatin 10 mg tablet, vitamin B complex (B1,B6,B12) 100,200,0.2 mg Film coated tablets [oral], glimepiride 2 mg tablet, atorvastatin 10 mg tablet, vitamin B complex (B1,B6,B12) 100,200,0.2 mg Film coated tablets [oral], glimepiride 2 mg tablet, atorvastatin 10 mg tablet, vitamin B complex (B1,B6,B12) 100,200,0.2 mg Film coated tablets [oral], acetylsalicylic acid 100 mg tablet: enteric coated, acetylsalicylic acid 100 mg tablet: enteric coated, acetylsalicylic acid 100 mg tablet: enteric coated, acetylsalicylic acid 100 mg tablet: enteric coated, acetylsalicylic acid 100 mg tablet: enteric coated, metFORMIN hydrochloride 500 mg tablet, glimepiride 2 mg tablet, colecalciferol 50 000 international units tablet, atorvastatin 10 mg tablet, metFORMIN hydrochloride 500 mg tablet, glimepiride 2 mg tablet, colecalciferol 50 000 international units tablet, atorvastatin 10 mg tablet, metFORMIN hydrochloride 500 mg tablet, glimepiride 2 mg tablet, colecalciferol 50 000 international units tablet, atorvastatin 10 mg tablet, metFORMIN hydrochloride 500 mg tablet, glimepiride 2 mg tablet, colecalciferol 50 000 international units tablet, atorvastatin 10 mg tablet, metFORMIN hydrochloride 500 mg tablet, glimepiride 2 mg tablet, colecalciferol 50 000 international units tablet, atorvastatin 10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acetylsalicylic acid 100 mg tablet: enteric coated, acetylsalicylic acid 100 mg tablet: enteric coated, acetylsalicylic acid 100 mg tablet: enteric coated, acetylsalicylic acid 100 mg tablet: enteric coated, acetylsalicylic acid 100 mg tablet: enteric coated</t>
  </si>
  <si>
    <t>محسنه حامد عبدالغني المحمادي</t>
  </si>
  <si>
    <t>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t>
  </si>
  <si>
    <t>حمديه احمد سليم الجدعاني</t>
  </si>
  <si>
    <t>atorvastatin, empagliflozin, indapamide, gliclazide, metFORMIN hydrochloride</t>
  </si>
  <si>
    <t>atorvastatin 20 mg tablet, atorvastatin 20 mg tablet, atorvastatin 20 mg tablet, atorvastatin 20 mg tablet, empagliflozin 10 mg tablet, empagliflozin 10 mg tablet, empagliflozin 10 mg tablet, empagliflozin 10 mg tablet, indapamide 1.5 mg tablet: modified release, gliclazide 60 mg tablet: modified release, indapamide 1.5 mg tablet: modified release, gliclazide 60 mg tablet: modified release, indapamide 1.5 mg tablet: modified release, gliclazide 60 mg tablet: modified release, indapamide 1.5 mg tablet: modified release, gliclazide 60 mg tablet: modified release, metFORMIN hydrochloride 750 mg tablet: modified release, metFORMIN hydrochloride 750 mg tablet: modified release, metFORMIN hydrochloride 750 mg tablet: modified release, metFORMIN hydrochloride 750 mg tablet: modified release, atorvastatin 20 mg tablet, atorvastatin 20 mg tablet, atorvastatin 20 mg tablet, atorvastatin 20 mg tablet, indapamide 1.5 mg tablet: modified release, metFORMIN hydrochloride 750 mg tablet: modified release, gliclazide 60 mg tablet: modified release, indapamide 1.5 mg tablet: modified release, metFORMIN hydrochloride 750 mg tablet: modified release, gliclazide 60 mg tablet: modified release, indapamide 1.5 mg tablet: modified release, metFORMIN hydrochloride 750 mg tablet: modified release, gliclazide 60 mg tablet: modified release, indapamide 1.5 mg tablet: modified release, metFORMIN hydrochloride 750 mg tablet: modified release, gliclazide 60 mg tablet: modified release, empagliflozin 10 mg tablet, empagliflozin 10 mg tablet, empagliflozin 10 mg tablet, empagliflozin 10 mg tablet, indapamide 1.5 mg tablet: modified release, empagliflozin 10 mg tablet, indapamide 1.5 mg tablet: modified release, empagliflozin 10 mg tablet, indapamide 1.5 mg tablet: modified release, empagliflozin 10 mg tablet, indapamide 1.5 mg tablet: modified release, empagliflozin 10 mg tablet, gliclazide 60 mg tablet: modified release, atorvastatin 20 mg tablet, metFORMIN hydrochloride 750 mg tablet: modified release, gliclazide 60 mg tablet: modified release, atorvastatin 20 mg tablet, metFORMIN hydrochloride 750 mg tablet: modified release, gliclazide 60 mg tablet: modified release, atorvastatin 20 mg tablet, metFORMIN hydrochloride 750 mg tablet: modified release, gliclazide 60 mg tablet: modified release, atorvastatin 20 mg tablet, metFORMIN hydrochloride 750 mg tablet: modified release, atorvastatin 20 mg tablet, atorvastatin 20 mg tablet, atorvastatin 20 mg tablet, atorvastatin 20 mg tablet, indapamide 1.5 mg tablet: modified release, gliclazide 60 mg tablet: modified release, indapamide 1.5 mg tablet: modified release, gliclazide 60 mg tablet: modified release, indapamide 1.5 mg tablet: modified release, gliclazide 60 mg tablet: modified release, indapamide 1.5 mg tablet: modified release, gliclazide 60 mg tablet: modified release, gliclazide 60 mg tablet: modified release, atorvastatin 20 mg tablet, gliclazide 60 mg tablet: modified release, atorvastatin 20 mg tablet, gliclazide 60 mg tablet: modified release, atorvastatin 20 mg tablet, gliclazide 60 mg tablet: modified release, atorvastatin 20 mg tablet, empagliflozin 10 mg tablet, empagliflozin 10 mg tablet, empagliflozin 10 mg tablet, empagliflozin 10 mg tablet, indapamide 1.5 mg tablet: modified release, indapamide 1.5 mg tablet: modified release, indapamide 1.5 mg tablet: modified release, indapamide 1.5 mg tablet: modified release, empagliflozin 10 mg tablet, metFORMIN hydrochloride 750 mg tablet: modified release, empagliflozin 10 mg tablet, metFORMIN hydrochloride 750 mg tablet: modified release, empagliflozin 10 mg tablet, metFORMIN hydrochloride 750 mg tablet: modified release, empagliflozin 10 mg tablet, metFORMIN hydrochloride 750 mg tablet: modified release</t>
  </si>
  <si>
    <t>ريما عثمان بن محمد عدوي</t>
  </si>
  <si>
    <t>gliclazide, empagliflozin, metFORMIN hydrochloride, atorvastatin, vitamin B complex (B, B, celecoxib, baclofen</t>
  </si>
  <si>
    <t>gliclazide 30 mg tablet: modified release, empagliflozin 25 mg tablet, gliclazide 30 mg tablet: modified release, empagliflozin 25 mg tablet, gliclazide 30 mg tablet: modified release, empagliflozin 25 mg tablet, metFORMIN hydrochloride 750 mg tablet: modified release, atorvastatin 10 mg tablet, metFORMIN hydrochloride 750 mg tablet: modified release, atorvastatin 10 mg tablet, metFORMIN hydrochloride 750 mg tablet: modified release, atorvastatin 10 mg tablet, vitamin B complex (B1,B6,B12) 100,200,0.2 mg Film coated tablets [oral], celecoxib 200 mg capsule, vitamin B complex (B1,B6,B12) 100,200,0.2 mg Film coated tablets [oral], celecoxib 200 mg capsule, vitamin B complex (B1,B6,B12) 100,200,0.2 mg Film coated tablets [oral], celecoxib 200 mg capsule, baclofen 10 mg tablet, baclofen 10 mg tablet, baclofen 10 mg tablet, celecoxib 200 mg capsule, celecoxib 200 mg capsule, celecoxib 200 mg capsule, empagliflozin 25 mg tablet, vitamin B complex (B1,B6,B12) 100,200,0.2 mg Film coated tablets [oral], atorvastatin 10 mg tablet, empagliflozin 25 mg tablet, vitamin B complex (B1,B6,B12) 100,200,0.2 mg Film coated tablets [oral], atorvastatin 10 mg tablet, empagliflozin 25 mg tablet, vitamin B complex (B1,B6,B12) 100,200,0.2 mg Film coated tablets [oral], atorvastatin 10 mg tablet, gliclazide 30 mg tablet: modified release, gliclazide 30 mg tablet: modified release, gliclazide 30 mg tablet: modified release, gliclazide 30 mg tablet: modified release, empagliflozin 25 mg tablet, gliclazide 30 mg tablet: modified release, empagliflozin 25 mg tablet, gliclazide 30 mg tablet: modified release, empagliflozin 25 mg tablet, metFORMIN hydrochloride 750 mg tablet: modified release, vitamin B complex (B1,B6,B12) 100,200,0.2 mg Film coated tablets [oral], metFORMIN hydrochloride 750 mg tablet: modified release, vitamin B complex (B1,B6,B12) 100,200,0.2 mg Film coated tablets [oral], metFORMIN hydrochloride 750 mg tablet: modified release, vitamin B complex (B1,B6,B12) 100,200,0.2 mg Film coated tablets [oral], atorvastatin 10 mg tablet, atorvastatin 10 mg tablet, atorvastatin 10 mg tablet, celecoxib 200 mg capsule, celecoxib 200 mg capsule, celecoxib 200 mg capsule, baclofen 10 mg tablet, baclofen 10 mg tablet, baclofen 10 mg tablet, metFORMIN hydrochloride 750 mg tablet: modified release, baclofen 10 mg tablet, metFORMIN hydrochloride 750 mg tablet: modified release, baclofen 10 mg tablet, metFORMIN hydrochloride 750 mg tablet: modified release, baclofen 10 mg tablet</t>
  </si>
  <si>
    <t>غزاي بن نافع بن صنيدح السلمي</t>
  </si>
  <si>
    <t>amLODIPine, perindopril arginine</t>
  </si>
  <si>
    <t>amLODIPine 5 mg tablet, amLODIPine 5 mg tablet, amLODIPine 5 mg tablet, amLODIPine 5 mg tablet, perindopril arginine 5 mg tablet, perindopril arginine 5 mg tablet, perindopril arginine 5 mg tablet, perindopril arginine 5 mg tablet, amLODIPine 5 mg tablet, perindopril arginine 5 mg tablet, amLODIPine 5 mg tablet, perindopril arginine 5 mg tablet, amLODIPine 5 mg tablet, perindopril arginine 5 mg tablet, amLODIPine 5 mg tablet, perindopril arginine 5 mg tablet, amLODIPine 5 mg tablet, amLODIPine 5 mg tablet, amLODIPine 5 mg tablet, amLODIPine 5 mg tablet, perindopril arginine 5 mg tablet, perindopril arginine 5 mg tablet, perindopril arginine 5 mg tablet, perindopril arginine 5 mg tablet, amLODIPine 5 mg tablet, amLODIPine 5 mg tablet, amLODIPine 5 mg tablet, amLODIPine 5 mg tablet, perindopril arginine 5 mg tablet, perindopril arginine 5 mg tablet, perindopril arginine 5 mg tablet, perindopril arginine 5 mg tablet, perindopril arginine 5 mg tablet, amLODIPine 5 mg tablet, perindopril arginine 5 mg tablet, amLODIPine 5 mg tablet, perindopril arginine 5 mg tablet, amLODIPine 5 mg tablet, perindopril arginine 5 mg tablet, amLODIPine 5 mg tablet</t>
  </si>
  <si>
    <t>HTN meds match; DLP meds needed</t>
  </si>
  <si>
    <t>يوسف بن علي بن عبدالله الشارخ</t>
  </si>
  <si>
    <t>amLODIPine, vitamin B complex (B, B</t>
  </si>
  <si>
    <t>amLODIPine 10 mg capsule, amLODIPine 10 mg capsule, amLODIPine 10 mg capsule,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amLODIPine 10 mg capsule, amLODIPine 10 mg capsule, amLODIPine 10 mg capsule,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t>
  </si>
  <si>
    <t>رقيه عبدالحميد عبدالرحيم السيد</t>
  </si>
  <si>
    <t>calcium carbonate</t>
  </si>
  <si>
    <t>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t>
  </si>
  <si>
    <t>ماجد محمد صالح حامد العوفي</t>
  </si>
  <si>
    <t>Strips (Accu-Check), colecalciferol, gliclazide, vitamin B complex (B, B, insulin glargine (lantus), metFORMIN hydrochloride, atorvastatin</t>
  </si>
  <si>
    <t>Strips (Accu-Check) 1 box Strip [n/a], colecalciferol 50 000 international units tablet, Strips (Accu-Check) 1 box Strip [n/a], colecalciferol 50 000 international units tablet, Strips (Accu-Check) 1 box Strip [n/a], colecalciferol 50 000 international units tablet, Strips (Accu-Check) 1 box Strip [n/a], colecalciferol 50 000 international units tablet, gliclazide 60 mg tablet: modified release, gliclazide 60 mg tablet: modified release, gliclazide 60 mg tablet: modified release, gliclazide 60 mg tablet: modified release, vitamin B complex (B1,B6,B12) 100,200,0.2 mg Film coated tablets [oral], vitamin B complex (B1,B6,B12) 100,200,0.2 mg Film coated tablets [oral], vitamin B complex (B1,B6,B12) 100,200,0.2 mg Film coated tablets [oral], vitamin B complex (B1,B6,B12) 100,200,0.2 mg Film coated tablets [oral],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gliclazide 60 mg tablet: modified release, Strips (Accu-Check) 1 box Strip [n/a], metFORMIN hydrochloride 500 mg tablet, atorvastatin 20 mg tablet, gliclazide 60 mg tablet: modified release, Strips (Accu-Check) 1 box Strip [n/a], metFORMIN hydrochloride 500 mg tablet, atorvastatin 20 mg tablet, gliclazide 60 mg tablet: modified release, Strips (Accu-Check) 1 box Strip [n/a], metFORMIN hydrochloride 500 mg tablet, atorvastatin 20 mg tablet, gliclazide 60 mg tablet: modified release, Strips (Accu-Check) 1 box Strip [n/a], metFORMIN hydrochloride 500 mg tablet, atorvastatin 20 mg tablet, colecalciferol 50 000 international units tablet, colecalciferol 50 000 international units tablet, colecalciferol 50 000 international units tablet, colecalciferol 50 000 international units tablet, Strips (Accu-Check) 1 box Strip [n/a], colecalciferol 50 000 international units tablet, metFORMIN hydrochloride 500 mg tablet, Strips (Accu-Check) 1 box Strip [n/a], colecalciferol 50 000 international units tablet, metFORMIN hydrochloride 500 mg tablet, Strips (Accu-Check) 1 box Strip [n/a], colecalciferol 50 000 international units tablet, metFORMIN hydrochloride 500 mg tablet, Strips (Accu-Check) 1 box Strip [n/a], colecalciferol 50 000 international units tablet, metFORMIN hydrochloride 500 mg tablet, atorvastatin 20 mg tablet, atorvastatin 20 mg tablet, atorvastatin 20 mg tablet, atorvastatin 20 mg tablet, gliclazide 60 mg tablet: modified release, insulin glargine (lantus) 100 international units/mL injection, 3 mL prefilled pen, vitamin B complex (B1,B6,B12) 100,200,0.2 mg Film coated tablets [oral], gliclazide 60 mg tablet: modified release, insulin glargine (lantus) 100 international units/mL injection, 3 mL prefilled pen, vitamin B complex (B1,B6,B12) 100,200,0.2 mg Film coated tablets [oral], gliclazide 60 mg tablet: modified release, insulin glargine (lantus) 100 international units/mL injection, 3 mL prefilled pen, vitamin B complex (B1,B6,B12) 100,200,0.2 mg Film coated tablets [oral], gliclazide 60 mg tablet: modified release, insulin glargine (lantus) 100 international units/mL injection, 3 mL prefilled pen, vitamin B complex (B1,B6,B12) 100,200,0.2 mg Film coated tablets [oral], vitamin B complex (B1,B6,B12) 100,200,0.2 mg Film coated tablets [oral], colecalciferol 50 000 international units tablet, vitamin B complex (B1,B6,B12) 100,200,0.2 mg Film coated tablets [oral], colecalciferol 50 000 international units tablet, vitamin B complex (B1,B6,B12) 100,200,0.2 mg Film coated tablets [oral], colecalciferol 50 000 international units tablet, vitamin B complex (B1,B6,B12) 100,200,0.2 mg Film coated tablets [oral], colecalciferol 50 000 international units tablet,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t>
  </si>
  <si>
    <t>عبدالعزيز بن حسين بن ولي سيت</t>
  </si>
  <si>
    <t>paraffin soft white ointment, tube, mometasone furoate</t>
  </si>
  <si>
    <t>paraffin soft white ointment, tube, paraffin soft white ointment, tube, paraffin soft white ointment, tube, paraffin soft white ointment, tube, paraffin soft white ointment, tube, paraffin soft white ointment, tube, mometasone furoate 0.1% (1 mg/g) cream, mometasone furoate 0.1% (1 mg/g) cream, mometasone furoate 0.1% (1 mg/g) cream, mometasone furoate 0.1% (1 mg/g) cream, mometasone furoate 0.1% (1 mg/g) cream, mometasone furoate 0.1% (1 mg/g) cream, paraffin soft white ointment, tube, paraffin soft white ointment, tube, paraffin soft white ointment, tube, paraffin soft white ointment, tube, paraffin soft white ointment, tube, paraffin soft white ointment, tube, mometasone furoate 0.1% (1 mg/g) cream, mometasone furoate 0.1% (1 mg/g) cream, mometasone furoate 0.1% (1 mg/g) cream, mometasone furoate 0.1% (1 mg/g) cream, mometasone furoate 0.1% (1 mg/g) cream, mometasone furoate 0.1% (1 mg/g) cream, paraffin soft white ointment, tube, paraffin soft white ointment, tube, paraffin soft white ointment, tube, paraffin soft white ointment, tube, paraffin soft white ointment, tube, paraffin soft white ointment, tube, mometasone furoate 0.1% (1 mg/g) cream, mometasone furoate 0.1% (1 mg/g) cream, mometasone furoate 0.1% (1 mg/g) cream, mometasone furoate 0.1% (1 mg/g) cream, mometasone furoate 0.1% (1 mg/g) cream, mometasone furoate 0.1% (1 mg/g) cream, paraffin soft white ointment, tube, paraffin soft white ointment, tube, paraffin soft white ointment, tube, paraffin soft white ointment, tube, paraffin soft white ointment, tube, paraffin soft white ointment, tube, paraffin soft white ointment, tube, mometasone furoate 0.1% (1 mg/g) cream, paraffin soft white ointment, tube, mometasone furoate 0.1% (1 mg/g) cream, paraffin soft white ointment, tube, mometasone furoate 0.1% (1 mg/g) cream, paraffin soft white ointment, tube, mometasone furoate 0.1% (1 mg/g) cream, paraffin soft white ointment, tube, mometasone furoate 0.1% (1 mg/g) cream, paraffin soft white ointment, tube, mometasone furoate 0.1% (1 mg/g) cream, paraffin soft white ointment, tube, paraffin soft white ointment, tube, paraffin soft white ointment, tube, paraffin soft white ointment, tube, paraffin soft white ointment, tube, paraffin soft white ointment, tube, mometasone furoate 0.1% (1 mg/g) cream, mometasone furoate 0.1% (1 mg/g) cream, mometasone furoate 0.1% (1 mg/g) cream, mometasone furoate 0.1% (1 mg/g) cream, mometasone furoate 0.1% (1 mg/g) cream, mometasone furoate 0.1% (1 mg/g) cream</t>
  </si>
  <si>
    <t>خفراء عبدالله صالح المالكي</t>
  </si>
  <si>
    <t>Insulin Pen Needle, insulin glargine, vitamin B complex (B, B, empagliflozin, metFORMIN hydrochloride, atorvastatin, SITagliptin, omeprazole</t>
  </si>
  <si>
    <t>Insulin Pen Needle 4mm Needle [sc], Insulin Pen Needle 4mm Needle [sc], Insulin Pen Needle 4mm Needle [sc], Insulin Pen Needle 4mm Needle [sc], insulin glargine 300 international units/mL injection, 1.5 mL prefilled pen, vitamin B complex (B1,B6,B12) 100,200,0.2 mg Film coated tablets [oral], empagliflozin 25 mg tablet, metFORMIN hydrochloride 500 mg tablet, atorvastatin 10 mg tablet, SITagliptin 100 mg tablet, omeprazole 20 mg tablet: enteric coated, insulin glargine 300 international units/mL injection, 1.5 mL prefilled pen, vitamin B complex (B1,B6,B12) 100,200,0.2 mg Film coated tablets [oral], empagliflozin 25 mg tablet, metFORMIN hydrochloride 500 mg tablet, atorvastatin 10 mg tablet, SITagliptin 100 mg tablet, omeprazole 20 mg tablet: enteric coated, insulin glargine 300 international units/mL injection, 1.5 mL prefilled pen, vitamin B complex (B1,B6,B12) 100,200,0.2 mg Film coated tablets [oral], empagliflozin 25 mg tablet, metFORMIN hydrochloride 500 mg tablet, atorvastatin 10 mg tablet, SITagliptin 100 mg tablet, omeprazole 20 mg tablet: enteric coated, insulin glargine 300 international units/mL injection, 1.5 mL prefilled pen, vitamin B complex (B1,B6,B12) 100,200,0.2 mg Film coated tablets [oral], empagliflozin 25 mg tablet, metFORMIN hydrochloride 500 mg tablet, atorvastatin 10 mg tablet, SITagliptin 100 mg tablet, omeprazole 20 mg tablet: enteric coated,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metFORMIN hydrochloride 500 mg tablet, metFORMIN hydrochloride 500 mg tablet, metFORMIN hydrochloride 500 mg tablet, metFORMIN hydrochloride 500 mg tablet, Insulin Pen Needle 4mm Needle [sc], vitamin B complex (B1,B6,B12) 100,200,0.2 mg Film coated tablets [oral], Insulin Pen Needle 4mm Needle [sc], vitamin B complex (B1,B6,B12) 100,200,0.2 mg Film coated tablets [oral], Insulin Pen Needle 4mm Needle [sc], vitamin B complex (B1,B6,B12) 100,200,0.2 mg Film coated tablets [oral], Insulin Pen Needle 4mm Needle [sc], vitamin B complex (B1,B6,B12) 100,200,0.2 mg Film coated tablets [oral], SITagliptin 100 mg tablet, SITagliptin 100 mg tablet, SITagliptin 100 mg tablet, SITagliptin 100 mg tablet, atorvastatin 10 mg tablet, omeprazole 20 mg tablet: enteric coated, atorvastatin 10 mg tablet, omeprazole 20 mg tablet: enteric coated, atorvastatin 10 mg tablet, omeprazole 20 mg tablet: enteric coated, atorvastatin 10 mg tablet, omeprazole 20 mg tablet: enteric coated, empagliflozin 25 mg tablet, empagliflozin 25 mg tablet, empagliflozin 25 mg tablet, empagliflozin 25 mg tablet,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Pen Needle 4mm Needle [sc], SITagliptin 100 mg tablet, omeprazole 20 mg tablet: enteric coated, vitamin B complex (B1,B6,B12) 100,200,0.2 mg Film coated tablets [oral], atorvastatin 10 mg tablet, empagliflozin 25 mg tablet, Insulin Pen Needle 4mm Needle [sc], SITagliptin 100 mg tablet, omeprazole 20 mg tablet: enteric coated, vitamin B complex (B1,B6,B12) 100,200,0.2 mg Film coated tablets [oral], atorvastatin 10 mg tablet, empagliflozin 25 mg tablet, Insulin Pen Needle 4mm Needle [sc], SITagliptin 100 mg tablet, omeprazole 20 mg tablet: enteric coated, vitamin B complex (B1,B6,B12) 100,200,0.2 mg Film coated tablets [oral], atorvastatin 10 mg tablet, empagliflozin 25 mg tablet, Insulin Pen Needle 4mm Needle [sc], SITagliptin 100 mg tablet, omeprazole 20 mg tablet: enteric coated, vitamin B complex (B1,B6,B12) 100,200,0.2 mg Film coated tablets [oral], atorvastatin 10 mg tablet, empagliflozin 25 mg tablet, metFORMIN hydrochloride 500 mg tablet, metFORMIN hydrochloride 500 mg tablet, metFORMIN hydrochloride 500 mg tablet, metFORMIN hydrochloride 500 mg tablet, vitamin B complex (B1,B6,B12) 100,200,0.2 mg Film coated tablets [oral], empagliflozin 25 mg tablet, vitamin B complex (B1,B6,B12) 100,200,0.2 mg Film coated tablets [oral], empagliflozin 25 mg tablet, vitamin B complex (B1,B6,B12) 100,200,0.2 mg Film coated tablets [oral], empagliflozin 25 mg tablet, vitamin B complex (B1,B6,B12) 100,200,0.2 mg Film coated tablets [oral], empagliflozin 25 mg tablet, metFORMIN hydrochloride 500 mg tablet, SITagliptin 100 mg tablet, metFORMIN hydrochloride 500 mg tablet, SITagliptin 100 mg tablet, metFORMIN hydrochloride 500 mg tablet, SITagliptin 100 mg tablet, metFORMIN hydrochloride 500 mg tablet, SITagliptin 100 mg tablet, omeprazole 20 mg tablet: enteric coated, omeprazole 20 mg tablet: enteric coated, omeprazole 20 mg tablet: enteric coated, omeprazole 20 mg tablet: enteric coated, atorvastatin 10 mg tablet, SITagliptin 100 mg tablet, vitamin B complex (B1,B6,B12) 100,200,0.2 mg Film coated tablets [oral], atorvastatin 10 mg tablet, SITagliptin 100 mg tablet, vitamin B complex (B1,B6,B12) 100,200,0.2 mg Film coated tablets [oral], atorvastatin 10 mg tablet, SITagliptin 100 mg tablet, vitamin B complex (B1,B6,B12) 100,200,0.2 mg Film coated tablets [oral], atorvastatin 10 mg tablet, SITagliptin 100 mg tablet, vitamin B complex (B1,B6,B12) 100,200,0.2 mg Film coated tablets [oral], metFORMIN hydrochloride 500 mg tablet, Insulin Pen Needle 4mm Needle [sc], insulin glargine 300 international units/mL injection, 1.5 mL prefilled pen, empagliflozin 25 mg tablet, metFORMIN hydrochloride 500 mg tablet, Insulin Pen Needle 4mm Needle [sc], insulin glargine 300 international units/mL injection, 1.5 mL prefilled pen, empagliflozin 25 mg tablet, metFORMIN hydrochloride 500 mg tablet, Insulin Pen Needle 4mm Needle [sc], insulin glargine 300 international units/mL injection, 1.5 mL prefilled pen, empagliflozin 25 mg tablet, metFORMIN hydrochloride 500 mg tablet, Insulin Pen Needle 4mm Needle [sc], insulin glargine 300 international units/mL injection, 1.5 mL prefilled pen, empagliflozin 25 mg tablet</t>
  </si>
  <si>
    <t>مها عبدالله محمد الشميمري</t>
  </si>
  <si>
    <t>عائشه بكر ابراهيم عابد</t>
  </si>
  <si>
    <t>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t>
  </si>
  <si>
    <t>عايضه عواد عياده العصيلاني</t>
  </si>
  <si>
    <t>colecalciferol, ferrous sulfate</t>
  </si>
  <si>
    <t>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t>
  </si>
  <si>
    <t>حسن بليح عواد المولد</t>
  </si>
  <si>
    <t>metFORMIN hydrochloride, carbomer, vitamin B complex (B, B, perindopril arginine, SITagliptin</t>
  </si>
  <si>
    <t>metFORMIN hydrochloride 750 mg tablet: modified release, metFORMIN hydrochloride 750 mg tablet: modified release, metFORMIN hydrochloride 750 mg tablet: modified release, metFORMIN hydrochloride 750 mg tablet: modified release, carbomer 0.2% (2 mg/g) eye gel, vitamin B complex (B1,B6,B12) 100,200,0.2 mg Film coated tablets [oral], carbomer 0.2% (2 mg/g) eye gel, vitamin B complex (B1,B6,B12) 100,200,0.2 mg Film coated tablets [oral], carbomer 0.2% (2 mg/g) eye gel, vitamin B complex (B1,B6,B12) 100,200,0.2 mg Film coated tablets [oral], carbomer 0.2% (2 mg/g) eye gel, vitamin B complex (B1,B6,B12) 100,200,0.2 mg Film coated tablets [oral], perindopril arginine 5 mg tablet, perindopril arginine 5 mg tablet, perindopril arginine 5 mg tablet, perindopril arginine 5 mg tablet, SITagliptin 100 mg tablet, SITagliptin 100 mg tablet, SITagliptin 100 mg tablet, SITagliptin 100 mg tablet, perindopril arginine 5 mg tablet, metFORMIN hydrochloride 750 mg tablet: modified release, perindopril arginine 5 mg tablet, metFORMIN hydrochloride 750 mg tablet: modified release, perindopril arginine 5 mg tablet, metFORMIN hydrochloride 750 mg tablet: modified release, perindopril arginine 5 mg tablet, metFORMIN hydrochloride 750 mg tablet: modified release, SITagliptin 100 mg tablet, SITagliptin 100 mg tablet, SITagliptin 100 mg tablet, SITagliptin 100 mg tablet, carbomer 0.2% (2 mg/g) eye gel, vitamin B complex (B1,B6,B12) 100,200,0.2 mg Film coated tablets [oral], carbomer 0.2% (2 mg/g) eye gel, vitamin B complex (B1,B6,B12) 100,200,0.2 mg Film coated tablets [oral], carbomer 0.2% (2 mg/g) eye gel, vitamin B complex (B1,B6,B12) 100,200,0.2 mg Film coated tablets [oral], carbomer 0.2% (2 mg/g) eye gel, vitamin B complex (B1,B6,B12) 100,200,0.2 mg Film coated tablets [oral], perindopril arginine 5 mg tablet, perindopril arginine 5 mg tablet, perindopril arginine 5 mg tablet, perindopril arginine 5 mg tablet, vitamin B complex (B1,B6,B12) 100,200,0.2 mg Film coated tablets [oral], vitamin B complex (B1,B6,B12) 100,200,0.2 mg Film coated tablets [oral], vitamin B complex (B1,B6,B12) 100,200,0.2 mg Film coated tablets [oral], vitamin B complex (B1,B6,B12) 100,200,0.2 mg Film coated tablets [oral], metFORMIN hydrochloride 750 mg tablet: modified release, carbomer 0.2% (2 mg/g) eye gel, metFORMIN hydrochloride 750 mg tablet: modified release, carbomer 0.2% (2 mg/g) eye gel, metFORMIN hydrochloride 750 mg tablet: modified release, carbomer 0.2% (2 mg/g) eye gel, metFORMIN hydrochloride 750 mg tablet: modified release, carbomer 0.2% (2 mg/g) eye gel, carbomer 0.2% (2 mg/g) eye gel, metFORMIN hydrochloride 750 mg tablet: modified release, vitamin B complex (B1,B6,B12) 100,200,0.2 mg Film coated tablets [oral], SITagliptin 100 mg tablet, perindopril arginine 5 mg tablet, carbomer 0.2% (2 mg/g) eye gel, metFORMIN hydrochloride 750 mg tablet: modified release, vitamin B complex (B1,B6,B12) 100,200,0.2 mg Film coated tablets [oral], SITagliptin 100 mg tablet, perindopril arginine 5 mg tablet, carbomer 0.2% (2 mg/g) eye gel, metFORMIN hydrochloride 750 mg tablet: modified release, vitamin B complex (B1,B6,B12) 100,200,0.2 mg Film coated tablets [oral], SITagliptin 100 mg tablet, perindopril arginine 5 mg tablet, carbomer 0.2% (2 mg/g) eye gel, metFORMIN hydrochloride 750 mg tablet: modified release, vitamin B complex (B1,B6,B12) 100,200,0.2 mg Film coated tablets [oral], SITagliptin 100 mg tablet, perindopril arginine 5 mg tablet, vitamin B complex (B1,B6,B12) 100,200,0.2 mg Film coated tablets [oral], carbomer 0.2% (2 mg/g) eye gel, vitamin B complex (B1,B6,B12) 100,200,0.2 mg Film coated tablets [oral], carbomer 0.2% (2 mg/g) eye gel, vitamin B complex (B1,B6,B12) 100,200,0.2 mg Film coated tablets [oral], carbomer 0.2% (2 mg/g) eye gel, vitamin B complex (B1,B6,B12) 100,200,0.2 mg Film coated tablets [oral], carbomer 0.2% (2 mg/g) eye gel, metFORMIN hydrochloride 750 mg tablet: modified release, metFORMIN hydrochloride 750 mg tablet: modified release, metFORMIN hydrochloride 750 mg tablet: modified release, metFORMIN hydrochloride 750 mg tablet: modified release, SITagliptin 100 mg tablet, perindopril arginine 5 mg tablet, SITagliptin 100 mg tablet, perindopril arginine 5 mg tablet, SITagliptin 100 mg tablet, perindopril arginine 5 mg tablet, SITagliptin 100 mg tablet, perindopril arginine 5 mg tablet, metFORMIN hydrochloride 750 mg tablet: modified release, metFORMIN hydrochloride 750 mg tablet: modified release, metFORMIN hydrochloride 750 mg tablet: modified release, metFORMIN hydrochloride 750 mg tablet: modified release, SITagliptin 100 mg tablet, SITagliptin 100 mg tablet, SITagliptin 100 mg tablet, SITagliptin 100 mg tablet, vitamin B complex (B1,B6,B12) 100,200,0.2 mg Film coated tablets [oral], vitamin B complex (B1,B6,B12) 100,200,0.2 mg Film coated tablets [oral], vitamin B complex (B1,B6,B12) 100,200,0.2 mg Film coated tablets [oral], vitamin B complex (B1,B6,B12) 100,200,0.2 mg Film coated tablets [oral], carbomer 0.2% (2 mg/g) eye gel, perindopril arginine 5 mg tablet, carbomer 0.2% (2 mg/g) eye gel, perindopril arginine 5 mg tablet, carbomer 0.2% (2 mg/g) eye gel, perindopril arginine 5 mg tablet, carbomer 0.2% (2 mg/g) eye gel, perindopril arginine 5 mg tablet, vitamin B complex (B1,B6,B12) 100,200,0.2 mg Film coated tablets [oral], vitamin B complex (B1,B6,B12) 100,200,0.2 mg Film coated tablets [oral], vitamin B complex (B1,B6,B12) 100,200,0.2 mg Film coated tablets [oral], vitamin B complex (B1,B6,B12) 100,200,0.2 mg Film coated tablets [oral], SITagliptin 100 mg tablet, carbomer 0.2% (2 mg/g) eye gel, SITagliptin 100 mg tablet, carbomer 0.2% (2 mg/g) eye gel, SITagliptin 100 mg tablet, carbomer 0.2% (2 mg/g) eye gel, SITagliptin 100 mg tablet, carbomer 0.2% (2 mg/g) eye gel</t>
  </si>
  <si>
    <t>حازم علي عبدالرحمن باعشن</t>
  </si>
  <si>
    <t>metFORMIN hydrochloride, vitamin B complex (B, B, empagliflozin, colecalciferol, atorvastatin, finasteride</t>
  </si>
  <si>
    <t>metFORMIN hydrochloride 500 mg tablet, metFORMIN hydrochloride 500 mg tablet, metFORMIN hydrochloride 500 mg tablet, metFORMIN hydrochloride 500 mg tablet, metFORMIN hydrochloride 500 mg tablet, vitamin B complex (B1,B6,B12) 100,200,0.2 mg Film coated tablets [oral], empagliflozin 10 mg tablet, vitamin B complex (B1,B6,B12) 100,200,0.2 mg Film coated tablets [oral], empagliflozin 10 mg tablet, vitamin B complex (B1,B6,B12) 100,200,0.2 mg Film coated tablets [oral], empagliflozin 10 mg tablet, vitamin B complex (B1,B6,B12) 100,200,0.2 mg Film coated tablets [oral], empagliflozin 10 mg tablet, vitamin B complex (B1,B6,B12) 100,200,0.2 mg Film coated tablets [oral], empagliflozin 10 mg tablet, colecalciferol 1 000 international units capsule, atorvastatin 10 mg tablet, colecalciferol 1 000 international units capsule, atorvastatin 10 mg tablet, colecalciferol 1 000 international units capsule, atorvastatin 10 mg tablet, colecalciferol 1 000 international units capsule, atorvastatin 10 mg tablet, colecalciferol 1 000 international units capsule, atorvastatin 10 mg tablet, finasteride 5 mg tablet, finasteride 5 mg tablet, finasteride 5 mg tablet, finasteride 5 mg tablet, finasteride 5 mg tablet, empagliflozin 10 mg tablet, empagliflozin 10 mg tablet, empagliflozin 10 mg tablet, empagliflozin 10 mg tablet, empagliflozin 10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colecalciferol 1 000 international units capsule, colecalciferol 1 000 international units capsule, colecalciferol 1 000 international units capsule, colecalciferol 1 000 international units capsule, colecalciferol 1 000 international units capsule, finasteride 5 mg tablet, atorvastatin 10 mg tablet, finasteride 5 mg tablet, atorvastatin 10 mg tablet, finasteride 5 mg tablet, atorvastatin 10 mg tablet, finasteride 5 mg tablet, atorvastatin 10 mg tablet, finasteride 5 mg tablet, atorvastatin 10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colecalciferol 1 000 international units capsule, empagliflozin 10 mg tablet, atorvastatin 10 mg tablet, finasteride 5 mg tablet, colecalciferol 1 000 international units capsule, empagliflozin 10 mg tablet, atorvastatin 10 mg tablet, finasteride 5 mg tablet, colecalciferol 1 000 international units capsule, empagliflozin 10 mg tablet, atorvastatin 10 mg tablet, finasteride 5 mg tablet, colecalciferol 1 000 international units capsule, empagliflozin 10 mg tablet, atorvastatin 10 mg tablet, finasteride 5 mg tablet, colecalciferol 1 000 international units capsule, empagliflozin 10 mg tablet, atorvastatin 10 mg tablet, finasteride 5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t>
  </si>
  <si>
    <t>عايشه حمد غادف اليوبي</t>
  </si>
  <si>
    <t>metFORMIN hydrochloride, paracetamol, diclofenac sodium, empagliflozin</t>
  </si>
  <si>
    <t>metFORMIN hydrochloride 500 mg tablet, paracetamol 500 mg tablet, metFORMIN hydrochloride 500 mg tablet, paracetamol 500 mg tablet, metFORMIN hydrochloride 500 mg tablet, paracetamol 500 mg tablet, metFORMIN hydrochloride 500 mg tablet, paracetamol 500 mg tablet, metFORMIN hydrochloride 500 mg tablet, paracetamol 500 mg tablet, metFORMIN hydrochloride 500 mg tablet, paracetamol 500 mg tablet, diclofenac sodium 1% (10 mg/g) gel, diclofenac sodium 1% (10 mg/g) gel, diclofenac sodium 1% (10 mg/g) gel, diclofenac sodium 1% (10 mg/g) gel, diclofenac sodium 1% (10 mg/g) gel, diclofenac sodium 1% (10 mg/g) gel, empagliflozin 10 mg tablet, empagliflozin 10 mg tablet, empagliflozin 10 mg tablet, empagliflozin 10 mg tablet, empagliflozin 10 mg tablet, empagliflozin 10 mg tablet, paracetamol 500 mg tablet, paracetamol 500 mg tablet, paracetamol 500 mg tablet, paracetamol 500 mg tablet, paracetamol 500 mg tablet, paracetamol 500 mg tablet, metFORMIN hydrochloride 500 mg tablet, metFORMIN hydrochloride 500 mg tablet, metFORMIN hydrochloride 500 mg tablet, metFORMIN hydrochloride 500 mg tablet, metFORMIN hydrochloride 500 mg tablet, metFORMIN hydrochloride 500 mg tablet, empagliflozin 10 mg tablet, empagliflozin 10 mg tablet, empagliflozin 10 mg tablet, empagliflozin 10 mg tablet, empagliflozin 10 mg tablet, empagliflozin 10 mg tablet,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metFORMIN hydrochloride 500 mg tablet, metFORMIN hydrochloride 500 mg tablet, metFORMIN hydrochloride 500 mg tablet, metFORMIN hydrochloride 500 mg tablet, metFORMIN hydrochloride 500 mg tablet, metFORMIN hydrochloride 500 mg tablet, diclofenac sodium 1% (10 mg/g) gel, paracetamol 500 mg tablet, empagliflozin 10 mg tablet, diclofenac sodium 1% (10 mg/g) gel, paracetamol 500 mg tablet, empagliflozin 10 mg tablet, diclofenac sodium 1% (10 mg/g) gel, paracetamol 500 mg tablet, empagliflozin 10 mg tablet, diclofenac sodium 1% (10 mg/g) gel, paracetamol 500 mg tablet, empagliflozin 10 mg tablet, diclofenac sodium 1% (10 mg/g) gel, paracetamol 500 mg tablet, empagliflozin 10 mg tablet, diclofenac sodium 1% (10 mg/g) gel, paracetamol 500 mg tablet, empagliflozin 10 mg tablet, paracetamol 500 mg tablet, paracetamol 500 mg tablet, paracetamol 500 mg tablet, paracetamol 500 mg tablet, paracetamol 500 mg tablet, paracetamol 500 mg tablet, diclofenac sodium 1% (10 mg/g) gel, metFORMIN hydrochloride 500 mg tablet, diclofenac sodium 1% (10 mg/g) gel, metFORMIN hydrochloride 500 mg tablet, diclofenac sodium 1% (10 mg/g) gel, metFORMIN hydrochloride 500 mg tablet, diclofenac sodium 1% (10 mg/g) gel, metFORMIN hydrochloride 500 mg tablet, diclofenac sodium 1% (10 mg/g) gel, metFORMIN hydrochloride 500 mg tablet, diclofenac sodium 1% (10 mg/g) gel, metFORMIN hydrochloride 500 mg tablet, empagliflozin 10 mg tablet, empagliflozin 10 mg tablet, empagliflozin 10 mg tablet, empagliflozin 10 mg tablet, empagliflozin 10 mg tablet, empagliflozin 10 mg tablet, paracetamol 500 mg tablet, metFORMIN hydrochloride 500 mg tablet, paracetamol 500 mg tablet, metFORMIN hydrochloride 500 mg tablet, paracetamol 500 mg tablet, metFORMIN hydrochloride 500 mg tablet, paracetamol 500 mg tablet, metFORMIN hydrochloride 500 mg tablet, paracetamol 500 mg tablet, metFORMIN hydrochloride 500 mg tablet, paracetamol 500 mg tablet, metFORMIN hydrochloride 500 mg tablet, diclofenac sodium 1% (10 mg/g) gel, empagliflozin 10 mg tablet, diclofenac sodium 1% (10 mg/g) gel, empagliflozin 10 mg tablet, diclofenac sodium 1% (10 mg/g) gel, empagliflozin 10 mg tablet, diclofenac sodium 1% (10 mg/g) gel, empagliflozin 10 mg tablet, diclofenac sodium 1% (10 mg/g) gel, empagliflozin 10 mg tablet, diclofenac sodium 1% (10 mg/g) gel, empagliflozin 10 mg tablet, empagliflozin 10 mg tablet, empagliflozin 10 mg tablet, empagliflozin 10 mg tablet, empagliflozin 10 mg tablet, empagliflozin 10 mg tablet, empagliflozin 10 mg tablet, diclofenac sodium 1% (10 mg/g) gel, diclofenac sodium 1% (10 mg/g) gel, diclofenac sodium 1% (10 mg/g) gel, diclofenac sodium 1% (10 mg/g) gel, diclofenac sodium 1% (10 mg/g) gel, diclofenac sodium 1% (10 mg/g) gel, metFORMIN hydrochloride 500 mg tablet, paracetamol 500 mg tablet, metFORMIN hydrochloride 500 mg tablet, paracetamol 500 mg tablet, metFORMIN hydrochloride 500 mg tablet, paracetamol 500 mg tablet, metFORMIN hydrochloride 500 mg tablet, paracetamol 500 mg tablet, metFORMIN hydrochloride 500 mg tablet, paracetamol 500 mg tablet, metFORMIN hydrochloride 500 mg tablet, paracetamol 500 mg tablet, paracetamol 500 mg tablet, metFORMIN hydrochloride 500 mg tablet, paracetamol 500 mg tablet, metFORMIN hydrochloride 500 mg tablet, paracetamol 500 mg tablet, metFORMIN hydrochloride 500 mg tablet, paracetamol 500 mg tablet, metFORMIN hydrochloride 500 mg tablet, paracetamol 500 mg tablet, metFORMIN hydrochloride 500 mg tablet, paracetamol 500 mg tablet, metFORMIN hydrochloride 500 mg tablet, empagliflozin 10 mg tablet, diclofenac sodium 1% (10 mg/g) gel, empagliflozin 10 mg tablet, diclofenac sodium 1% (10 mg/g) gel, empagliflozin 10 mg tablet, diclofenac sodium 1% (10 mg/g) gel, empagliflozin 10 mg tablet, diclofenac sodium 1% (10 mg/g) gel, empagliflozin 10 mg tablet, diclofenac sodium 1% (10 mg/g) gel, empagliflozin 10 mg tablet, diclofenac sodium 1% (10 mg/g) gel</t>
  </si>
  <si>
    <t>فاطمه طويهر غنيم الحربي</t>
  </si>
  <si>
    <t>paracetamol 500 mg tablet, paracetamol 500 mg tablet, paracetamol 500 mg tablet, paracetamol 500 mg tablet, paracetamol 500 mg tablet, paracetamol 500 mg tablet, paracetamol 500 mg tablet, paracetamol 500 mg tablet, paracetamol 500 mg tablet, paracetamol 500 mg tablet</t>
  </si>
  <si>
    <t>محمد رباح تاجر المرامحي</t>
  </si>
  <si>
    <t>captopril, amLODIPine</t>
  </si>
  <si>
    <t>captopril 25 mg tablet, captopril 25 mg tablet, captopril 25 mg tablet, captopril 25 mg tablet, amLODIPine 10 mg capsule, amLODIPine 10 mg capsule, amLODIPine 10 mg capsule, amLODIPine 10 mg capsule, amLODIPine 10 mg capsule, captopril 25 mg tablet, amLODIPine 10 mg capsule, captopril 25 mg tablet, amLODIPine 10 mg capsule, captopril 25 mg tablet, amLODIPine 10 mg capsule, captopril 25 mg tablet</t>
  </si>
  <si>
    <t>امال محمدنور محمود حكيم</t>
  </si>
  <si>
    <t>gliclazide, SITagliptin</t>
  </si>
  <si>
    <t>gliclazide 60 mg tablet: modified release, SITagliptin 100 mg tablet, gliclazide 60 mg tablet: modified release, SITagliptin 100 mg tablet, SITagliptin 100 mg tablet, SITagliptin 100 mg tablet, gliclazide 60 mg tablet: modified release, gliclazide 60 mg tablet: modified release</t>
  </si>
  <si>
    <t>محمد بحيص محمد حنكيش</t>
  </si>
  <si>
    <t>SITagliptin, perindopril arginine, metFORMIN hydrochloride, omeprazole, vitamin B complex (B, B, rosuvastatin, tamsulosin hydrochloride, gliclazide</t>
  </si>
  <si>
    <t>SITagliptin 100 mg tablet, perindopril arginine 5 mg tablet, metFORMIN hydrochloride 500 mg tablet, SITagliptin 100 mg tablet, perindopril arginine 5 mg tablet, metFORMIN hydrochloride 500 mg tablet, SITagliptin 100 mg tablet, perindopril arginine 5 mg tablet, metFORMIN hydrochloride 500 mg tablet, omeprazole 20 mg tablet: enteric coated, vitamin B complex (B1,B6,B12) 100,200,0.2 mg Film coated tablets [oral], rosuvastatin 20 mg tablet, omeprazole 20 mg tablet: enteric coated, vitamin B complex (B1,B6,B12) 100,200,0.2 mg Film coated tablets [oral], rosuvastatin 20 mg tablet, omeprazole 20 mg tablet: enteric coated, vitamin B complex (B1,B6,B12) 100,200,0.2 mg Film coated tablets [oral], rosuvastatin 20 mg tablet, tamsulosin hydrochloride 400 microgram tablet: modified release, gliclazide 60 mg tablet: modified release, tamsulosin hydrochloride 400 microgram tablet: modified release, gliclazide 60 mg tablet: modified release, tamsulosin hydrochloride 400 microgram tablet: modified release, gliclazide 60 mg tablet: modified release, tamsulosin hydrochloride 400 microgram tablet: modified release, perindopril arginine 5 mg tablet, gliclazide 60 mg tablet: modified release, tamsulosin hydrochloride 400 microgram tablet: modified release, perindopril arginine 5 mg tablet, gliclazide 60 mg tablet: modified release, tamsulosin hydrochloride 400 microgram tablet: modified release, perindopril arginine 5 mg tablet, gliclazide 60 mg tablet: modified release, rosuvastatin 20 mg tablet, rosuvastatin 20 mg tablet, rosuvastatin 20 mg tablet, omeprazole 20 mg tablet: enteric coated, metFORMIN hydrochloride 500 mg tablet, SITagliptin 100 mg tablet, vitamin B complex (B1,B6,B12) 100,200,0.2 mg Film coated tablets [oral], omeprazole 20 mg tablet: enteric coated, metFORMIN hydrochloride 500 mg tablet, SITagliptin 100 mg tablet, vitamin B complex (B1,B6,B12) 100,200,0.2 mg Film coated tablets [oral], omeprazole 20 mg tablet: enteric coated, metFORMIN hydrochloride 500 mg tablet, SITagliptin 100 mg tablet, vitamin B complex (B1,B6,B12) 100,200,0.2 mg Film coated tablets [oral]</t>
  </si>
  <si>
    <t>عبدالله طلق عون الله السلمي</t>
  </si>
  <si>
    <t>perindopril arginine, levothyroxine sodium, indapamide, metFORMIN hydrochloride, rosuvastatin, vitamin B complex (B, B</t>
  </si>
  <si>
    <t>perindopril arginine 5 mg tablet, perindopril arginine 5 mg tablet, perindopril arginine 5 mg tablet, perindopril arginine 5 mg tablet, levothyroxine sodium 100 microgram tablet, indapamide 1.5 mg tablet: modified release, levothyroxine sodium 100 microgram tablet, indapamide 1.5 mg tablet: modified release, levothyroxine sodium 100 microgram tablet, indapamide 1.5 mg tablet: modified release, levothyroxine sodium 100 microgram tablet, indapamide 1.5 mg tablet: modified release, metFORMIN hydrochloride 500 mg tablet, metFORMIN hydrochloride 500 mg tablet, metFORMIN hydrochloride 500 mg tablet, metFORMIN hydrochloride 500 mg tablet, perindopril arginine 5 mg tablet, perindopril arginine 5 mg tablet, perindopril arginine 5 mg tablet, perindopril arginine 5 mg tablet, rosuvastatin 20 mg tablet, levothyroxine sodium 25 microgram tablet, rosuvastatin 20 mg tablet, levothyroxine sodium 25 microgram tablet, rosuvastatin 20 mg tablet, levothyroxine sodium 25 microgram tablet, rosuvastatin 20 mg tablet, levothyroxine sodium 25 microgram tablet, indapamide 1.5 mg tablet: modified release, indapamide 1.5 mg tablet: modified release, indapamide 1.5 mg tablet: modified release, indapamide 1.5 mg tablet: modified release, metFORMIN hydrochloride 500 mg tablet, metFORMIN hydrochloride 500 mg tablet, metFORMIN hydrochloride 500 mg tablet, metFORMIN hydrochloride 500 mg tablet, levothyroxine sodium 100 microgram tablet, levothyroxine sodium 100 microgram tablet, levothyroxine sodium 100 microgram tablet, levothyroxine sodium 100 microgram tablet, indapamide 1.5 mg tablet: modified release, metFORMIN hydrochloride 500 mg tablet, rosuvastatin 20 mg tablet, perindopril arginine 5 mg tablet, indapamide 1.5 mg tablet: modified release, metFORMIN hydrochloride 500 mg tablet, rosuvastatin 20 mg tablet, perindopril arginine 5 mg tablet, indapamide 1.5 mg tablet: modified release, metFORMIN hydrochloride 500 mg tablet, rosuvastatin 20 mg tablet, perindopril arginine 5 mg tablet, indapamide 1.5 mg tablet: modified release, metFORMIN hydrochloride 500 mg tablet, rosuvastatin 20 mg tablet, perindopril arginine 5 mg tablet, vitamin B complex (B1,B6,B12) 100,100,0.15 mg Film coated tablets [oral], levothyroxine sodium 25 microgram tablet, vitamin B complex (B1,B6,B12) 100,100,0.15 mg Film coated tablets [oral], levothyroxine sodium 25 microgram tablet, vitamin B complex (B1,B6,B12) 100,100,0.15 mg Film coated tablets [oral], levothyroxine sodium 25 microgram tablet, vitamin B complex (B1,B6,B12) 100,100,0.15 mg Film coated tablets [oral], levothyroxine sodium 25 microgram tablet, levothyroxine sodium 100 microgram tablet, levothyroxine sodium 100 microgram tablet, levothyroxine sodium 100 microgram tablet, levothyroxine sodium 100 microgram tablet, vitamin B complex (B1,B6,B12) 100,100,0.15 mg Film coated tablets [oral], vitamin B complex (B1,B6,B12) 100,100,0.15 mg Film coated tablets [oral], vitamin B complex (B1,B6,B12) 100,100,0.15 mg Film coated tablets [oral], vitamin B complex (B1,B6,B12) 100,100,0.15 mg Film coated tablets [oral], rosuvastatin 20 mg tablet, levothyroxine sodium 25 microgram tablet, rosuvastatin 20 mg tablet, levothyroxine sodium 25 microgram tablet, rosuvastatin 20 mg tablet, levothyroxine sodium 25 microgram tablet, rosuvastatin 20 mg tablet, levothyroxine sodium 25 microgram tablet, metFORMIN hydrochloride 500 mg tablet, levothyroxine sodium 100 microgram tablet, perindopril arginine 5 mg tablet, metFORMIN hydrochloride 500 mg tablet, levothyroxine sodium 100 microgram tablet, perindopril arginine 5 mg tablet, metFORMIN hydrochloride 500 mg tablet, levothyroxine sodium 100 microgram tablet, perindopril arginine 5 mg tablet, metFORMIN hydrochloride 500 mg tablet, levothyroxine sodium 100 microgram tablet, perindopril arginine 5 mg tablet, vitamin B complex (B1,B6,B12) 100,100,0.15 mg Film coated tablets [oral], rosuvastatin 20 mg tablet, vitamin B complex (B1,B6,B12) 100,100,0.15 mg Film coated tablets [oral], rosuvastatin 20 mg tablet, vitamin B complex (B1,B6,B12) 100,100,0.15 mg Film coated tablets [oral], rosuvastatin 20 mg tablet, vitamin B complex (B1,B6,B12) 100,100,0.15 mg Film coated tablets [oral], rosuvastatin 20 mg tablet, indapamide 1.5 mg tablet: modified release, levothyroxine sodium 25 microgram tablet, indapamide 1.5 mg tablet: modified release, levothyroxine sodium 25 microgram tablet, indapamide 1.5 mg tablet: modified release, levothyroxine sodium 25 microgram tablet, indapamide 1.5 mg tablet: modified release, levothyroxine sodium 25 microgram tablet, levothyroxine sodium 100 microgram tablet, levothyroxine sodium 100 microgram tablet, levothyroxine sodium 100 microgram tablet, levothyroxine sodium 100 microgram tablet, rosuvastatin 20 mg tablet, rosuvastatin 20 mg tablet, rosuvastatin 20 mg tablet, rosuvastatin 20 mg tablet, vitamin B complex (B1,B6,B12) 100,100,0.15 mg Film coated tablets [oral], vitamin B complex (B1,B6,B12) 100,100,0.15 mg Film coated tablets [oral], vitamin B complex (B1,B6,B12) 100,100,0.15 mg Film coated tablets [oral], vitamin B complex (B1,B6,B12) 100,100,0.15 mg Film coated tablets [oral], levothyroxine sodium 25 microgram tablet, levothyroxine sodium 100 microgram tablet, rosuvastatin 20 mg tablet, levothyroxine sodium 25 microgram tablet, levothyroxine sodium 100 microgram tablet, rosuvastatin 20 mg tablet, levothyroxine sodium 25 microgram tablet, levothyroxine sodium 100 microgram tablet, rosuvastatin 20 mg tablet, levothyroxine sodium 25 microgram tablet, levothyroxine sodium 100 microgram tablet, rosuvastatin 20 mg tablet, perindopril arginine 5 mg tablet, indapamide 1.5 mg tablet: modified release, perindopril arginine 5 mg tablet, indapamide 1.5 mg tablet: modified release, perindopril arginine 5 mg tablet, indapamide 1.5 mg tablet: modified release, perindopril arginine 5 mg tablet, indapamide 1.5 mg tablet: modified release, metFORMIN hydrochloride 500 mg tablet, metFORMIN hydrochloride 500 mg tablet, metFORMIN hydrochloride 500 mg tablet, metFORMIN hydrochloride 500 mg tablet</t>
  </si>
  <si>
    <t>عبدالصمد عبدالكريم عمر الجاوي</t>
  </si>
  <si>
    <t>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t>
  </si>
  <si>
    <t>عويش عاتق غنيان السلمي</t>
  </si>
  <si>
    <t>SITagliptin 100 mg tablet, SITagliptin 100 mg tablet, SITagliptin 100 mg tablet, SITagliptin 100 mg tablet, SITagliptin 100 mg tablet, SITagliptin 100 mg tablet, SITagliptin 100 mg tablet, SITagliptin 100 mg tablet, SITagliptin 100 mg tablet, SITagliptin 100 mg tablet, SITagliptin 100 mg tablet, SITagliptin 100 mg tablet, SITagliptin 100 mg tablet, SITagliptin 100 mg tablet, SITagliptin 100 mg tablet, SITagliptin 100 mg tablet, SITagliptin 100 mg tablet, SITagliptin 100 mg tablet, SITagliptin 100 mg tablet, SITagliptin 100 mg tablet</t>
  </si>
  <si>
    <t>هند عبدالهادي هويدي السلمي</t>
  </si>
  <si>
    <t>paracetamol 500 mg tablet, paracetamol 500 mg tablet, paracetamol 500 mg tablet, paracetamol 500 mg tablet, paracetamol 500 mg tablet, paracetamol 500 mg tablet, paracetamol 500 mg tablet, paracetamol 500 mg tablet, paracetamol 500 mg tablet, paracetamol 500 mg tablet, diclofenac sodium 1% (10 mg/g) gel, diclofenac sodium 1% (10 mg/g) gel, diclofenac sodium 1% (10 mg/g) gel, diclofenac sodium 1% (10 mg/g) gel, diclofenac sodium 1% (10 mg/g) gel, paracetamol 500 mg tablet, paracetamol 500 mg tablet, paracetamol 500 mg tablet, paracetamol 500 mg tablet, paracetamol 500 mg tablet,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t>
  </si>
  <si>
    <t>امانى فاروق علي فلمبان</t>
  </si>
  <si>
    <t>vitamins (A, B, C, D, colecalciferol, sodium chloride, beta-sitosterol, calcium carbonate</t>
  </si>
  <si>
    <t>vitamins (A, B1, B2, B3, C, D3) tablet, vitamins (A, B1, B2, B3, C, D3) tablet, vitamins (A, B1, B2, B3, C, D3) tablet, vitamins (A, B1, B2, B3, C, D3) tablet, colecalciferol 5000 international units Capsules [oral], colecalciferol 5000 international units Capsules [oral], colecalciferol 5000 international units Capsules [oral], colecalciferol 5000 international units Capsules [oral], sodium chloride 0.9% (9 mg/mL) nasal spray, sodium chloride 0.9% (9 mg/mL) nasal spray, sodium chloride 0.9% (9 mg/mL) nasal spray, sodium chloride 0.9% (9 mg/mL) nasal spray, beta-sitosterol 0.25% (2.5 mg/g) ointment, beta-sitosterol 0.25% (2.5 mg/g) ointment, beta-sitosterol 0.25% (2.5 mg/g) ointment, beta-sitosterol 0.25% (2.5 mg/g) ointment,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colecalciferol 5000 international units Capsules [oral], colecalciferol 5000 international units Capsules [oral], colecalciferol 5000 international units Capsules [oral], colecalciferol 5000 international units Capsules [oral], beta-sitosterol 0.25% (2.5 mg/g) ointment, beta-sitosterol 0.25% (2.5 mg/g) ointment, beta-sitosterol 0.25% (2.5 mg/g) ointment, beta-sitosterol 0.25% (2.5 mg/g) ointment, vitamins (A, B1, B2, B3, C, D3) tablet, vitamins (A, B1, B2, B3, C, D3) tablet, vitamins (A, B1, B2, B3, C, D3) tablet, vitamins (A, B1, B2, B3, C, D3) tablet, beta-sitosterol 0.25% (2.5 mg/g) ointment, beta-sitosterol 0.25% (2.5 mg/g) ointment, beta-sitosterol 0.25% (2.5 mg/g) ointment, beta-sitosterol 0.25% (2.5 mg/g) ointment, sodium chloride 0.9% (9 mg/mL) nasal spray, vitamins (A, B1, B2, B3, C, D3) tablet, sodium chloride 0.9% (9 mg/mL) nasal spray, vitamins (A, B1, B2, B3, C, D3) tablet, sodium chloride 0.9% (9 mg/mL) nasal spray, vitamins (A, B1, B2, B3, C, D3) tablet, sodium chloride 0.9% (9 mg/mL) nasal spray, vitamins (A, B1, B2, B3, C, D3) tablet, colecalciferol 5000 international units Capsules [oral], calcium carbonate 600 mg - colecalciferol 200 international units Film coated tablets [oral], colecalciferol 5000 international units Capsules [oral], calcium carbonate 600 mg - colecalciferol 200 international units Film coated tablets [oral], colecalciferol 5000 international units Capsules [oral], calcium carbonate 600 mg - colecalciferol 200 international units Film coated tablets [oral], colecalciferol 5000 international units Capsules [oral], calcium carbonate 600 mg - colecalciferol 200 international units Film coated tablets [oral], colecalciferol 5000 international units Capsules [oral], colecalciferol 5000 international units Capsules [oral], colecalciferol 5000 international units Capsules [oral], colecalciferol 5000 international units Capsules [oral], beta-sitosterol 0.25% (2.5 mg/g) ointment, beta-sitosterol 0.25% (2.5 mg/g) ointment, beta-sitosterol 0.25% (2.5 mg/g) ointment, beta-sitosterol 0.25% (2.5 mg/g) ointment, vitamins (A, B1, B2, B3, C, D3) tablet, vitamins (A, B1, B2, B3, C, D3) tablet, vitamins (A, B1, B2, B3, C, D3) tablet, vitamins (A, B1, B2, B3, C, D3) tablet</t>
  </si>
  <si>
    <t>عيضه عوض محمد السالمي</t>
  </si>
  <si>
    <t>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t>
  </si>
  <si>
    <t>صالحه زيد علي السالمي</t>
  </si>
  <si>
    <t>diclofenac sodium 1% (10 mg/g) gel, diclofenac sodium 1% (10 mg/g) gel, diclofenac sodium 1% (10 mg/g) gel, diclofenac sodium 1% (10 mg/g) gel, diclofenac sodium 1% (10 mg/g) gel, diclofenac sodium 1% (10 mg/g) gel, diclofenac sodium 1% (10 mg/g) gel, diclofenac sodium 1% (10 mg/g) gel, diclofenac sodium 1% (10 mg/g) gel</t>
  </si>
  <si>
    <t>حمزه فيصل محمد الشريف</t>
  </si>
  <si>
    <t>mebeverine hydrochloride, hydrocortisone, metFORMIN hydrochloride, tamsulosin hydrochloride, acetylsalicylic acid, finasteride, gliclazide, paracetamol, sennosides, valsartan</t>
  </si>
  <si>
    <t>mebeverine hydrochloride 200 mg capsule: modified release, hydrocortisone 1% (10 mg/g) cream, metFORMIN hydrochloride 750 mg tablet: modified release, mebeverine hydrochloride 200 mg capsule: modified release, hydrocortisone 1% (10 mg/g) cream, metFORMIN hydrochloride 750 mg tablet: modified release, mebeverine hydrochloride 200 mg capsule: modified release, hydrocortisone 1% (10 mg/g) cream, metFORMIN hydrochloride 750 mg tablet: modified release, mebeverine hydrochloride 200 mg capsule: modified release, hydrocortisone 1% (10 mg/g) cream, metFORMIN hydrochloride 750 mg tablet: modified release, tamsulosin hydrochloride 400 microgram tablet: modified release, acetylsalicylic acid 100 mg tablet: enteric coated, tamsulosin hydrochloride 400 microgram tablet: modified release, acetylsalicylic acid 100 mg tablet: enteric coated, tamsulosin hydrochloride 400 microgram tablet: modified release, acetylsalicylic acid 100 mg tablet: enteric coated, tamsulosin hydrochloride 400 microgram tablet: modified release, acetylsalicylic acid 100 mg tablet: enteric coated, finasteride 5 mg tablet, gliclazide 60 mg tablet: modified release, paracetamol 500 mg tablet, finasteride 5 mg tablet, gliclazide 60 mg tablet: modified release, paracetamol 500 mg tablet, finasteride 5 mg tablet, gliclazide 60 mg tablet: modified release, paracetamol 500 mg tablet, finasteride 5 mg tablet, gliclazide 60 mg tablet: modified release, paracetamol 500 mg tablet, sennosides 12 mg tablet, valsartan 80 mg tablet, omeprazole 20 mg tablet: enteric coated, sennosides 12 mg tablet, valsartan 80 mg tablet, omeprazole 20 mg tablet: enteric coated, sennosides 12 mg tablet, valsartan 80 mg tablet, omeprazole 20 mg tablet: enteric coated, sennosides 12 mg tablet, valsartan 80 mg tablet, omeprazole 20 mg tablet: enteric coated, lidocaine hydrochloride 2% (20 mg/g) + tribenoside 5% (50 mg/g) rectal ointment, lidocaine hydrochloride 2% (20 mg/g) + tribenoside 5% (50 mg/g) rectal ointment, lidocaine hydrochloride 2% (20 mg/g) + tribenoside 5% (50 mg/g) rectal ointment, lidocaine hydrochloride 2% (20 mg/g) + tribenoside 5% (50 mg/g) rectal ointment, atorvastatin 20 mg tablet, empagliflozin 25 mg tablet, vitamin B complex (B1,B6,B12) 100,200,0.2 mg Film coated tablets [oral], mebeverine hydrochloride 200 mg capsule: modified release, atorvastatin 20 mg tablet, empagliflozin 25 mg tablet, vitamin B complex (B1,B6,B12) 100,200,0.2 mg Film coated tablets [oral], mebeverine hydrochloride 200 mg capsule: modified release, atorvastatin 20 mg tablet, empagliflozin 25 mg tablet, vitamin B complex (B1,B6,B12) 100,200,0.2 mg Film coated tablets [oral], mebeverine hydrochloride 200 mg capsule: modified release, atorvastatin 20 mg tablet, empagliflozin 25 mg tablet, vitamin B complex (B1,B6,B12) 100,200,0.2 mg Film coated tablets [oral], mebeverine hydrochloride 200 mg capsule: modified release, valsartan 80 mg tablet, paracetamol 500 mg tablet, gliclazide 60 mg tablet: modified release, omeprazole 20 mg tablet: enteric coated, valsartan 80 mg tablet, paracetamol 500 mg tablet, gliclazide 60 mg tablet: modified release, omeprazole 20 mg tablet: enteric coated, valsartan 80 mg tablet, paracetamol 500 mg tablet, gliclazide 60 mg tablet: modified release, omeprazole 20 mg tablet: enteric coated, valsartan 80 mg tablet, paracetamol 500 mg tablet, gliclazide 60 mg tablet: modified release, omeprazole 20 mg tablet: enteric coated, tamsulosin hydrochloride 400 microgram tablet: modified release, metFORMIN hydrochloride 750 mg tablet: modified release, tamsulosin hydrochloride 400 microgram tablet: modified release, metFORMIN hydrochloride 750 mg tablet: modified release, tamsulosin hydrochloride 400 microgram tablet: modified release, metFORMIN hydrochloride 750 mg tablet: modified release, tamsulosin hydrochloride 400 microgram tablet: modified release, metFORMIN hydrochloride 750 mg tablet: modified release, acetylsalicylic acid 100 mg tablet: enteric coated, vitamin B complex (B1,B6,B12) 100,200,0.2 mg Film coated tablets [oral], lidocaine hydrochloride 2% (20 mg/g) + tribenoside 5% (50 mg/g) rectal ointment, acetylsalicylic acid 100 mg tablet: enteric coated, vitamin B complex (B1,B6,B12) 100,200,0.2 mg Film coated tablets [oral], lidocaine hydrochloride 2% (20 mg/g) + tribenoside 5% (50 mg/g) rectal ointment, acetylsalicylic acid 100 mg tablet: enteric coated, vitamin B complex (B1,B6,B12) 100,200,0.2 mg Film coated tablets [oral], lidocaine hydrochloride 2% (20 mg/g) + tribenoside 5% (50 mg/g) rectal ointment, acetylsalicylic acid 100 mg tablet: enteric coated, vitamin B complex (B1,B6,B12) 100,200,0.2 mg Film coated tablets [oral], lidocaine hydrochloride 2% (20 mg/g) + tribenoside 5% (50 mg/g) rectal ointment, atorvastatin 20 mg tablet, sennosides 12 mg tablet, empagliflozin 25 mg tablet, hydrocortisone 1% (10 mg/g) cream, atorvastatin 20 mg tablet, sennosides 12 mg tablet, empagliflozin 25 mg tablet, hydrocortisone 1% (10 mg/g) cream, atorvastatin 20 mg tablet, sennosides 12 mg tablet, empagliflozin 25 mg tablet, hydrocortisone 1% (10 mg/g) cream, atorvastatin 20 mg tablet, sennosides 12 mg tablet, empagliflozin 25 mg tablet, hydrocortisone 1% (10 mg/g) cream, finasteride 5 mg tablet, finasteride 5 mg tablet, finasteride 5 mg tablet, finasteride 5 mg tablet, metFORMIN hydrochloride 750 mg tablet: modified release, valsartan 80 mg tablet, atorvastatin 20 mg tablet, empagliflozin 25 mg tablet, metFORMIN hydrochloride 750 mg tablet: modified release, valsartan 80 mg tablet, atorvastatin 20 mg tablet, empagliflozin 25 mg tablet, metFORMIN hydrochloride 750 mg tablet: modified release, valsartan 80 mg tablet, atorvastatin 20 mg tablet, empagliflozin 25 mg tablet, metFORMIN hydrochloride 750 mg tablet: modified release, valsartan 80 mg tablet, atorvastatin 20 mg tablet, empagliflozin 25 mg tablet, tamsulosin hydrochloride 400 microgram tablet: modified release, acetylsalicylic acid 100 mg tablet: enteric coated, lidocaine hydrochloride 2% (20 mg/g) + tribenoside 5% (50 mg/g) rectal ointment, tamsulosin hydrochloride 400 microgram tablet: modified release, acetylsalicylic acid 100 mg tablet: enteric coated, lidocaine hydrochloride 2% (20 mg/g) + tribenoside 5% (50 mg/g) rectal ointment, tamsulosin hydrochloride 400 microgram tablet: modified release, acetylsalicylic acid 100 mg tablet: enteric coated, lidocaine hydrochloride 2% (20 mg/g) + tribenoside 5% (50 mg/g) rectal ointment, tamsulosin hydrochloride 400 microgram tablet: modified release, acetylsalicylic acid 100 mg tablet: enteric coated, lidocaine hydrochloride 2% (20 mg/g) + tribenoside 5% (50 mg/g) rectal ointment, finasteride 5 mg tablet, hydrocortisone 1% (10 mg/g) cream, mebeverine hydrochloride 200 mg capsule: modified release, sennosides 12 mg tablet, finasteride 5 mg tablet, hydrocortisone 1% (10 mg/g) cream, mebeverine hydrochloride 200 mg capsule: modified release, sennosides 12 mg tablet, finasteride 5 mg tablet, hydrocortisone 1% (10 mg/g) cream, mebeverine hydrochloride 200 mg capsule: modified release, sennosides 12 mg tablet, finasteride 5 mg tablet, hydrocortisone 1% (10 mg/g) cream, mebeverine hydrochloride 200 mg capsule: modified release, sennosides 12 mg tablet, gliclazide 60 mg tablet: modified release, vitamin B complex (B1,B6,B12) 100,200,0.2 mg Film coated tablets [oral], omeprazole 20 mg tablet: enteric coated, gliclazide 60 mg tablet: modified release, vitamin B complex (B1,B6,B12) 100,200,0.2 mg Film coated tablets [oral], omeprazole 20 mg tablet: enteric coated, gliclazide 60 mg tablet: modified release, vitamin B complex (B1,B6,B12) 100,200,0.2 mg Film coated tablets [oral], omeprazole 20 mg tablet: enteric coated, gliclazide 60 mg tablet: modified release, vitamin B complex (B1,B6,B12) 100,200,0.2 mg Film coated tablets [oral], omeprazole 20 mg tablet: enteric coated, paracetamol 500 mg tablet, paracetamol 500 mg tablet, paracetamol 500 mg tablet, paracetamol 500 mg tablet</t>
  </si>
  <si>
    <t>شرايف شرف محمد الشريف</t>
  </si>
  <si>
    <t>perindopril arginine, diclofenac sodium, chlorzoxazone</t>
  </si>
  <si>
    <t>perindopril arginine 5 mg tablet, diclofenac sodium 1% (10 mg/g) gel, chlorzoxazone 250 mg + paracetamol 300 mg capsule, perindopril arginine 5 mg tablet, diclofenac sodium 1% (10 mg/g) gel, chlorzoxazone 250 mg + paracetamol 300 mg capsule, perindopril arginine 5 mg tablet, diclofenac sodium 1% (10 mg/g) gel, chlorzoxazone 250 mg + paracetamol 300 mg capsule, perindopril arginine 5 mg tablet, diclofenac sodium 1% (10 mg/g) gel, chlorzoxazone 250 mg + paracetamol 300 mg capsule, chlorzoxazone 250 mg + paracetamol 300 mg capsule, chlorzoxazone 250 mg + paracetamol 300 mg capsule, chlorzoxazone 250 mg + paracetamol 300 mg capsule, chlorzoxazone 250 mg + paracetamol 300 mg capsule, perindopril arginine 5 mg tablet, diclofenac sodium 1% (10 mg/g) gel, perindopril arginine 5 mg tablet, diclofenac sodium 1% (10 mg/g) gel, perindopril arginine 5 mg tablet, diclofenac sodium 1% (10 mg/g) gel, perindopril arginine 5 mg tablet, diclofenac sodium 1% (10 mg/g) gel, perindopril arginine 5 mg tablet, perindopril arginine 5 mg tablet, perindopril arginine 5 mg tablet, perindopril arginine 5 mg tablet, chlorzoxazone 250 mg + paracetamol 300 mg capsule, diclofenac sodium 1% (10 mg/g) gel, chlorzoxazone 250 mg + paracetamol 300 mg capsule, diclofenac sodium 1% (10 mg/g) gel, chlorzoxazone 250 mg + paracetamol 300 mg capsule, diclofenac sodium 1% (10 mg/g) gel, chlorzoxazone 250 mg + paracetamol 300 mg capsule, diclofenac sodium 1% (10 mg/g) gel</t>
  </si>
  <si>
    <t>وزنه عبدالرحمن محمد الشمراني</t>
  </si>
  <si>
    <t>vitamin B complex (B, B, valsartan, levothyroxine sodium, metFORMIN hydrochloride, cetirizine hydrochloride</t>
  </si>
  <si>
    <t>vitamin B complex (B1,B6,B12) 100,200,0.2 mg Film coated tablets [oral], valsartan 80 mg tablet, vitamin B complex (B1,B6,B12) 100,200,0.2 mg Film coated tablets [oral], valsartan 80 mg tablet, vitamin B complex (B1,B6,B12) 100,200,0.2 mg Film coated tablets [oral], valsartan 80 mg tablet, levothyroxine sodium 25 microgram tablet, metFORMIN hydrochloride 500 mg tablet, levothyroxine sodium 25 microgram tablet, metFORMIN hydrochloride 500 mg tablet, levothyroxine sodium 25 microgram tablet, metFORMIN hydrochloride 500 mg tablet, cetirizine hydrochloride 10 mg tablet, cetirizine hydrochloride 10 mg tablet, cetirizine hydrochloride 10 mg tablet, metFORMIN hydrochloride 500 mg tablet, metFORMIN hydrochloride 500 mg tablet, metFORMIN hydrochloride 500 mg tablet, levothyroxine sodium 25 microgram tablet, levothyroxine sodium 25 microgram tablet, levothyroxine sodium 25 microgram tablet, vitamin B complex (B1,B6,B12) 100,200,0.2 mg Film coated tablets [oral], vitamin B complex (B1,B6,B12) 100,200,0.2 mg Film coated tablets [oral], vitamin B complex (B1,B6,B12) 100,200,0.2 mg Film coated tablets [oral], cetirizine hydrochloride 10 mg tablet, valsartan 80 mg tablet, cetirizine hydrochloride 10 mg tablet, valsartan 80 mg tablet, cetirizine hydrochloride 10 mg tablet, valsartan 80 mg tablet</t>
  </si>
  <si>
    <t>نوير صالح حمدي الحربي</t>
  </si>
  <si>
    <t>miconazole nitrate, perindopril arginine, paracetamol, colecalciferol, calcium carbonate, amLODIPine, vitamin B complex (B, B</t>
  </si>
  <si>
    <t>miconazole nitrate 2% (20 mg/g) cream, perindopril arginine 5 mg tablet, miconazole nitrate 2% (20 mg/g) cream, perindopril arginine 5 mg tablet, miconazole nitrate 2% (20 mg/g) cream, perindopril arginine 5 mg tablet, paracetamol 500 mg tablet, colecalciferol 50 000 international units tablet, paracetamol 500 mg tablet, colecalciferol 50 000 international units tablet, paracetamol 500 mg tablet, colecalciferol 50 000 international units tablet, calcium carbonate 600 mg - colecalciferol 200 international units Film coated tablets [oral], calcium carbonate 600 mg - colecalciferol 200 international units Film coated tablets [oral], calcium carbonate 600 mg - colecalciferol 200 international units Film coated tablets [oral], amLODIPine 5 mg tablet, vitamin B complex (B1,B6,B12) 100,200,0.2 mg Film coated tablets [oral], amLODIPine 5 mg tablet, vitamin B complex (B1,B6,B12) 100,200,0.2 mg Film coated tablets [oral], amLODIPine 5 mg tablet, vitamin B complex (B1,B6,B12) 100,200,0.2 mg Film coated tablets [oral], paracetamol 500 mg tablet, perindopril arginine 5 mg tablet, miconazole nitrate 2% (20 mg/g) cream, paracetamol 500 mg tablet, perindopril arginine 5 mg tablet, miconazole nitrate 2% (20 mg/g) cream, paracetamol 500 mg tablet, perindopril arginine 5 mg tablet, miconazole nitrate 2% (20 mg/g) cream, amLODIPine 5 mg tablet, calcium carbonate 600 mg - colecalciferol 200 international units Film coated tablets [oral], vitamin B complex (B1,B6,B12) 100,200,0.2 mg Film coated tablets [oral], amLODIPine 5 mg tablet, calcium carbonate 600 mg - colecalciferol 200 international units Film coated tablets [oral], vitamin B complex (B1,B6,B12) 100,200,0.2 mg Film coated tablets [oral], amLODIPine 5 mg tablet, calcium carbonate 600 mg - colecalciferol 200 international units Film coated tablets [oral], vitamin B complex (B1,B6,B12) 100,200,0.2 mg Film coated tablets [oral], colecalciferol 50 000 international units tablet, colecalciferol 50 000 international units tablet, colecalciferol 50 000 international units tablet, miconazole nitrate 2% (20 mg/g) cream, amLODIPine 5 mg tablet, vitamin B complex (B1,B6,B12) 100,200,0.2 mg Film coated tablets [oral], miconazole nitrate 2% (20 mg/g) cream, amLODIPine 5 mg tablet, vitamin B complex (B1,B6,B12) 100,200,0.2 mg Film coated tablets [oral], miconazole nitrate 2% (20 mg/g) cream, amLODIPine 5 mg tablet, vitamin B complex (B1,B6,B12) 100,200,0.2 mg Film coated tablets [oral], calcium carbonate 600 mg - colecalciferol 200 international units Film coated tablets [oral], perindopril arginine 5 mg tablet, calcium carbonate 600 mg - colecalciferol 200 international units Film coated tablets [oral], perindopril arginine 5 mg tablet, calcium carbonate 600 mg - colecalciferol 200 international units Film coated tablets [oral], perindopril arginine 5 mg tablet, paracetamol 500 mg tablet, paracetamol 500 mg tablet, paracetamol 500 mg tablet, colecalciferol 50 000 international units tablet, colecalciferol 50 000 international units tablet, colecalciferol 50 000 international units tablet, miconazole nitrate 2% (20 mg/g) cream, perindopril arginine 5 mg tablet, miconazole nitrate 2% (20 mg/g) cream, perindopril arginine 5 mg tablet, miconazole nitrate 2% (20 mg/g) cream, perindopril arginine 5 mg tablet, vitamin B complex (B1,B6,B12) 100,200,0.2 mg Film coated tablets [oral], vitamin B complex (B1,B6,B12) 100,200,0.2 mg Film coated tablets [oral], vitamin B complex (B1,B6,B12) 100,200,0.2 mg Film coated tablets [oral], paracetamol 500 mg tablet, paracetamol 500 mg tablet, paracetamol 500 mg tablet, perindopril arginine 5 mg tablet, miconazole nitrate 2% (20 mg/g) cream, calcium carbonate 600 mg - colecalciferol 200 international units Film coated tablets [oral], perindopril arginine 5 mg tablet, miconazole nitrate 2% (20 mg/g) cream, calcium carbonate 600 mg - colecalciferol 200 international units Film coated tablets [oral], perindopril arginine 5 mg tablet, miconazole nitrate 2% (20 mg/g) cream, calcium carbonate 600 mg - colecalciferol 200 international units Film coated tablets [oral], vitamin B complex (B1,B6,B12) 100,200,0.2 mg Film coated tablets [oral], vitamin B complex (B1,B6,B12) 100,200,0.2 mg Film coated tablets [oral], vitamin B complex (B1,B6,B12) 100,200,0.2 mg Film coated tablets [oral], colecalciferol 50 000 international units tablet, colecalciferol 50 000 international units tablet, colecalciferol 50 000 international units tablet, calcium carbonate 600 mg - colecalciferol 200 international units Film coated tablets [oral], calcium carbonate 600 mg - colecalciferol 200 international units Film coated tablets [oral], calcium carbonate 600 mg - colecalciferol 200 international units Film coated tablets [oral], vitamin B complex (B1,B6,B12) 100,200,0.2 mg Film coated tablets [oral], vitamin B complex (B1,B6,B12) 100,200,0.2 mg Film coated tablets [oral], vitamin B complex (B1,B6,B12) 100,200,0.2 mg Film coated tablets [oral], perindopril arginine 5 mg tablet, perindopril arginine 5 mg tablet, perindopril arginine 5 mg tablet</t>
  </si>
  <si>
    <t>احمد ابن حماد ابن شتيان الجهني</t>
  </si>
  <si>
    <t>empagliflozin, paracetamol</t>
  </si>
  <si>
    <t>empagliflozin 10 mg tablet, empagliflozin 10 mg tablet, empagliflozin 10 mg tablet, empagliflozin 10 mg tablet, paracetamol 500 mg tablet, paracetamol 500 mg tablet, paracetamol 500 mg tablet, paracetamol 500 mg tablet, paracetamol 500 mg tablet, paracetamol 500 mg tablet, paracetamol 500 mg tablet, paracetamol 500 mg tablet, empagliflozin 10 mg tablet, empagliflozin 10 mg tablet, empagliflozin 10 mg tablet, empagliflozin 10 mg tablet</t>
  </si>
  <si>
    <t>مبيريك مسعود صالح الخميسي</t>
  </si>
  <si>
    <t>rosuvastatin, metFORMIN hydrochloride, perindopril arginine</t>
  </si>
  <si>
    <t>rosuvastatin 10 mg tablet, rosuvastatin 10 mg tablet, rosuvastatin 10 mg tablet, rosuvastatin 10 mg tablet, metFORMIN hydrochloride 500 mg tablet, metFORMIN hydrochloride 500 mg tablet, metFORMIN hydrochloride 500 mg tablet, metFORMIN hydrochloride 500 mg tablet, perindopril arginine 5 mg tablet, perindopril arginine 5 mg tablet, perindopril arginine 5 mg tablet, perindopril arginine 5 mg tablet, perindopril arginine 5 mg tablet, rosuvastatin 10 mg tablet, perindopril arginine 5 mg tablet, rosuvastatin 10 mg tablet, perindopril arginine 5 mg tablet, rosuvastatin 10 mg tablet, perindopril arginine 5 mg tablet, rosuvastatin 10 mg tablet, metFORMIN hydrochloride 500 mg tablet, metFORMIN hydrochloride 500 mg tablet, metFORMIN hydrochloride 500 mg tablet, metFORMIN hydrochloride 500 mg tablet</t>
  </si>
  <si>
    <t>عبدالعليم عطيه مبارك العصلاني</t>
  </si>
  <si>
    <t>azithromycin, budesonide</t>
  </si>
  <si>
    <t>azithromycin 250 mg capsule, azithromycin 250 mg capsule, budesonide 160 microgram/actuation + formoterol fumarate dihydrate 4.5 microgram/actuation inhalation: powder for, budesonide 160 microgram/actuation + formoterol fumarate dihydrate 4.5 microgram/actuation inhalation: powder for, azithromycin 250 mg capsule, azithromycin 250 mg capsule, budesonide 160 microgram/actuation + formoterol fumarate dihydrate 4.5 microgram/actuation inhalation: powder for, budesonide 160 microgram/actuation + formoterol fumarate dihydrate 4.5 microgram/actuation inhalation: powder for, azithromycin 250 mg capsule, azithromycin 250 mg capsule, budesonide 160 microgram/actuation + formoterol fumarate dihydrate 4.5 microgram/actuation inhalation: powder for, budesonide 160 microgram/actuation + formoterol fumarate dihydrate 4.5 microgram/actuation inhalation: powder for</t>
  </si>
  <si>
    <t>صالح سعد رجب الزهراني</t>
  </si>
  <si>
    <t>vitamin B complex (B, B, paraffin soft white ointment, tube, metFORMIN hydrochloride, perindopril arginine, Strips (Accu-Check), indapamide, rosuvastatin, diclofenac sodium</t>
  </si>
  <si>
    <t>vitamin B complex (B1,B6,B12) 100,200,0.2 mg Film coated tablets [oral], vitamin B complex (B1,B6,B12) 100,200,0.2 mg Film coated tablets [oral], paraffin soft white ointment, tube, metFORMIN hydrochloride 500 mg tablet, perindopril arginine 5 mg tablet, paraffin soft white ointment, tube, metFORMIN hydrochloride 500 mg tablet, perindopril arginine 5 mg tablet, Strips (Accu-Check) 1 box Strip [n/a], Strips (Accu-Check) 1 box Strip [n/a], metFORMIN hydrochloride 500 mg tablet, indapamide 1.5 mg tablet: modified release, Strips (Accu-Check) 1 box Strip [n/a], metFORMIN hydrochloride 500 mg tablet, indapamide 1.5 mg tablet: modified release, Strips (Accu-Check) 1 box Strip [n/a], paraffin soft white ointment, tube, vitamin B complex (B1,B6,B12) 100,200,0.2 mg Film coated tablets [oral], paraffin soft white ointment, tube, vitamin B complex (B1,B6,B12) 100,200,0.2 mg Film coated tablets [oral], rosuvastatin 20 mg tablet, diclofenac sodium 1% (10 mg/g) gel, rosuvastatin 20 mg tablet, diclofenac sodium 1% (10 mg/g) gel, empagliflozin 10 mg tablet, gliclazide 60 mg tablet: modified release, perindopril arginine 5 mg tablet, empagliflozin 10 mg tablet, gliclazide 60 mg tablet: modified release, perindopril arginine 5 mg tablet, vitamin B complex (B1,B6,B12) 100,200,0.2 mg Film coated tablets [oral], rosuvastatin 20 mg tablet, vitamin B complex (B1,B6,B12) 100,200,0.2 mg Film coated tablets [oral], rosuvastatin 20 mg tablet, perindopril arginine 5 mg tablet, perindopril arginine 5 mg tablet, Strips (Accu-Check) 1 box Strip [n/a], Strips (Accu-Check) 1 box Strip [n/a], vitamin B complex (B1,B6,B12) 100,200,0.2 mg Film coated tablets [oral], indapamide 1.5 mg tablet: modified release, gliclazide 60 mg tablet: modified release, metFORMIN hydrochloride 500 mg tablet, perindopril arginine 5 mg tablet, empagliflozin 10 mg tablet, rosuvastatin 20 mg tablet, paraffin soft white ointment, tube, diclofenac sodium 1% (10 mg/g) gel, vitamin B complex (B1,B6,B12) 100,200,0.2 mg Film coated tablets [oral], indapamide 1.5 mg tablet: modified release, gliclazide 60 mg tablet: modified release, metFORMIN hydrochloride 500 mg tablet, perindopril arginine 5 mg tablet, empagliflozin 10 mg tablet, rosuvastatin 20 mg tablet, paraffin soft white ointment, tube, diclofenac sodium 1% (10 mg/g) gel, Strips (Accu-Check) 1 box Strip [n/a], Strips (Accu-Check) 1 box Strip [n/a]</t>
  </si>
  <si>
    <t>حنان سعيد احمد الزهراني</t>
  </si>
  <si>
    <t>مسعد غزاي سعيد الشمري</t>
  </si>
  <si>
    <t>valsartan 80 mg tablet, valsartan 80 mg tablet, valsartan 80 mg tablet, amLODIPine 5 mg tablet, valsartan 80 mg tablet, amLODIPine 5 mg tablet, valsartan 80 mg tablet, amLODIPine 5 mg tablet, valsartan 80 mg tablet, valsartan 80 mg tablet, valsartan 80 mg tablet, valsartan 80 mg tablet, amLODIPine 5 mg tablet, amLODIPine 5 mg tablet, amLODIPine 5 mg tablet, amLODIPine 5 mg tablet, amLODIPine 5 mg tablet, amLODIPine 5 mg tablet, valsartan 80 mg tablet, valsartan 80 mg tablet, valsartan 80 mg tablet, valsartan 80 mg tablet, valsartan 80 mg tablet, valsartan 80 mg tablet, amLODIPine 5 mg tablet, amLODIPine 5 mg tablet, amLODIPine 5 mg tablet, valsartan 80 mg tablet, valsartan 80 mg tablet, valsartan 80 mg tablet, amLODIPine 5 mg tablet, amLODIPine 5 mg tablet, amLODIPine 5 mg tablet, valsartan 80 mg tablet, valsartan 80 mg tablet, valsartan 80 mg tablet, amLODIPine 5 mg tablet, amLODIPine 5 mg tablet, amLODIPine 5 mg tablet, amLODIPine 5 mg tablet, amLODIPine 5 mg tablet, amLODIPine 5 mg tablet, valsartan 80 mg tablet, valsartan 80 mg tablet, valsartan 80 mg tablet</t>
  </si>
  <si>
    <t>تركي بن صالح بن احمد الغامدي</t>
  </si>
  <si>
    <t>calcium carbonate, vitamin B complex (B, B, colecalciferol</t>
  </si>
  <si>
    <t>calcium carbonate 600 mg - colecalciferol 200 international units Film coated tablets [oral], vitamin B complex (B1,B6,B12) 100,200,0.2 mg Film coated tablets [oral], calcium carbonate 600 mg - colecalciferol 200 international units Film coated tablets [oral], vitamin B complex (B1,B6,B12) 100,200,0.2 mg Film coated tablets [oral], calcium carbonate 600 mg - colecalciferol 200 international units Film coated tablets [oral], vitamin B complex (B1,B6,B12) 100,200,0.2 mg Film coated tablets [oral], colecalciferol 5000 international units Capsules [oral], colecalciferol 5000 international units Capsules [oral], colecalciferol 5000 international units Capsules [oral], calcium carbonate 600 mg - colecalciferol 200 international units Film coated tablets [oral], calcium carbonate 600 mg - colecalciferol 200 international units Film coated tablets [oral], calcium carbonate 600 mg - colecalciferol 200 international units Film coated tablets [oral], colecalciferol 5000 international units Capsules [oral], colecalciferol 5000 international units Capsules [oral], colecalciferol 5000 international units Capsules [oral], vitamin B complex (B1,B6,B12) 100,200,0.2 mg Film coated tablets [oral], vitamin B complex (B1,B6,B12) 100,200,0.2 mg Film coated tablets [oral], vitamin B complex (B1,B6,B12) 100,200,0.2 mg Film coated tablets [oral], colecalciferol 5000 international units Capsules [oral], colecalciferol 5000 international units Capsules [oral], colecalciferol 5000 international units Capsules [oral], calcium carbonate 600 mg - colecalciferol 200 international units Film coated tablets [oral], calcium carbonate 600 mg - colecalciferol 200 international units Film coated tablets [oral], calcium carbonate 600 mg - colecalciferol 200 international units Film coated tablets [oral]</t>
  </si>
  <si>
    <t>حنان موسى مريغان الظاهري</t>
  </si>
  <si>
    <t>ferrous sulfate, vitamins (A, B, C, D, colecalciferol</t>
  </si>
  <si>
    <t>ferrous sulfate 190 mg Tablets [oral], ferrous sulfate 190 mg Tablets [oral], ferrous sulfate 190 mg Tablets [oral], vitamins (A, B1, B2, B3, C, D3) tablet, colecalciferol 50 000 international units tablet, vitamins (A, B1, B2, B3, C, D3) tablet, colecalciferol 50 000 international units tablet, vitamins (A, B1, B2, B3, C, D3) tablet, colecalciferol 50 000 international units tablet, ferrous sulfate 190 mg Tablets [oral], vitamins (A, B1, B2, B3, C, D3) tablet, colecalciferol 50 000 international units tablet, ferrous sulfate 190 mg Tablets [oral], vitamins (A, B1, B2, B3, C, D3) tablet, colecalciferol 50 000 international units tablet, ferrous sulfate 190 mg Tablets [oral], vitamins (A, B1, B2, B3, C, D3) tablet, colecalciferol 50 000 international units tablet</t>
  </si>
  <si>
    <t>رمزي فخري حسن تركي</t>
  </si>
  <si>
    <t>vitamin B complex (B, B, salbutamol, insulin glargine (lantus), escitalopram, valsartan, bisacodyl, atorvastatin, empagliflozin, insulin aspart</t>
  </si>
  <si>
    <t>vitamin B complex (B1,B6,B12) 100,200,0.2 mg Film coated tablets [oral], salbutamol 100 microgram/actuation inhaler, insulin glargine (lantus) 100 international units/mL injection, 3 mL prefilled pen, vitamin B complex (B1,B6,B12) 100,200,0.2 mg Film coated tablets [oral], salbutamol 100 microgram/actuation inhaler, insulin glargine (lantus) 100 international units/mL injection, 3 mL prefilled pen, vitamin B complex (B1,B6,B12) 100,200,0.2 mg Film coated tablets [oral], salbutamol 100 microgram/actuation inhaler, insulin glargine (lantus) 100 international units/mL injection, 3 mL prefilled pen, vitamin B complex (B1,B6,B12) 100,200,0.2 mg Film coated tablets [oral], salbutamol 100 microgram/actuation inhaler, insulin glargine (lantus) 100 international units/mL injection, 3 mL prefilled pen, escitalopram 10 mg tablet, valsartan 80 mg tablet, bisacodyl 10 mg suppository, escitalopram 10 mg tablet, valsartan 80 mg tablet, bisacodyl 10 mg suppository, escitalopram 10 mg tablet, valsartan 80 mg tablet, bisacodyl 10 mg suppository, escitalopram 10 mg tablet, valsartan 80 mg tablet, bisacodyl 10 mg suppository, atorvastatin 20 mg tablet, atorvastatin 20 mg tablet, atorvastatin 20 mg tablet, atorvastatin 20 mg tablet, empagliflozin 25 mg tablet, insulin aspart 100 international units/mL injection, 3 mL prefilled pen, acetylsalicylic acid 100 mg tablet: enteric coated, empagliflozin 25 mg tablet, insulin aspart 100 international units/mL injection, 3 mL prefilled pen, acetylsalicylic acid 100 mg tablet: enteric coated, empagliflozin 25 mg tablet, insulin aspart 100 international units/mL injection, 3 mL prefilled pen, acetylsalicylic acid 100 mg tablet: enteric coated, empagliflozin 25 mg tablet, insulin aspart 100 international units/mL injection, 3 mL prefilled pen, acetylsalicylic acid 100 mg tablet: enteric coated, bisacodyl 10 mg suppository, insulin aspart 100 international units/mL injection, 3 mL prefilled pen, bisacodyl 10 mg suppository, insulin aspart 100 international units/mL injection, 3 mL prefilled pen, bisacodyl 10 mg suppository, insulin aspart 100 international units/mL injection, 3 mL prefilled pen, bisacodyl 10 mg suppository, insulin aspart 100 international units/mL injection, 3 mL prefilled pen, escitalopram 10 mg tablet, vitamin B complex (B1,B6,B12) 100,200,0.2 mg Film coated tablets [oral], empagliflozin 25 mg tablet, escitalopram 10 mg tablet, vitamin B complex (B1,B6,B12) 100,200,0.2 mg Film coated tablets [oral], empagliflozin 25 mg tablet, escitalopram 10 mg tablet, vitamin B complex (B1,B6,B12) 100,200,0.2 mg Film coated tablets [oral], empagliflozin 25 mg tablet, escitalopram 10 mg tablet, vitamin B complex (B1,B6,B12) 100,200,0.2 mg Film coated tablets [oral], empagliflozin 25 mg tablet, acetylsalicylic acid 100 mg tablet: enteric coated, insulin glargine (lantus) 100 international units/mL injection, 3 mL prefilled pen, valsartan 80 mg tablet, acetylsalicylic acid 100 mg tablet: enteric coated, insulin glargine (lantus) 100 international units/mL injection, 3 mL prefilled pen, valsartan 80 mg tablet, acetylsalicylic acid 100 mg tablet: enteric coated, insulin glargine (lantus) 100 international units/mL injection, 3 mL prefilled pen, valsartan 80 mg tablet, acetylsalicylic acid 100 mg tablet: enteric coated, insulin glargine (lantus) 100 international units/mL injection, 3 mL prefilled pen, valsartan 80 mg tablet, atorvastatin 20 mg tablet, salbutamol 100 microgram/actuation inhaler, atorvastatin 20 mg tablet, salbutamol 100 microgram/actuation inhaler, atorvastatin 20 mg tablet, salbutamol 100 microgram/actuation inhaler, atorvastatin 20 mg tablet, salbutamol 100 microgram/actuation inhaler</t>
  </si>
  <si>
    <t>مطيعه عواض دبيان السلمي</t>
  </si>
  <si>
    <t>diclofenac sodium, vitamin B complex (B, B, celecoxib, SITagliptin, paracetamol, vitamins (A, C, D, perindopril arginine</t>
  </si>
  <si>
    <t>diclofenac sodium 1% (10 mg/g) gel, diclofenac sodium 1% (10 mg/g) gel, diclofenac sodium 1% (10 mg/g) gel, vitamin B complex (B1,B6,B12) 100,200,0.2 mg Film coated tablets [oral], celecoxib 200 mg capsule, vitamin B complex (B1,B6,B12) 100,200,0.2 mg Film coated tablets [oral], celecoxib 200 mg capsule, vitamin B complex (B1,B6,B12) 100,200,0.2 mg Film coated tablets [oral], celecoxib 200 mg capsule, SITagliptin 100 mg tablet, paracetamol 500 mg tablet, SITagliptin 100 mg tablet, paracetamol 500 mg tablet, SITagliptin 100 mg tablet, paracetamol 500 mg tablet, vitamins (A, B1, B2, B3, C, D3) tablet, vitamins (A, B1, B2, B3, C, D3) tablet, vitamins (A, B1, B2, B3, C, D3) tablet, SITagliptin 100 mg tablet, celecoxib 200 mg capsule, perindopril arginine 5 mg tablet, SITagliptin 100 mg tablet, celecoxib 200 mg capsule, perindopril arginine 5 mg tablet, SITagliptin 100 mg tablet, celecoxib 200 mg capsule, perindopril arginine 5 mg tablet, colecalciferol 50 000 international units tablet, vitamin B complex (B1,B6,B12) 100,200,0.2 mg Film coated tablets [oral], colecalciferol 50 000 international units tablet, vitamin B complex (B1,B6,B12) 100,200,0.2 mg Film coated tablets [oral], colecalciferol 50 000 international units tablet, vitamin B complex (B1,B6,B12) 100,200,0.2 mg Film coated tablets [oral], paracetamol 500 mg tablet, diclofenac sodium 1% (10 mg/g) gel, paracetamol 500 mg tablet, diclofenac sodium 1% (10 mg/g) gel, paracetamol 500 mg tablet, diclofenac sodium 1% (10 mg/g) gel, colecalciferol 50 000 international units tablet, vitamin B complex (B1,B6,B12) 100,200,0.2 mg Film coated tablets [oral], paracetamol 500 mg tablet, SITagliptin 100 mg tablet, perindopril arginine 5 mg tablet, celecoxib 200 mg capsule, diclofenac sodium 1% (10 mg/g) gel, vitamins (A, B1, B2, B3, C, D3) tablet, colecalciferol 50 000 international units tablet, vitamin B complex (B1,B6,B12) 100,200,0.2 mg Film coated tablets [oral], paracetamol 500 mg tablet, SITagliptin 100 mg tablet, perindopril arginine 5 mg tablet, celecoxib 200 mg capsule, diclofenac sodium 1% (10 mg/g) gel, vitamins (A, B1, B2, B3, C, D3) tablet, colecalciferol 50 000 international units tablet, vitamin B complex (B1,B6,B12) 100,200,0.2 mg Film coated tablets [oral], paracetamol 500 mg tablet, SITagliptin 100 mg tablet, perindopril arginine 5 mg tablet, celecoxib 200 mg capsule, diclofenac sodium 1% (10 mg/g) gel, vitamins (A, B1, B2, B3, C, D3) tablet, colecalciferol 50 000 international units tablet, diclofenac sodium 1% (10 mg/g) gel, colecalciferol 50 000 international units tablet, diclofenac sodium 1% (10 mg/g) gel, colecalciferol 50 000 international units tablet, diclofenac sodium 1% (10 mg/g) gel, SITagliptin 100 mg tablet, perindopril arginine 5 mg tablet, vitamin B complex (B1,B6,B12) 100,200,0.2 mg Film coated tablets [oral], SITagliptin 100 mg tablet, perindopril arginine 5 mg tablet, vitamin B complex (B1,B6,B12) 100,200,0.2 mg Film coated tablets [oral], SITagliptin 100 mg tablet, perindopril arginine 5 mg tablet, vitamin B complex (B1,B6,B12) 100,200,0.2 mg Film coated tablets [oral], paracetamol 500 mg tablet, vitamins (A, B1, B2, B3, C, D3) tablet, celecoxib 200 mg capsule, diclofenac sodium 1% (10 mg/g) gel, paracetamol 500 mg tablet, vitamins (A, B1, B2, B3, C, D3) tablet, celecoxib 200 mg capsule, diclofenac sodium 1% (10 mg/g) gel, paracetamol 500 mg tablet, vitamins (A, B1, B2, B3, C, D3) tablet, celecoxib 200 mg capsule, diclofenac sodium 1% (10 mg/g) gel, vitamin B complex (B1,B6,B12) 100,200,0.2 mg Film coated tablets [oral], perindopril arginine 5 mg tablet, vitamin B complex (B1,B6,B12) 100,200,0.2 mg Film coated tablets [oral], perindopril arginine 5 mg tablet, vitamin B complex (B1,B6,B12) 100,200,0.2 mg Film coated tablets [oral], perindopril arginine 5 mg tablet, colecalciferol 50 000 international units tablet, SITagliptin 100 mg tablet, colecalciferol 50 000 international units tablet, SITagliptin 100 mg tablet, colecalciferol 50 000 international units tablet, SITagliptin 100 mg tablet, vitamins (A, B1, B2, B3, C, D3) tablet, vitamins (A, B1, B2, B3, C, D3) tablet, vitamins (A, B1, B2, B3, C, D3) tablet, paracetamol 500 mg tablet, celecoxib 200 mg capsule, paracetamol 500 mg tablet, celecoxib 200 mg capsule, paracetamol 500 mg tablet, celecoxib 200 mg capsule, colecalciferol 50 000 international units tablet, colecalciferol 50 000 international units tablet, colecalciferol 50 000 international units tablet, SITagliptin 100 mg tablet, diclofenac sodium 1% (10 mg/g) gel, celecoxib 200 mg capsule, SITagliptin 100 mg tablet, diclofenac sodium 1% (10 mg/g) gel, celecoxib 200 mg capsule, SITagliptin 100 mg tablet, diclofenac sodium 1% (10 mg/g) gel, celecoxib 200 mg capsule, vitamin B complex (B1,B6,B12) 100,200,0.2 mg Film coated tablets [oral], perindopril arginine 5 mg tablet, paracetamol 500 mg tablet, vitamins (A, B1, B2, B3, C, D3) tablet, vitamin B complex (B1,B6,B12) 100,200,0.2 mg Film coated tablets [oral], perindopril arginine 5 mg tablet, paracetamol 500 mg tablet, vitamins (A, B1, B2, B3, C, D3) tablet, vitamin B complex (B1,B6,B12) 100,200,0.2 mg Film coated tablets [oral], perindopril arginine 5 mg tablet, paracetamol 500 mg tablet, vitamins (A, B1, B2, B3, C, D3) tablet, diclofenac sodium 1% (10 mg/g) gel, diclofenac sodium 1% (10 mg/g) gel, diclofenac sodium 1% (10 mg/g) gel, vitamin B complex (B1,B6,B12) 100,200,0.2 mg Film coated tablets [oral], celecoxib 200 mg capsule, vitamin B complex (B1,B6,B12) 100,200,0.2 mg Film coated tablets [oral], celecoxib 200 mg capsule, vitamin B complex (B1,B6,B12) 100,200,0.2 mg Film coated tablets [oral], celecoxib 200 mg capsule, SITagliptin 100 mg tablet, paracetamol 500 mg tablet, SITagliptin 100 mg tablet, paracetamol 500 mg tablet, SITagliptin 100 mg tablet, paracetamol 500 mg tablet</t>
  </si>
  <si>
    <t>عويض بن عايض بن عبدالمعطي الفارسي</t>
  </si>
  <si>
    <t>mebeverine hydrochloride, levothyroxine sodium, rosuvastatin, linagliptin, empagliflozin, gliclazide, metFORMIN hydrochloride</t>
  </si>
  <si>
    <t>mebeverine hydrochloride 200 mg capsule: modified release, levothyroxine sodium 50 microgram tablet, mebeverine hydrochloride 200 mg capsule: modified release, levothyroxine sodium 50 microgram tablet, mebeverine hydrochloride 200 mg capsule: modified release, levothyroxine sodium 50 microgram tablet, mebeverine hydrochloride 200 mg capsule: modified release, levothyroxine sodium 50 microgram tablet, mebeverine hydrochloride 200 mg capsule: modified release, levothyroxine sodium 50 microgram tablet, mebeverine hydrochloride 200 mg capsule: modified release, levothyroxine sodium 50 microgram tablet, mebeverine hydrochloride 200 mg capsule: modified release, levothyroxine sodium 50 microgram tablet, mebeverine hydrochloride 200 mg capsule: modified release, levothyroxine sodium 50 microgram tablet, mebeverine hydrochloride 200 mg capsule: modified release, levothyroxine sodium 50 microgram tablet, rosuvastatin 20 mg tablet, linagliptin 5 mg tablet, rosuvastatin 20 mg tablet, linagliptin 5 mg tablet, rosuvastatin 20 mg tablet, linagliptin 5 mg tablet, rosuvastatin 20 mg tablet, linagliptin 5 mg tablet, rosuvastatin 20 mg tablet, linagliptin 5 mg tablet, rosuvastatin 20 mg tablet, linagliptin 5 mg tablet, rosuvastatin 20 mg tablet, linagliptin 5 mg tablet, rosuvastatin 20 mg tablet, linagliptin 5 mg tablet, rosuvastatin 20 mg tablet, linagliptin 5 mg tablet, empagliflozin 25 mg tablet, empagliflozin 25 mg tablet, empagliflozin 25 mg tablet, empagliflozin 25 mg tablet, empagliflozin 25 mg tablet, empagliflozin 25 mg tablet, empagliflozin 25 mg tablet, empagliflozin 25 mg tablet, empagliflozin 25 mg tablet, gliclazide 30 mg tablet: modified release, metFORMIN hydrochloride 500 mg tablet, gliclazide 30 mg tablet: modified release, metFORMIN hydrochloride 500 mg tablet, gliclazide 30 mg tablet: modified release, metFORMIN hydrochloride 500 mg tablet, gliclazide 30 mg tablet: modified release, metFORMIN hydrochloride 500 mg tablet, gliclazide 30 mg tablet: modified release, metFORMIN hydrochloride 500 mg tablet, gliclazide 30 mg tablet: modified release, metFORMIN hydrochloride 500 mg tablet, gliclazide 30 mg tablet: modified release, metFORMIN hydrochloride 500 mg tablet, gliclazide 30 mg tablet: modified release, metFORMIN hydrochloride 500 mg tablet, gliclazide 30 mg tablet: modified release, metFORMIN hydrochloride 500 mg tablet, linagliptin 5 mg tablet, gliclazide 30 mg tablet: modified release, mebeverine hydrochloride 200 mg capsule: modified release, linagliptin 5 mg tablet, gliclazide 30 mg tablet: modified release, mebeverine hydrochloride 200 mg capsule: modified release, linagliptin 5 mg tablet, gliclazide 30 mg tablet: modified release, mebeverine hydrochloride 200 mg capsule: modified release, linagliptin 5 mg tablet, gliclazide 30 mg tablet: modified release, mebeverine hydrochloride 200 mg capsule: modified release, linagliptin 5 mg tablet, gliclazide 30 mg tablet: modified release, mebeverine hydrochloride 200 mg capsule: modified release, linagliptin 5 mg tablet, gliclazide 30 mg tablet: modified release, mebeverine hydrochloride 200 mg capsule: modified release, linagliptin 5 mg tablet, gliclazide 30 mg tablet: modified release, mebeverine hydrochloride 200 mg capsule: modified release, linagliptin 5 mg tablet, gliclazide 30 mg tablet: modified release, mebeverine hydrochloride 200 mg capsule: modified release, linagliptin 5 mg tablet, gliclazide 30 mg tablet: modified release, mebeverine hydrochloride 200 mg capsule: modified release, empagliflozin 25 mg tablet, empagliflozin 25 mg tablet, empagliflozin 25 mg tablet, empagliflozin 25 mg tablet, empagliflozin 25 mg tablet, empagliflozin 25 mg tablet, empagliflozin 25 mg tablet, empagliflozin 25 mg tablet, empagliflozin 25 mg tablet, levothyroxine sodium 25 microgram tablet, metFORMIN hydrochloride 500 mg tablet, rosuvastatin 20 mg tablet, levothyroxine sodium 25 microgram tablet, metFORMIN hydrochloride 500 mg tablet, rosuvastatin 20 mg tablet, levothyroxine sodium 25 microgram tablet, metFORMIN hydrochloride 500 mg tablet, rosuvastatin 20 mg tablet, levothyroxine sodium 25 microgram tablet, metFORMIN hydrochloride 500 mg tablet, rosuvastatin 20 mg tablet, levothyroxine sodium 25 microgram tablet, metFORMIN hydrochloride 500 mg tablet, rosuvastatin 20 mg tablet, levothyroxine sodium 25 microgram tablet, metFORMIN hydrochloride 500 mg tablet, rosuvastatin 20 mg tablet, levothyroxine sodium 25 microgram tablet, metFORMIN hydrochloride 500 mg tablet, rosuvastatin 20 mg tablet, levothyroxine sodium 25 microgram tablet, metFORMIN hydrochloride 500 mg tablet, rosuvastatin 20 mg tablet, levothyroxine sodium 25 microgram tablet, metFORMIN hydrochloride 500 mg tablet, rosuvastatin 20 mg tablet, levothyroxine sodium 50 microgram tablet, levothyroxine sodium 50 microgram tablet, levothyroxine sodium 50 microgram tablet, levothyroxine sodium 50 microgram tablet, levothyroxine sodium 50 microgram tablet, levothyroxine sodium 50 microgram tablet, levothyroxine sodium 50 microgram tablet, levothyroxine sodium 50 microgram tablet, levothyroxine sodium 50 microgram tablet, rosuvastatin 20 mg tablet, levothyroxine sodium 25 microgram tablet, rosuvastatin 20 mg tablet, levothyroxine sodium 25 microgram tablet, rosuvastatin 20 mg tablet, levothyroxine sodium 25 microgram tablet, rosuvastatin 20 mg tablet, levothyroxine sodium 25 microgram tablet, rosuvastatin 20 mg tablet, levothyroxine sodium 25 microgram tablet, rosuvastatin 20 mg tablet, levothyroxine sodium 25 microgram tablet, rosuvastatin 20 mg tablet, levothyroxine sodium 25 microgram tablet, rosuvastatin 20 mg tablet, levothyroxine sodium 25 microgram tablet, rosuvastatin 20 mg tablet, levothyroxine sodium 25 microgram tablet, gliclazide 30 mg tablet: modified release, metFORMIN hydrochloride 500 mg tablet, empagliflozin 25 mg tablet, gliclazide 30 mg tablet: modified release, metFORMIN hydrochloride 500 mg tablet, empagliflozin 25 mg tablet, gliclazide 30 mg tablet: modified release, metFORMIN hydrochloride 500 mg tablet, empagliflozin 25 mg tablet, gliclazide 30 mg tablet: modified release, metFORMIN hydrochloride 500 mg tablet, empagliflozin 25 mg tablet, gliclazide 30 mg tablet: modified release, metFORMIN hydrochloride 500 mg tablet, empagliflozin 25 mg tablet, gliclazide 30 mg tablet: modified release, metFORMIN hydrochloride 500 mg tablet, empagliflozin 25 mg tablet, gliclazide 30 mg tablet: modified release, metFORMIN hydrochloride 500 mg tablet, empagliflozin 25 mg tablet, gliclazide 30 mg tablet: modified release, metFORMIN hydrochloride 500 mg tablet, empagliflozin 25 mg tablet, gliclazide 30 mg tablet: modified release, metFORMIN hydrochloride 500 mg tablet, empagliflozin 25 mg tablet, linagliptin 5 mg tablet, mebeverine hydrochloride 200 mg capsule: modified release, linagliptin 5 mg tablet, mebeverine hydrochloride 200 mg capsule: modified release, linagliptin 5 mg tablet, mebeverine hydrochloride 200 mg capsule: modified release, linagliptin 5 mg tablet, mebeverine hydrochloride 200 mg capsule: modified release, linagliptin 5 mg tablet, mebeverine hydrochloride 200 mg capsule: modified release, linagliptin 5 mg tablet, mebeverine hydrochloride 200 mg capsule: modified release, linagliptin 5 mg tablet, mebeverine hydrochloride 200 mg capsule: modified release, linagliptin 5 mg tablet, mebeverine hydrochloride 200 mg capsule: modified release, linagliptin 5 mg tablet, mebeverine hydrochloride 200 mg capsule: modified release, levothyroxine sodium 50 microgram tablet, levothyroxine sodium 50 microgram tablet, levothyroxine sodium 50 microgram tablet, levothyroxine sodium 50 microgram tablet, levothyroxine sodium 50 microgram tablet, levothyroxine sodium 50 microgram tablet, levothyroxine sodium 50 microgram tablet, levothyroxine sodium 50 microgram tablet, levothyroxine sodium 50 microgram tablet, linagliptin 5 mg tablet, gliclazide 30 mg tablet: modified release, linagliptin 5 mg tablet, gliclazide 30 mg tablet: modified release, linagliptin 5 mg tablet, gliclazide 30 mg tablet: modified release, linagliptin 5 mg tablet, gliclazide 30 mg tablet: modified release, linagliptin 5 mg tablet, gliclazide 30 mg tablet: modified release, linagliptin 5 mg tablet, gliclazide 30 mg tablet: modified release, linagliptin 5 mg tablet, gliclazide 30 mg tablet: modified release, linagliptin 5 mg tablet, gliclazide 30 mg tablet: modified release, linagliptin 5 mg tablet, gliclazide 30 mg tablet: modified release, metFORMIN hydrochloride 500 mg tablet, levothyroxine sodium 50 microgram tablet, metFORMIN hydrochloride 500 mg tablet, levothyroxine sodium 50 microgram tablet, metFORMIN hydrochloride 500 mg tablet, levothyroxine sodium 50 microgram tablet, metFORMIN hydrochloride 500 mg tablet, levothyroxine sodium 50 microgram tablet, metFORMIN hydrochloride 500 mg tablet, levothyroxine sodium 50 microgram tablet, metFORMIN hydrochloride 500 mg tablet, levothyroxine sodium 50 microgram tablet, metFORMIN hydrochloride 500 mg tablet, levothyroxine sodium 50 microgram tablet, metFORMIN hydrochloride 500 mg tablet, levothyroxine sodium 50 microgram tablet, metFORMIN hydrochloride 500 mg tablet, levothyroxine sodium 50 microgram tablet, levothyroxine sodium 25 microgram tablet, rosuvastatin 20 mg tablet, levothyroxine sodium 25 microgram tablet, rosuvastatin 20 mg tablet, levothyroxine sodium 25 microgram tablet, rosuvastatin 20 mg tablet, levothyroxine sodium 25 microgram tablet, rosuvastatin 20 mg tablet, levothyroxine sodium 25 microgram tablet, rosuvastatin 20 mg tablet, levothyroxine sodium 25 microgram tablet, rosuvastatin 20 mg tablet, levothyroxine sodium 25 microgram tablet, rosuvastatin 20 mg tablet, levothyroxine sodium 25 microgram tablet, rosuvastatin 20 mg tablet, levothyroxine sodium 25 microgram tablet, rosuvastatin 20 mg tablet,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empagliflozin 25 mg tablet, empagliflozin 25 mg tablet, empagliflozin 25 mg tablet, empagliflozin 25 mg tablet, empagliflozin 25 mg tablet, empagliflozin 25 mg tablet, empagliflozin 25 mg tablet, empagliflozin 25 mg tablet, empagliflozin 25 mg tablet, linagliptin 5 mg tablet, metFORMIN hydrochloride 500 mg tablet, levothyroxine sodium 25 microgram tablet, linagliptin 5 mg tablet, metFORMIN hydrochloride 500 mg tablet, levothyroxine sodium 25 microgram tablet, linagliptin 5 mg tablet, metFORMIN hydrochloride 500 mg tablet, levothyroxine sodium 25 microgram tablet, linagliptin 5 mg tablet, metFORMIN hydrochloride 500 mg tablet, levothyroxine sodium 25 microgram tablet, linagliptin 5 mg tablet, metFORMIN hydrochloride 500 mg tablet, levothyroxine sodium 25 microgram tablet, linagliptin 5 mg tablet, metFORMIN hydrochloride 500 mg tablet, levothyroxine sodium 25 microgram tablet, linagliptin 5 mg tablet, metFORMIN hydrochloride 500 mg tablet, levothyroxine sodium 25 microgram tablet, linagliptin 5 mg tablet, metFORMIN hydrochloride 500 mg tablet, levothyroxine sodium 25 microgram tablet, linagliptin 5 mg tablet, metFORMIN hydrochloride 500 mg tablet, levothyroxine sodium 25 microgram tablet, levothyroxine sodium 50 microgram tablet, empagliflozin 25 mg tablet, levothyroxine sodium 50 microgram tablet, empagliflozin 25 mg tablet, levothyroxine sodium 50 microgram tablet, empagliflozin 25 mg tablet, levothyroxine sodium 50 microgram tablet, empagliflozin 25 mg tablet, levothyroxine sodium 50 microgram tablet, empagliflozin 25 mg tablet, levothyroxine sodium 50 microgram tablet, empagliflozin 25 mg tablet, levothyroxine sodium 50 microgram tablet, empagliflozin 25 mg tablet, levothyroxine sodium 50 microgram tablet, empagliflozin 25 mg tablet, levothyroxine sodium 50 microgram tablet, empagliflozin 25 mg tablet, rosuvastatin 20 mg tablet, mebeverine hydrochloride 200 mg capsule: modified release, gliclazide 30 mg tablet: modified release, rosuvastatin 20 mg tablet, mebeverine hydrochloride 200 mg capsule: modified release, gliclazide 30 mg tablet: modified release, rosuvastatin 20 mg tablet, mebeverine hydrochloride 200 mg capsule: modified release, gliclazide 30 mg tablet: modified release, rosuvastatin 20 mg tablet, mebeverine hydrochloride 200 mg capsule: modified release, gliclazide 30 mg tablet: modified release, rosuvastatin 20 mg tablet, mebeverine hydrochloride 200 mg capsule: modified release, gliclazide 30 mg tablet: modified release, rosuvastatin 20 mg tablet, mebeverine hydrochloride 200 mg capsule: modified release, gliclazide 30 mg tablet: modified release, rosuvastatin 20 mg tablet, mebeverine hydrochloride 200 mg capsule: modified release, gliclazide 30 mg tablet: modified release, rosuvastatin 20 mg tablet, mebeverine hydrochloride 200 mg capsule: modified release, gliclazide 30 mg tablet: modified release, rosuvastatin 20 mg tablet, mebeverine hydrochloride 200 mg capsule: modified release, gliclazide 30 mg tablet: modified release, levothyroxine sodium 25 microgram tablet, levothyroxine sodium 25 microgram tablet, levothyroxine sodium 25 microgram tablet, levothyroxine sodium 25 microgram tablet, levothyroxine sodium 25 microgram tablet, levothyroxine sodium 25 microgram tablet, levothyroxine sodium 25 microgram tablet, levothyroxine sodium 25 microgram tablet, levothyroxine sodium 25 microgram tablet,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linagliptin 5 mg tablet, levothyroxine sodium 50 microgram tablet, linagliptin 5 mg tablet, levothyroxine sodium 50 microgram tablet, linagliptin 5 mg tablet, levothyroxine sodium 50 microgram tablet, linagliptin 5 mg tablet, levothyroxine sodium 50 microgram tablet, linagliptin 5 mg tablet, levothyroxine sodium 50 microgram tablet, linagliptin 5 mg tablet, levothyroxine sodium 50 microgram tablet, linagliptin 5 mg tablet, levothyroxine sodium 50 microgram tablet, linagliptin 5 mg tablet, levothyroxine sodium 50 microgram tablet, linagliptin 5 mg tablet, levothyroxine sodium 50 microgram tablet, metFORMIN hydrochloride 500 mg tablet, mebeverine hydrochloride 200 mg capsule: modified release, empagliflozin 25 mg tablet, metFORMIN hydrochloride 500 mg tablet, mebeverine hydrochloride 200 mg capsule: modified release, empagliflozin 25 mg tablet, metFORMIN hydrochloride 500 mg tablet, mebeverine hydrochloride 200 mg capsule: modified release, empagliflozin 25 mg tablet, metFORMIN hydrochloride 500 mg tablet, mebeverine hydrochloride 200 mg capsule: modified release, empagliflozin 25 mg tablet, metFORMIN hydrochloride 500 mg tablet, mebeverine hydrochloride 200 mg capsule: modified release, empagliflozin 25 mg tablet, metFORMIN hydrochloride 500 mg tablet, mebeverine hydrochloride 200 mg capsule: modified release, empagliflozin 25 mg tablet, metFORMIN hydrochloride 500 mg tablet, mebeverine hydrochloride 200 mg capsule: modified release, empagliflozin 25 mg tablet, metFORMIN hydrochloride 500 mg tablet, mebeverine hydrochloride 200 mg capsule: modified release, empagliflozin 25 mg tablet, metFORMIN hydrochloride 500 mg tablet, mebeverine hydrochloride 200 mg capsule: modified release, empagliflozin 25 mg tablet, rosuvastatin 20 mg tablet, rosuvastatin 20 mg tablet, rosuvastatin 20 mg tablet, rosuvastatin 20 mg tablet, rosuvastatin 20 mg tablet, rosuvastatin 20 mg tablet, rosuvastatin 20 mg tablet, rosuvastatin 20 mg tablet, rosuvastatin 20 mg tablet, rosuvastatin 20 mg tablet, levothyroxine sodium 50 microgram tablet, mebeverine hydrochloride 200 mg capsule: modified release, rosuvastatin 20 mg tablet, levothyroxine sodium 50 microgram tablet, mebeverine hydrochloride 200 mg capsule: modified release, rosuvastatin 20 mg tablet, levothyroxine sodium 50 microgram tablet, mebeverine hydrochloride 200 mg capsule: modified release, rosuvastatin 20 mg tablet, levothyroxine sodium 50 microgram tablet, mebeverine hydrochloride 200 mg capsule: modified release, rosuvastatin 20 mg tablet, levothyroxine sodium 50 microgram tablet, mebeverine hydrochloride 200 mg capsule: modified release, rosuvastatin 20 mg tablet, levothyroxine sodium 50 microgram tablet, mebeverine hydrochloride 200 mg capsule: modified release, rosuvastatin 20 mg tablet, levothyroxine sodium 50 microgram tablet, mebeverine hydrochloride 200 mg capsule: modified release, rosuvastatin 20 mg tablet, levothyroxine sodium 50 microgram tablet, mebeverine hydrochloride 200 mg capsule: modified release, rosuvastatin 20 mg tablet, levothyroxine sodium 50 microgram tablet, mebeverine hydrochloride 200 mg capsule: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empagliflozin 25 mg tablet, linagliptin 5 mg tablet, metFORMIN hydrochloride 500 mg tablet, empagliflozin 25 mg tablet, linagliptin 5 mg tablet, metFORMIN hydrochloride 500 mg tablet, empagliflozin 25 mg tablet, linagliptin 5 mg tablet, metFORMIN hydrochloride 500 mg tablet, empagliflozin 25 mg tablet, linagliptin 5 mg tablet, metFORMIN hydrochloride 500 mg tablet, empagliflozin 25 mg tablet, linagliptin 5 mg tablet, metFORMIN hydrochloride 500 mg tablet, empagliflozin 25 mg tablet, linagliptin 5 mg tablet, metFORMIN hydrochloride 500 mg tablet, empagliflozin 25 mg tablet, linagliptin 5 mg tablet, metFORMIN hydrochloride 500 mg tablet, empagliflozin 25 mg tablet, linagliptin 5 mg tablet, metFORMIN hydrochloride 500 mg tablet, empagliflozin 25 mg tablet, linagliptin 5 mg tablet, metFORMIN hydrochloride 500 mg tablet, empagliflozin 25 mg tablet, empagliflozin 25 mg tablet, empagliflozin 25 mg tablet, empagliflozin 25 mg tablet, empagliflozin 25 mg tablet, empagliflozin 25 mg tablet, empagliflozin 25 mg tablet, empagliflozin 25 mg tablet, empagliflozin 25 mg tablet</t>
  </si>
  <si>
    <t>Diabetes, Dyslipidemia, Thyroid</t>
  </si>
  <si>
    <t>نجوى علي بن مبروك الزهراني</t>
  </si>
  <si>
    <t>نايف بن عبدالعزيز بن سعد التويم</t>
  </si>
  <si>
    <t>perindopril arginine, colecalciferol, acetylsalicylic acid</t>
  </si>
  <si>
    <t>perindopril arginine 5 mg tablet, perindopril arginine 5 mg tablet, perindopril arginine 5 mg tablet, perindopril arginine 5 mg tablet, colecalciferol 50 000 international units tablet, acetylsalicylic acid 100 mg tablet: enteric coated, colecalciferol 50 000 international units tablet, acetylsalicylic acid 100 mg tablet: enteric coated, colecalciferol 50 000 international units tablet, acetylsalicylic acid 100 mg tablet: enteric coated, colecalciferol 50 000 international units tablet, acetylsalicylic acid 100 mg tablet: enteric coated, acetylsalicylic acid 100 mg tablet: enteric coated, acetylsalicylic acid 100 mg tablet: enteric coated, acetylsalicylic acid 100 mg tablet: enteric coated, acetylsalicylic acid 100 mg tablet: enteric coated, colecalciferol 50 000 international units tablet, colecalciferol 50 000 international units tablet, colecalciferol 50 000 international units tablet, colecalciferol 50 000 international units tablet, perindopril arginine 5 mg tablet, perindopril arginine 5 mg tablet, perindopril arginine 5 mg tablet, perindopril arginine 5 mg tablet, perindopril arginine 5 mg tablet, perindopril arginine 5 mg tablet, perindopril arginine 5 mg tablet, perindopril arginine 5 mg tablet, acetylsalicylic acid 100 mg tablet: enteric coated, acetylsalicylic acid 100 mg tablet: enteric coated, acetylsalicylic acid 100 mg tablet: enteric coated, acetylsalicylic acid 100 mg tablet: enteric coated, colecalciferol 50 000 international units tablet, colecalciferol 50 000 international units tablet, colecalciferol 50 000 international units tablet, colecalciferol 50 000 international units tablet</t>
  </si>
  <si>
    <t>Antiplatelet, Vitamins/Supplements</t>
  </si>
  <si>
    <t>عبدالعزيز محمد مصطفي عبدالجواد</t>
  </si>
  <si>
    <t>gliclazide, omeprazole, metFORMIN hydrochloride, vitamin B complex (B, B, linagliptin</t>
  </si>
  <si>
    <t>gliclazide 60 mg tablet: modified release, omeprazole 20 mg tablet: enteric coated, gliclazide 60 mg tablet: modified release, omeprazole 20 mg tablet: enteric coated, metFORMIN hydrochloride 750 mg tablet: modified release, vitamin B complex (B1,B6,B12) 100,200,0.2 mg Film coated tablets [oral], linagliptin 5 mg tablet, metFORMIN hydrochloride 750 mg tablet: modified release, vitamin B complex (B1,B6,B12) 100,200,0.2 mg Film coated tablets [oral], linagliptin 5 mg tablet, gliclazide 60 mg tablet: modified release, gliclazide 60 mg tablet: modified release, metFORMIN hydrochloride 750 mg tablet: modified release, omeprazole 20 mg tablet: enteric coated, metFORMIN hydrochloride 750 mg tablet: modified release, omeprazole 20 mg tablet: enteric coated, vitamin B complex (B1,B6,B12) 100,200,0.2 mg Film coated tablets [oral], linagliptin 5 mg tablet, vitamin B complex (B1,B6,B12) 100,200,0.2 mg Film coated tablets [oral], linagliptin 5 mg tablet, vitamin B complex (B1,B6,B12) 100,200,0.2 mg Film coated tablets [oral], vitamin B complex (B1,B6,B12) 100,200,0.2 mg Film coated tablets [oral], linagliptin 5 mg tablet, linagliptin 5 mg tablet, gliclazide 60 mg tablet: modified release, metFORMIN hydrochloride 750 mg tablet: modified release, gliclazide 60 mg tablet: modified release, metFORMIN hydrochloride 750 mg tablet: modified release, omeprazole 20 mg tablet: enteric coated, omeprazole 20 mg tablet: enteric coated</t>
  </si>
  <si>
    <t>زين سعيد محمد الغامدي</t>
  </si>
  <si>
    <t>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t>
  </si>
  <si>
    <t>فوزيه عواد سعد الاحمدي</t>
  </si>
  <si>
    <t>سعيدة محمد جايز الشهراني</t>
  </si>
  <si>
    <t>diclofenac sodium, chlorzoxazone</t>
  </si>
  <si>
    <t>diclofenac sodium 1% (10 mg/g) gel, diclofenac sodium 1% (10 mg/g) gel, diclofenac sodium 1% (10 mg/g) gel, chlorzoxazone 250 mg + paracetamol 300 mg capsule, chlorzoxazone 250 mg + paracetamol 300 mg capsule, chlorzoxazone 250 mg + paracetamol 300 mg capsule, diclofenac sodium 1% (10 mg/g) gel, diclofenac sodium 1% (10 mg/g) gel, diclofenac sodium 1% (10 mg/g) gel, chlorzoxazone 250 mg + paracetamol 300 mg capsule, chlorzoxazone 250 mg + paracetamol 300 mg capsule, chlorzoxazone 250 mg + paracetamol 300 mg capsule, chlorzoxazone 250 mg + paracetamol 300 mg capsule, chlorzoxazone 250 mg + paracetamol 300 mg capsule, chlorzoxazone 250 mg + paracetamol 300 mg capsule, diclofenac sodium 1% (10 mg/g) gel, diclofenac sodium 1% (10 mg/g) gel, diclofenac sodium 1% (10 mg/g) gel</t>
  </si>
  <si>
    <t>مستوره فيصل عويد العمري</t>
  </si>
  <si>
    <t>rosuvastatin, meloxicam, valsartan, acetylsalicylic acid, atenolol, vitamin B complex (B, B, gliclazide, SITagliptin, omeprazole</t>
  </si>
  <si>
    <t>rosuvastatin 20 mg tablet, rosuvastatin 20 mg tablet, rosuvastatin 20 mg tablet, meloxicam 7.5 mg tablet, valsartan 80 mg tablet, acetylsalicylic acid 100 mg tablet: enteric coated, meloxicam 7.5 mg tablet, valsartan 80 mg tablet, acetylsalicylic acid 100 mg tablet: enteric coated, meloxicam 7.5 mg tablet, valsartan 80 mg tablet, acetylsalicylic acid 100 mg tablet: enteric coated, atenolol 50 mg tablet, vitamin B complex (B1,B6,B12) 100,200,0.2 mg Film coated tablets [oral], gliclazide 60 mg tablet: modified release, SITagliptin 100 mg tablet, omeprazole 20 mg tablet: enteric coated, atenolol 50 mg tablet, vitamin B complex (B1,B6,B12) 100,200,0.2 mg Film coated tablets [oral], gliclazide 60 mg tablet: modified release, SITagliptin 100 mg tablet, omeprazole 20 mg tablet: enteric coated, atenolol 50 mg tablet, vitamin B complex (B1,B6,B12) 100,200,0.2 mg Film coated tablets [oral], gliclazide 60 mg tablet: modified release, SITagliptin 100 mg tablet, omeprazole 20 mg tablet: enteric coated, metFORMIN hydrochloride 500 mg tablet, metFORMIN hydrochloride 500 mg tablet, metFORMIN hydrochloride 500 mg tablet, SITagliptin 100 mg tablet, SITagliptin 100 mg tablet, SITagliptin 100 mg tablet, meloxicam 7.5 mg tablet, vitamin B complex (B1,B6,B12) 100,200,0.2 mg Film coated tablets [oral], rosuvastatin 20 mg tablet, meloxicam 7.5 mg tablet, vitamin B complex (B1,B6,B12) 100,200,0.2 mg Film coated tablets [oral], rosuvastatin 20 mg tablet, meloxicam 7.5 mg tablet, vitamin B complex (B1,B6,B12) 100,200,0.2 mg Film coated tablets [oral], rosuvastatin 20 mg tablet, gliclazide 60 mg tablet: modified release, valsartan 80 mg tablet, omeprazole 20 mg tablet: enteric coated, gliclazide 60 mg tablet: modified release, valsartan 80 mg tablet, omeprazole 20 mg tablet: enteric coated, gliclazide 60 mg tablet: modified release, valsartan 80 mg tablet, omeprazole 20 mg tablet: enteric coated, atenolol 50 mg tablet, acetylsalicylic acid 100 mg tablet: enteric coated, metFORMIN hydrochloride 500 mg tablet, atenolol 50 mg tablet, acetylsalicylic acid 100 mg tablet: enteric coated, metFORMIN hydrochloride 500 mg tablet, atenolol 50 mg tablet, acetylsalicylic acid 100 mg tablet: enteric coated, metFORMIN hydrochloride 500 mg tablet</t>
  </si>
  <si>
    <t>سمير عبدالله محمد خليل</t>
  </si>
  <si>
    <t>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t>
  </si>
  <si>
    <t>رثعاء عبدالله دوخ الغامدي</t>
  </si>
  <si>
    <t>valsartan, indapamide, atorvastatin, acetylsalicylic acid, omeprazole, amLODIPine</t>
  </si>
  <si>
    <t>valsartan 80 mg tablet, valsartan 80 mg tablet, valsartan 80 mg tablet, valsartan 80 mg tablet, indapamide 1.5 mg tablet: modified release, indapamide 1.5 mg tablet: modified release, indapamide 1.5 mg tablet: modified release, indapamide 1.5 mg tablet: modified release, atorvastatin 20 mg tablet, acetylsalicylic acid 100 mg tablet: enteric coated, omeprazole 20 mg tablet: enteric coated, amLODIPine 10 mg capsule, atorvastatin 20 mg tablet, acetylsalicylic acid 100 mg tablet: enteric coated, omeprazole 20 mg tablet: enteric coated, amLODIPine 10 mg capsule, atorvastatin 20 mg tablet, acetylsalicylic acid 100 mg tablet: enteric coated, omeprazole 20 mg tablet: enteric coated, amLODIPine 10 mg capsule, atorvastatin 20 mg tablet, acetylsalicylic acid 100 mg tablet: enteric coated, omeprazole 20 mg tablet: enteric coated, amLODIPine 10 mg capsule, valsartan 80 mg tablet, atorvastatin 20 mg tablet, valsartan 80 mg tablet, atorvastatin 20 mg tablet, valsartan 80 mg tablet, atorvastatin 20 mg tablet, valsartan 80 mg tablet, atorvastatin 20 mg tablet, indapamide 1.5 mg tablet: modified release, indapamide 1.5 mg tablet: modified release, indapamide 1.5 mg tablet: modified release, indapamide 1.5 mg tablet: modified release, omeprazole 20 mg tablet: enteric coated, omeprazole 20 mg tablet: enteric coated, omeprazole 20 mg tablet: enteric coated, omeprazole 20 mg tablet: enteric coated, amLODIPine 10 mg capsule, acetylsalicylic acid 100 mg tablet: enteric coated, amLODIPine 10 mg capsule, acetylsalicylic acid 100 mg tablet: enteric coated, amLODIPine 10 mg capsule, acetylsalicylic acid 100 mg tablet: enteric coated, amLODIPine 10 mg capsule, acetylsalicylic acid 100 mg tablet: enteric coated, amLODIPine 10 mg capsule, acetylsalicylic acid 100 mg tablet: enteric coated, amLODIPine 10 mg capsule, acetylsalicylic acid 100 mg tablet: enteric coated, amLODIPine 10 mg capsule, acetylsalicylic acid 100 mg tablet: enteric coated, amLODIPine 10 mg capsule, acetylsalicylic acid 100 mg tablet: enteric coated, valsartan 80 mg tablet, valsartan 80 mg tablet, valsartan 80 mg tablet, valsartan 80 mg tablet, atorvastatin 20 mg tablet, indapamide 1.5 mg tablet: modified release, atorvastatin 20 mg tablet, indapamide 1.5 mg tablet: modified release, atorvastatin 20 mg tablet, indapamide 1.5 mg tablet: modified release, atorvastatin 20 mg tablet, indapamide 1.5 mg tablet: modified release, omeprazole 20 mg tablet: enteric coated, omeprazole 20 mg tablet: enteric coated, omeprazole 20 mg tablet: enteric coated, omeprazole 20 mg tablet: enteric coated</t>
  </si>
  <si>
    <t>محمد حمادي حمد الجدعاني</t>
  </si>
  <si>
    <t>tamsulosin hydrochloride, diclofenac sodium, celecoxib</t>
  </si>
  <si>
    <t>tamsulosin hydrochloride 400 microgram tablet: modified release, tamsulosin hydrochloride 400 microgram tablet: modified release, tamsulosin hydrochloride 400 microgram tablet: modified release, tamsulosin hydrochloride 400 microgram tablet: modified release, tamsulosin hydrochloride 400 microgram tablet: modified release, diclofenac sodium 1% (10 mg/g) gel, celecoxib 200 mg capsule, diclofenac sodium 1% (10 mg/g) gel, celecoxib 200 mg capsule, diclofenac sodium 1% (10 mg/g) gel, celecoxib 200 mg capsule, diclofenac sodium 1% (10 mg/g) gel, celecoxib 200 mg capsule, diclofenac sodium 1% (10 mg/g) gel, celecoxib 200 mg capsule, tamsulosin hydrochloride 400 microgram tablet: modified release, celecoxib 200 mg capsule, tamsulosin hydrochloride 400 microgram tablet: modified release, celecoxib 200 mg capsule, tamsulosin hydrochloride 400 microgram tablet: modified release, celecoxib 200 mg capsule, tamsulosin hydrochloride 400 microgram tablet: modified release, celecoxib 200 mg capsule, tamsulosin hydrochloride 400 microgram tablet: modified release, celecoxib 200 mg capsule, diclofenac sodium 1% (10 mg/g) gel, diclofenac sodium 1% (10 mg/g) gel, diclofenac sodium 1% (10 mg/g) gel, diclofenac sodium 1% (10 mg/g) gel, diclofenac sodium 1% (10 mg/g) gel, celecoxib 200 mg capsule, diclofenac sodium 1% (10 mg/g) gel, tamsulosin hydrochloride 400 microgram tablet: modified release, celecoxib 200 mg capsule, diclofenac sodium 1% (10 mg/g) gel, tamsulosin hydrochloride 400 microgram tablet: modified release, celecoxib 200 mg capsule, diclofenac sodium 1% (10 mg/g) gel, tamsulosin hydrochloride 400 microgram tablet: modified release, celecoxib 200 mg capsule, diclofenac sodium 1% (10 mg/g) gel, tamsulosin hydrochloride 400 microgram tablet: modified release, celecoxib 200 mg capsule, diclofenac sodium 1% (10 mg/g) gel, tamsulosin hydrochloride 400 microgram tablet: modified release</t>
  </si>
  <si>
    <t>هناء احمد عبدربه العباسي</t>
  </si>
  <si>
    <t>atorvastatin, vitamin B complex (B, B, colecalciferol, ferrous sulfate</t>
  </si>
  <si>
    <t>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atorvastatin 20 mg tablet, atorvastatin 20 mg tablet, atorvastatin 20 mg tablet, atorvastatin 20 mg tablet, atorvastatin 20 mg tablet, atorvastatin 20 mg tablet, atorvastatin 20 mg tablet, atorvastatin 20 mg tablet, atorvastatin 20 mg tablet, atorvastatin 20 mg tablet, ferrous sulfate 150 mg + folic acid 500 microgram capsule: modified release, vitamin B complex (B1,B6,B12) 100,200,0.2 mg Film coated tablets [oral], ferrous sulfate 150 mg + folic acid 500 microgram capsule: modified release, vitamin B complex (B1,B6,B12) 100,200,0.2 mg Film coated tablets [oral], ferrous sulfate 150 mg + folic acid 500 microgram capsule: modified release, vitamin B complex (B1,B6,B12) 100,200,0.2 mg Film coated tablets [oral], ferrous sulfate 150 mg + folic acid 500 microgram capsule: modified release, vitamin B complex (B1,B6,B12) 100,200,0.2 mg Film coated tablets [oral], ferrous sulfate 150 mg + folic acid 500 microgram capsule: modified release, vitamin B complex (B1,B6,B12) 100,200,0.2 mg Film coated tablets [oral], ferrous sulfate 150 mg + folic acid 500 microgram capsule: modified release, vitamin B complex (B1,B6,B12) 100,200,0.2 mg Film coated tablets [oral], ferrous sulfate 150 mg + folic acid 500 microgram capsule: modified release, vitamin B complex (B1,B6,B12) 100,200,0.2 mg Film coated tablets [oral], ferrous sulfate 150 mg + folic acid 500 microgram capsule: modified release, vitamin B complex (B1,B6,B12) 100,200,0.2 mg Film coated tablets [oral], ferrous sulfate 150 mg + folic acid 500 microgram capsule: modified release, vitamin B complex (B1,B6,B12) 100,200,0.2 mg Film coated tablets [oral], ferrous sulfate 150 mg + folic acid 500 microgram capsule: modified release, vitamin B complex (B1,B6,B12) 100,200,0.2 mg Film coated tablets [oral],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atorvastatin 20 mg tablet, ferrous sulfate 150 mg + folic acid 500 microgram capsule: modified release, colecalciferol 5000 international units Capsules [oral], atorvastatin 20 mg tablet, ferrous sulfate 150 mg + folic acid 500 microgram capsule: modified release, colecalciferol 5000 international units Capsules [oral], atorvastatin 20 mg tablet, ferrous sulfate 150 mg + folic acid 500 microgram capsule: modified release, colecalciferol 5000 international units Capsules [oral], atorvastatin 20 mg tablet, ferrous sulfate 150 mg + folic acid 500 microgram capsule: modified release, colecalciferol 5000 international units Capsules [oral], atorvastatin 20 mg tablet, ferrous sulfate 150 mg + folic acid 500 microgram capsule: modified release, colecalciferol 5000 international units Capsules [oral], atorvastatin 20 mg tablet, ferrous sulfate 150 mg + folic acid 500 microgram capsule: modified release, colecalciferol 5000 international units Capsules [oral], atorvastatin 20 mg tablet, ferrous sulfate 150 mg + folic acid 500 microgram capsule: modified release, colecalciferol 5000 international units Capsules [oral], atorvastatin 20 mg tablet, ferrous sulfate 150 mg + folic acid 500 microgram capsule: modified release, colecalciferol 5000 international units Capsules [oral], atorvastatin 20 mg tablet, ferrous sulfate 150 mg + folic acid 500 microgram capsule: modified release, colecalciferol 5000 international units Capsules [oral], atorvastatin 20 mg tablet, ferrous sulfate 150 mg + folic acid 500 microgram capsule: modified release, colecalciferol 5000 international units Capsules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t>
  </si>
  <si>
    <t>بدريه مبارك عمير الصبحي</t>
  </si>
  <si>
    <t>paracetamol, colecalciferol, vitamins (A, B, C, D, perindopril arginine</t>
  </si>
  <si>
    <t>paracetamol 500 mg tablet, paracetamol 500 mg tablet, paracetamol 500 mg tablet, colecalciferol 50 000 international units tablet, colecalciferol 50 000 international units tablet, colecalciferol 50 000 international units tablet, vitamins (A, B1, B2, B3, C, D3) tablet, paracetamol 500 mg tablet, colecalciferol 50 000 international units tablet, vitamins (A, B1, B2, B3, C, D3) tablet, paracetamol 500 mg tablet, colecalciferol 50 000 international units tablet, vitamins (A, B1, B2, B3, C, D3) tablet, paracetamol 500 mg tablet, colecalciferol 50 000 international units tablet, perindopril arginine 5 mg tablet, perindopril arginine 5 mg tablet, perindopril arginine 5 mg tablet, perindopril arginine 5 mg tablet, vitamins (A, B1, B2, B3, C, D3) tablet, paracetamol 500 mg tablet, colecalciferol 50 000 international units tablet, perindopril arginine 5 mg tablet, vitamins (A, B1, B2, B3, C, D3) tablet, paracetamol 500 mg tablet, colecalciferol 50 000 international units tablet, perindopril arginine 5 mg tablet, vitamins (A, B1, B2, B3, C, D3) tablet, paracetamol 500 mg tablet, colecalciferol 50 000 international units tablet, paracetamol 500 mg tablet, paracetamol 500 mg tablet, paracetamol 500 mg tablet, colecalciferol 50 000 international units tablet, vitamins (A, B1, B2, B3, C, D3) tablet, colecalciferol 50 000 international units tablet, vitamins (A, B1, B2, B3, C, D3) tablet, colecalciferol 50 000 international units tablet, vitamins (A, B1, B2, B3, C, D3) tablet, perindopril arginine 5 mg tablet, perindopril arginine 5 mg tablet, perindopril arginine 5 mg tablet, colecalciferol 50 000 international units tablet, colecalciferol 50 000 international units tablet, colecalciferol 50 000 international units tablet</t>
  </si>
  <si>
    <t>جمعان محمد عيظه الزهراني</t>
  </si>
  <si>
    <t>amLODIPine, vitamin B complex (B, B, gliclazide, metFORMIN hydrochloride, acetylsalicylic acid, fusidic acid, atorvastatin, SITagliptin, valsartan</t>
  </si>
  <si>
    <t>amLODIPine 10 mg capsule, amLODIPine 10 mg capsule, amLODIPine 10 mg capsule, amLODIPine 10 mg capsule, amLODIPine 10 mg capsule,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gliclazide 30 mg tablet: modified release, metFORMIN hydrochloride 500 mg tablet, gliclazide 30 mg tablet: modified release, metFORMIN hydrochloride 500 mg tablet, gliclazide 30 mg tablet: modified release, metFORMIN hydrochloride 500 mg tablet, gliclazide 30 mg tablet: modified release, metFORMIN hydrochloride 500 mg tablet, gliclazide 30 mg tablet: modified release, metFORMIN hydrochloride 500 mg tablet, acetylsalicylic acid 100 mg tablet: enteric coated, fusidic acid 2% (20 mg/g) cream, acetylsalicylic acid 100 mg tablet: enteric coated, fusidic acid 2% (20 mg/g) cream, acetylsalicylic acid 100 mg tablet: enteric coated, fusidic acid 2% (20 mg/g) cream, acetylsalicylic acid 100 mg tablet: enteric coated, fusidic acid 2% (20 mg/g) cream, acetylsalicylic acid 100 mg tablet: enteric coated, fusidic acid 2% (20 mg/g) cream, atorvastatin 20 mg tablet, SITagliptin 100 mg tablet, valsartan 80 mg tablet, atorvastatin 20 mg tablet, SITagliptin 100 mg tablet, valsartan 80 mg tablet, atorvastatin 20 mg tablet, SITagliptin 100 mg tablet, valsartan 80 mg tablet, atorvastatin 20 mg tablet, SITagliptin 100 mg tablet, valsartan 80 mg tablet, atorvastatin 20 mg tablet, SITagliptin 100 mg tablet, valsartan 80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acetylsalicylic acid 100 mg tablet: enteric coated, SITagliptin 100 mg tablet, acetylsalicylic acid 100 mg tablet: enteric coated, SITagliptin 100 mg tablet, acetylsalicylic acid 100 mg tablet: enteric coated, SITagliptin 100 mg tablet, acetylsalicylic acid 100 mg tablet: enteric coated, SITagliptin 100 mg tablet, acetylsalicylic acid 100 mg tablet: enteric coated, SITagliptin 100 mg tablet, atorvastatin 20 mg tablet, valsartan 80 mg tablet, amLODIPine 10 mg capsule, metFORMIN hydrochloride 500 mg tablet, gliclazide 30 mg tablet: modified release, fusidic acid 2% (20 mg/g) cream, atorvastatin 20 mg tablet, valsartan 80 mg tablet, amLODIPine 10 mg capsule, metFORMIN hydrochloride 500 mg tablet, gliclazide 30 mg tablet: modified release, fusidic acid 2% (20 mg/g) cream, atorvastatin 20 mg tablet, valsartan 80 mg tablet, amLODIPine 10 mg capsule, metFORMIN hydrochloride 500 mg tablet, gliclazide 30 mg tablet: modified release, fusidic acid 2% (20 mg/g) cream, atorvastatin 20 mg tablet, valsartan 80 mg tablet, amLODIPine 10 mg capsule, metFORMIN hydrochloride 500 mg tablet, gliclazide 30 mg tablet: modified release, fusidic acid 2% (20 mg/g) cream, atorvastatin 20 mg tablet, valsartan 80 mg tablet, amLODIPine 10 mg capsule, metFORMIN hydrochloride 500 mg tablet, gliclazide 30 mg tablet: modified release, fusidic acid 2% (20 mg/g) cream, amLODIPine 10 mg capsule, vitamin B complex (B1,B6,B12) 100,200,0.2 mg Film coated tablets [oral], amLODIPine 10 mg capsule, vitamin B complex (B1,B6,B12) 100,200,0.2 mg Film coated tablets [oral], amLODIPine 10 mg capsule, vitamin B complex (B1,B6,B12) 100,200,0.2 mg Film coated tablets [oral], amLODIPine 10 mg capsule, vitamin B complex (B1,B6,B12) 100,200,0.2 mg Film coated tablets [oral], amLODIPine 10 mg capsule, vitamin B complex (B1,B6,B12) 100,200,0.2 mg Film coated tablets [oral], gliclazide 30 mg tablet: modified release, acetylsalicylic acid 100 mg tablet: enteric coated, gliclazide 30 mg tablet: modified release, acetylsalicylic acid 100 mg tablet: enteric coated, gliclazide 30 mg tablet: modified release, acetylsalicylic acid 100 mg tablet: enteric coated, gliclazide 30 mg tablet: modified release, acetylsalicylic acid 100 mg tablet: enteric coated, gliclazide 30 mg tablet: modified release, acetylsalicylic acid 100 mg tablet: enteric coated, valsartan 80 mg tablet, valsartan 80 mg tablet, valsartan 80 mg tablet, valsartan 80 mg tablet, valsartan 80 mg tablet, SITagliptin 100 mg tablet, metFORMIN hydrochloride 500 mg tablet, SITagliptin 100 mg tablet, metFORMIN hydrochloride 500 mg tablet, SITagliptin 100 mg tablet, metFORMIN hydrochloride 500 mg tablet, SITagliptin 100 mg tablet, metFORMIN hydrochloride 500 mg tablet, SITagliptin 100 mg tablet, metFORMIN hydrochloride 500 mg tablet, fusidic acid 2% (20 mg/g) cream, atorvastatin 20 mg tablet, fusidic acid 2% (20 mg/g) cream, atorvastatin 20 mg tablet, fusidic acid 2% (20 mg/g) cream, atorvastatin 20 mg tablet, fusidic acid 2% (20 mg/g) cream, atorvastatin 20 mg tablet, fusidic acid 2% (20 mg/g) cream, atorvastatin 20 mg tablet</t>
  </si>
  <si>
    <t>صباح درويش مسعد الجدعاني</t>
  </si>
  <si>
    <t>carbomer, paracetamol, Glucometer Device (Accu-Chek), diclofenac sodium</t>
  </si>
  <si>
    <t>carbomer 0.2% (2 mg/g) eye gel, carbomer 0.2% (2 mg/g) eye gel, carbomer 0.2% (2 mg/g) eye gel, carbomer 0.2% (2 mg/g) eye gel, carbomer 0.2% (2 mg/g) eye gel, carbomer 0.2% (2 mg/g) eye gel, carbomer 0.2% (2 mg/g) eye gel, carbomer 0.2% (2 mg/g) eye gel,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carbomer 0.2% (2 mg/g) eye gel, carbomer 0.2% (2 mg/g) eye gel, carbomer 0.2% (2 mg/g) eye gel, carbomer 0.2% (2 mg/g) eye gel, carbomer 0.2% (2 mg/g) eye gel, carbomer 0.2% (2 mg/g) eye gel, carbomer 0.2% (2 mg/g) eye gel, carbomer 0.2% (2 mg/g) eye gel, diclofenac sodium 1% (10 mg/g) gel, diclofenac sodium 1% (10 mg/g) gel, diclofenac sodium 1% (10 mg/g) gel, diclofenac sodium 1% (10 mg/g) gel, diclofenac sodium 1% (10 mg/g) gel, diclofenac sodium 1% (10 mg/g) gel, diclofenac sodium 1% (10 mg/g) gel, diclofenac sodium 1% (10 mg/g) gel, Glucometer Device (Accu-Chek) 1 device Device [n/a], carbomer 0.2% (2 mg/g) eye gel, paracetamol 500 mg + codeine phosphate 8 mg + caffeine 30 mg tablet, Glucometer Device (Accu-Chek) 1 device Device [n/a], carbomer 0.2% (2 mg/g) eye gel, paracetamol 500 mg + codeine phosphate 8 mg + caffeine 30 mg tablet, Glucometer Device (Accu-Chek) 1 device Device [n/a], carbomer 0.2% (2 mg/g) eye gel, paracetamol 500 mg + codeine phosphate 8 mg + caffeine 30 mg tablet, Glucometer Device (Accu-Chek) 1 device Device [n/a], carbomer 0.2% (2 mg/g) eye gel, paracetamol 500 mg + codeine phosphate 8 mg + caffeine 30 mg tablet, Glucometer Device (Accu-Chek) 1 device Device [n/a], carbomer 0.2% (2 mg/g) eye gel, paracetamol 500 mg + codeine phosphate 8 mg + caffeine 30 mg tablet, Glucometer Device (Accu-Chek) 1 device Device [n/a], carbomer 0.2% (2 mg/g) eye gel, paracetamol 500 mg + codeine phosphate 8 mg + caffeine 30 mg tablet, Glucometer Device (Accu-Chek) 1 device Device [n/a], carbomer 0.2% (2 mg/g) eye gel, paracetamol 500 mg + codeine phosphate 8 mg + caffeine 30 mg tablet, Glucometer Device (Accu-Chek) 1 device Device [n/a], carbomer 0.2% (2 mg/g) eye gel, paracetamol 500 mg + codeine phosphate 8 mg + caffeine 30 mg tablet, diclofenac sodium 1% (10 mg/g) gel, Glucometer Device (Accu-Chek) 1 device Device [n/a], diclofenac sodium 1% (10 mg/g) gel, Glucometer Device (Accu-Chek) 1 device Device [n/a], diclofenac sodium 1% (10 mg/g) gel, Glucometer Device (Accu-Chek) 1 device Device [n/a], diclofenac sodium 1% (10 mg/g) gel, Glucometer Device (Accu-Chek) 1 device Device [n/a], diclofenac sodium 1% (10 mg/g) gel, Glucometer Device (Accu-Chek) 1 device Device [n/a], diclofenac sodium 1% (10 mg/g) gel, Glucometer Device (Accu-Chek) 1 device Device [n/a], diclofenac sodium 1% (10 mg/g) gel, Glucometer Device (Accu-Chek) 1 device Device [n/a], diclofenac sodium 1% (10 mg/g) gel, Glucometer Device (Accu-Chek) 1 device Device [n/a], paracetamol 500 mg + codeine phosphate 8 mg + caffeine 30 mg tablet, carbomer 0.2% (2 mg/g) eye gel, paracetamol 500 mg + codeine phosphate 8 mg + caffeine 30 mg tablet, carbomer 0.2% (2 mg/g) eye gel, paracetamol 500 mg + codeine phosphate 8 mg + caffeine 30 mg tablet, carbomer 0.2% (2 mg/g) eye gel, paracetamol 500 mg + codeine phosphate 8 mg + caffeine 30 mg tablet, carbomer 0.2% (2 mg/g) eye gel, paracetamol 500 mg + codeine phosphate 8 mg + caffeine 30 mg tablet, carbomer 0.2% (2 mg/g) eye gel, paracetamol 500 mg + codeine phosphate 8 mg + caffeine 30 mg tablet, carbomer 0.2% (2 mg/g) eye gel, paracetamol 500 mg + codeine phosphate 8 mg + caffeine 30 mg tablet, carbomer 0.2% (2 mg/g) eye gel, paracetamol 500 mg + codeine phosphate 8 mg + caffeine 30 mg tablet, carbomer 0.2% (2 mg/g) eye gel, paracetamol 500 mg + codeine phosphate 8 mg + caffeine 30 mg tablet, carbomer 0.2% (2 mg/g) eye gel, diclofenac sodium 1% (10 mg/g) gel, paracetamol 500 mg + codeine phosphate 8 mg + caffeine 30 mg tablet, carbomer 0.2% (2 mg/g) eye gel, diclofenac sodium 1% (10 mg/g) gel, paracetamol 500 mg + codeine phosphate 8 mg + caffeine 30 mg tablet, carbomer 0.2% (2 mg/g) eye gel, diclofenac sodium 1% (10 mg/g) gel, paracetamol 500 mg + codeine phosphate 8 mg + caffeine 30 mg tablet, carbomer 0.2% (2 mg/g) eye gel, diclofenac sodium 1% (10 mg/g) gel, paracetamol 500 mg + codeine phosphate 8 mg + caffeine 30 mg tablet, carbomer 0.2% (2 mg/g) eye gel, diclofenac sodium 1% (10 mg/g) gel, paracetamol 500 mg + codeine phosphate 8 mg + caffeine 30 mg tablet, carbomer 0.2% (2 mg/g) eye gel, diclofenac sodium 1% (10 mg/g) gel, paracetamol 500 mg + codeine phosphate 8 mg + caffeine 30 mg tablet, carbomer 0.2% (2 mg/g) eye gel, diclofenac sodium 1% (10 mg/g) gel, paracetamol 500 mg + codeine phosphate 8 mg + caffeine 30 mg tablet, carbomer 0.2% (2 mg/g) eye gel, diclofenac sodium 1% (10 mg/g) gel</t>
  </si>
  <si>
    <t>توفيق مستور عبدالهادي السلمي</t>
  </si>
  <si>
    <t>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t>
  </si>
  <si>
    <t>مرام جمعان احمد صبياني</t>
  </si>
  <si>
    <t>ادريس بن موسى بن احمد الشيخي</t>
  </si>
  <si>
    <t>cetirizine hydrochloride, perindopril arginine, diclofenac sodium, diphenhydrAMINE hydrochloride, paracetamol</t>
  </si>
  <si>
    <t>cetirizine hydrochloride 10 mg tablet, cetirizine hydrochloride 10 mg tablet, cetirizine hydrochloride 10 mg tablet, cetirizine hydrochloride 10 mg tablet, cetirizine hydrochloride 10 mg tablet, cetirizine hydrochloride 10 mg tablet, cetirizine hydrochloride 10 mg tablet, perindopril arginine 5 mg tablet, perindopril arginine 5 mg tablet, perindopril arginine 5 mg tablet, perindopril arginine 5 mg tablet, perindopril arginine 5 mg tablet, perindopril arginine 5 mg tablet, perindopril arginine 5 mg tablet, diclofenac sodium 1% (10 mg/g) gel, diclofenac sodium 1% (10 mg/g) gel, diclofenac sodium 1% (10 mg/g) gel, diclofenac sodium 1% (10 mg/g) gel, diclofenac sodium 1% (10 mg/g) gel, diclofenac sodium 1% (10 mg/g) gel, diclofenac sodium 1% (10 mg/g) gel, diphenhydrAMINE hydrochloride 7 mg/5 mL + menthol 550 microgram/5 mL + sodium citrate 28.5 mg/5 mL oral liquid, diphenhydrAMINE hydrochloride 7 mg/5 mL + menthol 550 microgram/5 mL + sodium citrate 28.5 mg/5 mL oral liquid, diphenhydrAMINE hydrochloride 7 mg/5 mL + menthol 550 microgram/5 mL + sodium citrate 28.5 mg/5 mL oral liquid, diphenhydrAMINE hydrochloride 7 mg/5 mL + menthol 550 microgram/5 mL + sodium citrate 28.5 mg/5 mL oral liquid, diphenhydrAMINE hydrochloride 7 mg/5 mL + menthol 550 microgram/5 mL + sodium citrate 28.5 mg/5 mL oral liquid, diphenhydrAMINE hydrochloride 7 mg/5 mL + menthol 550 microgram/5 mL + sodium citrate 28.5 mg/5 mL oral liquid, diphenhydrAMINE hydrochloride 7 mg/5 mL + menthol 550 microgram/5 mL + sodium citrate 28.5 mg/5 mL oral liquid, perindopril arginine 5 mg tablet, perindopril arginine 5 mg tablet, perindopril arginine 5 mg tablet, perindopril arginine 5 mg tablet, perindopril arginine 5 mg tablet, perindopril arginine 5 mg tablet, perindopril arginine 5 mg tablet, diclofenac sodium 1% (10 mg/g) gel, cetirizine hydrochloride 10 mg tablet, diclofenac sodium 1% (10 mg/g) gel, cetirizine hydrochloride 10 mg tablet, diclofenac sodium 1% (10 mg/g) gel, cetirizine hydrochloride 10 mg tablet, diclofenac sodium 1% (10 mg/g) gel, cetirizine hydrochloride 10 mg tablet, diclofenac sodium 1% (10 mg/g) gel, cetirizine hydrochloride 10 mg tablet, diclofenac sodium 1% (10 mg/g) gel, cetirizine hydrochloride 10 mg tablet, diclofenac sodium 1% (10 mg/g) gel, cetirizine hydrochloride 10 mg tablet, diphenhydrAMINE hydrochloride 7 mg/5 mL + menthol 550 microgram/5 mL + sodium citrate 28.5 mg/5 mL oral liquid, diphenhydrAMINE hydrochloride 7 mg/5 mL + menthol 550 microgram/5 mL + sodium citrate 28.5 mg/5 mL oral liquid, diphenhydrAMINE hydrochloride 7 mg/5 mL + menthol 550 microgram/5 mL + sodium citrate 28.5 mg/5 mL oral liquid, diphenhydrAMINE hydrochloride 7 mg/5 mL + menthol 550 microgram/5 mL + sodium citrate 28.5 mg/5 mL oral liquid, diphenhydrAMINE hydrochloride 7 mg/5 mL + menthol 550 microgram/5 mL + sodium citrate 28.5 mg/5 mL oral liquid, diphenhydrAMINE hydrochloride 7 mg/5 mL + menthol 550 microgram/5 mL + sodium citrate 28.5 mg/5 mL oral liquid, diphenhydrAMINE hydrochloride 7 mg/5 mL + menthol 550 microgram/5 mL + sodium citrate 28.5 mg/5 mL oral liquid, paracetamol 500 mg tablet, paracetamol 500 mg tablet, paracetamol 500 mg tablet, paracetamol 500 mg tablet, paracetamol 500 mg tablet, paracetamol 500 mg tablet, paracetamol 500 mg tablet, diclofenac sodium 1% (10 mg/g) gel, perindopril arginine 5 mg tablet, diclofenac sodium 1% (10 mg/g) gel, perindopril arginine 5 mg tablet, diclofenac sodium 1% (10 mg/g) gel, perindopril arginine 5 mg tablet, diclofenac sodium 1% (10 mg/g) gel, perindopril arginine 5 mg tablet, diclofenac sodium 1% (10 mg/g) gel, perindopril arginine 5 mg tablet, diclofenac sodium 1% (10 mg/g) gel, perindopril arginine 5 mg tablet, diclofenac sodium 1% (10 mg/g) gel, perindopril arginine 5 mg tablet, cetirizine hydrochloride 10 mg tablet, cetirizine hydrochloride 10 mg tablet, cetirizine hydrochloride 10 mg tablet, cetirizine hydrochloride 10 mg tablet, cetirizine hydrochloride 10 mg tablet, cetirizine hydrochloride 10 mg tablet, cetirizine hydrochloride 10 mg tablet, diphenhydrAMINE hydrochloride 7 mg/5 mL + menthol 550 microgram/5 mL + sodium citrate 28.5 mg/5 mL oral liquid, diphenhydrAMINE hydrochloride 7 mg/5 mL + menthol 550 microgram/5 mL + sodium citrate 28.5 mg/5 mL oral liquid, diphenhydrAMINE hydrochloride 7 mg/5 mL + menthol 550 microgram/5 mL + sodium citrate 28.5 mg/5 mL oral liquid, diphenhydrAMINE hydrochloride 7 mg/5 mL + menthol 550 microgram/5 mL + sodium citrate 28.5 mg/5 mL oral liquid, diphenhydrAMINE hydrochloride 7 mg/5 mL + menthol 550 microgram/5 mL + sodium citrate 28.5 mg/5 mL oral liquid, diphenhydrAMINE hydrochloride 7 mg/5 mL + menthol 550 microgram/5 mL + sodium citrate 28.5 mg/5 mL oral liquid, diphenhydrAMINE hydrochloride 7 mg/5 mL + menthol 550 microgram/5 mL + sodium citrate 28.5 mg/5 mL oral liquid,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t>
  </si>
  <si>
    <t>فاطمه عثمان حمد الفارس</t>
  </si>
  <si>
    <t>omeprazole, vitamin B complex (B, B, atorvastatin, metFORMIN hydrochloride, colecalciferol</t>
  </si>
  <si>
    <t>omeprazole 20 mg tablet: enteric coated, vitamin B complex (B1,B6,B12) 100,100,0.15 mg Film coated tablets [oral], atorvastatin 10 mg tablet, omeprazole 20 mg tablet: enteric coated, vitamin B complex (B1,B6,B12) 100,100,0.15 mg Film coated tablets [oral], atorvastatin 10 mg tablet, omeprazole 20 mg tablet: enteric coated, vitamin B complex (B1,B6,B12) 100,100,0.15 mg Film coated tablets [oral], atorvastatin 10 mg tablet, omeprazole 20 mg tablet: enteric coated, vitamin B complex (B1,B6,B12) 100,100,0.15 mg Film coated tablets [oral], atorvastatin 10 mg tablet, metFORMIN hydrochloride 500 mg tablet, colecalciferol 50 000 international units tablet, metFORMIN hydrochloride 500 mg tablet, colecalciferol 50 000 international units tablet, metFORMIN hydrochloride 500 mg tablet, colecalciferol 50 000 international units tablet, metFORMIN hydrochloride 500 mg tablet, colecalciferol 50 000 international units tablet, metFORMIN hydrochloride 500 mg tablet, metFORMIN hydrochloride 500 mg tablet, metFORMIN hydrochloride 500 mg tablet, metFORMIN hydrochloride 500 mg tablet, colecalciferol 50 000 international units tablet, colecalciferol 50 000 international units tablet, colecalciferol 50 000 international units tablet, colecalciferol 50 000 international units tablet, atorvastatin 10 mg tablet, omeprazole 20 mg tablet: enteric coated, vitamin B complex (B1,B6,B12) 100,100,0.15 mg Film coated tablets [oral], atorvastatin 10 mg tablet, omeprazole 20 mg tablet: enteric coated, vitamin B complex (B1,B6,B12) 100,100,0.15 mg Film coated tablets [oral], atorvastatin 10 mg tablet, omeprazole 20 mg tablet: enteric coated, vitamin B complex (B1,B6,B12) 100,100,0.15 mg Film coated tablets [oral], atorvastatin 10 mg tablet, omeprazole 20 mg tablet: enteric coated, vitamin B complex (B1,B6,B12) 100,100,0.15 mg Film coated tablets [oral], atorvastatin 10 mg tablet, metFORMIN hydrochloride 500 mg tablet, vitamin B complex (B1,B6,B12) 100,100,0.15 mg Film coated tablets [oral], atorvastatin 10 mg tablet, metFORMIN hydrochloride 500 mg tablet, vitamin B complex (B1,B6,B12) 100,100,0.15 mg Film coated tablets [oral], atorvastatin 10 mg tablet, metFORMIN hydrochloride 500 mg tablet, vitamin B complex (B1,B6,B12) 100,100,0.15 mg Film coated tablets [oral], atorvastatin 10 mg tablet, metFORMIN hydrochloride 500 mg tablet, vitamin B complex (B1,B6,B12) 100,100,0.15 mg Film coated tablets [oral], colecalciferol 50 000 international units tablet, omeprazole 20 mg tablet: enteric coated, colecalciferol 50 000 international units tablet, omeprazole 20 mg tablet: enteric coated, colecalciferol 50 000 international units tablet, omeprazole 20 mg tablet: enteric coated, colecalciferol 50 000 international units tablet, omeprazole 20 mg tablet: enteric coated, omeprazole 20 mg tablet: enteric coated, vitamin B complex (B1,B6,B12) 100,100,0.15 mg Film coated tablets [oral], colecalciferol 50 000 international units tablet, metFORMIN hydrochloride 500 mg tablet, atorvastatin 10 mg tablet, omeprazole 20 mg tablet: enteric coated, vitamin B complex (B1,B6,B12) 100,100,0.15 mg Film coated tablets [oral], colecalciferol 50 000 international units tablet, metFORMIN hydrochloride 500 mg tablet, atorvastatin 10 mg tablet, omeprazole 20 mg tablet: enteric coated, vitamin B complex (B1,B6,B12) 100,100,0.15 mg Film coated tablets [oral], colecalciferol 50 000 international units tablet, metFORMIN hydrochloride 500 mg tablet, atorvastatin 10 mg tablet, omeprazole 20 mg tablet: enteric coated, vitamin B complex (B1,B6,B12) 100,100,0.15 mg Film coated tablets [oral], colecalciferol 50 000 international units tablet, metFORMIN hydrochloride 500 mg tablet, atorvastatin 10 mg tablet, colecalciferol 50 000 international units tablet, colecalciferol 50 000 international units tablet, colecalciferol 50 000 international units tablet, colecalciferol 50 000 international units tablet, vitamin B complex (B1,B6,B12) 100,100,0.15 mg Film coated tablets [oral], atorvastatin 10 mg tablet, metFORMIN hydrochloride 500 mg tablet, omeprazole 20 mg tablet: enteric coated, vitamin B complex (B1,B6,B12) 100,100,0.15 mg Film coated tablets [oral], atorvastatin 10 mg tablet, metFORMIN hydrochloride 500 mg tablet, omeprazole 20 mg tablet: enteric coated, vitamin B complex (B1,B6,B12) 100,100,0.15 mg Film coated tablets [oral], atorvastatin 10 mg tablet, metFORMIN hydrochloride 500 mg tablet, omeprazole 20 mg tablet: enteric coated, vitamin B complex (B1,B6,B12) 100,100,0.15 mg Film coated tablets [oral], atorvastatin 10 mg tablet, metFORMIN hydrochloride 500 mg tablet, omeprazole 20 mg tablet: enteric coated, omeprazole 20 mg tablet: enteric coated, vitamin B complex (B1,B6,B12) 100,100,0.15 mg Film coated tablets [oral], omeprazole 20 mg tablet: enteric coated, vitamin B complex (B1,B6,B12) 100,100,0.15 mg Film coated tablets [oral], omeprazole 20 mg tablet: enteric coated, vitamin B complex (B1,B6,B12) 100,100,0.15 mg Film coated tablets [oral], omeprazole 20 mg tablet: enteric coated, vitamin B complex (B1,B6,B12) 100,100,0.15 mg Film coated tablets [oral], atorvastatin 10 mg tablet, metFORMIN hydrochloride 500 mg tablet, atorvastatin 10 mg tablet, metFORMIN hydrochloride 500 mg tablet, atorvastatin 10 mg tablet, metFORMIN hydrochloride 500 mg tablet, atorvastatin 10 mg tablet, metFORMIN hydrochloride 500 mg tablet, colecalciferol 50 000 international units tablet, colecalciferol 50 000 international units tablet, colecalciferol 50 000 international units tablet, colecalciferol 50 000 international units tablet</t>
  </si>
  <si>
    <t>مايسه عبدالعزيز حمزه عوفي</t>
  </si>
  <si>
    <t>valsartan 80 mg tablet, valsartan 80 mg tablet, valsartan 80 mg tablet, valsartan 80 mg tablet</t>
  </si>
  <si>
    <t>محمد عابد سعيد الرويسي</t>
  </si>
  <si>
    <t>valsartan, vitamin B complex (B, B, metFORMIN hydrochloride</t>
  </si>
  <si>
    <t>valsartan 80 mg tablet, valsartan 80 mg tablet, valsartan 80 mg tablet, valsartan 80 mg tablet, 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metFORMIN hydrochloride 500 mg tablet, metFORMIN hydrochloride 500 mg tablet, metFORMIN hydrochloride 500 mg tablet, valsartan 80 mg tablet, metFORMIN hydrochloride 500 mg tablet, valsartan 80 mg tablet, metFORMIN hydrochloride 500 mg tablet, valsartan 80 mg tablet, metFORMIN hydrochloride 500 mg tablet, valsartan 80 mg tablet, metFORMIN hydrochloride 500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valsartan 80 mg tablet, valsartan 80 mg tablet, valsartan 80 mg tablet, valsartan 80 mg tablet</t>
  </si>
  <si>
    <t>زينه بنت مشرف فضل الشهري</t>
  </si>
  <si>
    <t>amoxicillin</t>
  </si>
  <si>
    <t>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t>
  </si>
  <si>
    <t>سميه وليد احمد زبيدي</t>
  </si>
  <si>
    <t>valsartan, amLODIPine, indapamide</t>
  </si>
  <si>
    <t>valsartan 80 mg tablet, valsartan 80 mg tablet, valsartan 80 mg tablet, valsartan 80 mg tablet, amLODIPine 10 mg capsule, amLODIPine 10 mg capsule, amLODIPine 10 mg capsule, amLODIPine 10 mg capsule, indapamide 1.5 mg tablet: modified release, indapamide 1.5 mg tablet: modified release, indapamide 1.5 mg tablet: modified release, indapamide 1.5 mg tablet: modified release, amLODIPine 10 mg capsule, amLODIPine 10 mg capsule, amLODIPine 10 mg capsule, amLODIPine 10 mg capsule, valsartan 80 mg tablet, indapamide 1.5 mg tablet: modified release, valsartan 80 mg tablet, indapamide 1.5 mg tablet: modified release, valsartan 80 mg tablet, indapamide 1.5 mg tablet: modified release, valsartan 80 mg tablet, indapamide 1.5 mg tablet: modified release, amLODIPine 10 mg capsule, indapamide 1.5 mg tablet: modified release, amLODIPine 10 mg capsule, indapamide 1.5 mg tablet: modified release, amLODIPine 10 mg capsule, indapamide 1.5 mg tablet: modified release, amLODIPine 10 mg capsule, indapamide 1.5 mg tablet: modified release, valsartan 80 mg tablet, valsartan 80 mg tablet, valsartan 80 mg tablet, valsartan 80 mg tablet, valsartan 80 mg tablet, valsartan 80 mg tablet, valsartan 80 mg tablet, valsartan 80 mg tablet, indapamide 1.5 mg tablet: modified release, indapamide 1.5 mg tablet: modified release, indapamide 1.5 mg tablet: modified release, indapamide 1.5 mg tablet: modified release, amLODIPine 10 mg capsule, amLODIPine 10 mg capsule, amLODIPine 10 mg capsule, amLODIPine 10 mg capsule, valsartan 80 mg tablet, amLODIPine 10 mg capsule, valsartan 80 mg tablet, amLODIPine 10 mg capsule, valsartan 80 mg tablet, amLODIPine 10 mg capsule, valsartan 80 mg tablet, amLODIPine 10 mg capsule, indapamide 1.5 mg tablet: modified release, indapamide 1.5 mg tablet: modified release, indapamide 1.5 mg tablet: modified release, indapamide 1.5 mg tablet: modified release, amLODIPine 10 mg capsule, indapamide 1.5 mg tablet: modified release, amLODIPine 10 mg capsule, indapamide 1.5 mg tablet: modified release, amLODIPine 10 mg capsule, indapamide 1.5 mg tablet: modified release, amLODIPine 10 mg capsule, indapamide 1.5 mg tablet: modified release, valsartan 80 mg tablet, valsartan 80 mg tablet, valsartan 80 mg tablet, valsartan 80 mg tablet</t>
  </si>
  <si>
    <t>عائشه عبدالله هلال البقمي</t>
  </si>
  <si>
    <t>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t>
  </si>
  <si>
    <t>هويج فلاح مسفر ال مخلص</t>
  </si>
  <si>
    <t>omeprazole, vitamin B complex (B, B, rosuvastatin</t>
  </si>
  <si>
    <t>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rosuvastatin 10 mg tablet, rosuvastatin 10 mg tablet, rosuvastatin 10 mg tablet, rosuvastatin 10 mg tablet, rosuvastatin 10 mg tablet, rosuvastatin 10 mg tablet, rosuvastatin 10 mg tablet, rosuvastatin 10 mg tablet, rosuvastatin 10 mg tablet, vitamin B complex (B1,B6,B12) 100,200,0.2 mg Film coated tablets [oral], rosuvastatin 10 mg tablet, vitamin B complex (B1,B6,B12) 100,200,0.2 mg Film coated tablets [oral], rosuvastatin 10 mg tablet, vitamin B complex (B1,B6,B12) 100,200,0.2 mg Film coated tablets [oral], rosuvastatin 10 mg tablet, vitamin B complex (B1,B6,B12) 100,200,0.2 mg Film coated tablets [oral], rosuvastatin 10 mg tablet, vitamin B complex (B1,B6,B12) 100,200,0.2 mg Film coated tablets [oral], rosuvastatin 10 mg tablet, vitamin B complex (B1,B6,B12) 100,200,0.2 mg Film coated tablets [oral], rosuvastatin 10 mg tablet, vitamin B complex (B1,B6,B12) 100,200,0.2 mg Film coated tablets [oral], rosuvastatin 10 mg tablet, vitamin B complex (B1,B6,B12) 100,200,0.2 mg Film coated tablets [oral],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t>
  </si>
  <si>
    <t>نوره علي علي مباركي</t>
  </si>
  <si>
    <t>bisoprolol fumarate, amLODIPine, perindopril arginine, mebeverine hydrochloride, omeprazole, rosuvastatin, ferrous sulfate, paracetamol, colecalciferol</t>
  </si>
  <si>
    <t>bisoprolol fumarate 5 mg tablet, amLODIPine 5 mg tablet, bisoprolol fumarate 5 mg tablet, amLODIPine 5 mg tablet, bisoprolol fumarate 5 mg tablet, amLODIPine 5 mg tablet, bisoprolol fumarate 5 mg tablet, amLODIPine 5 mg tablet, perindopril arginine 5 mg tablet, mebeverine hydrochloride 200 mg capsule: modified release, perindopril arginine 5 mg tablet, mebeverine hydrochloride 200 mg capsule: modified release, perindopril arginine 5 mg tablet, mebeverine hydrochloride 200 mg capsule: modified release, perindopril arginine 5 mg tablet, mebeverine hydrochloride 200 mg capsule: modified release, omeprazole 20 mg tablet: enteric coated, omeprazole 20 mg tablet: enteric coated, omeprazole 20 mg tablet: enteric coated, omeprazole 20 mg tablet: enteric coated, rosuvastatin 20 mg tablet, ferrous sulfate 150 mg + folic acid 500 microgram capsule: modified release, paracetamol 500 mg tablet, rosuvastatin 20 mg tablet, ferrous sulfate 150 mg + folic acid 500 microgram capsule: modified release, paracetamol 500 mg tablet, rosuvastatin 20 mg tablet, ferrous sulfate 150 mg + folic acid 500 microgram capsule: modified release, paracetamol 500 mg tablet, rosuvastatin 20 mg tablet, ferrous sulfate 150 mg + folic acid 500 microgram capsule: modified release, paracetamol 500 mg tablet, colecalciferol 1 000 international units capsule, colecalciferol 1 000 international units capsule, colecalciferol 1 000 international units capsule, colecalciferol 1 000 international units capsule, ferrous sulfate 150 mg + folic acid 500 microgram capsule: modified release, amLODIPine 5 mg tablet, ferrous sulfate 150 mg + folic acid 500 microgram capsule: modified release, amLODIPine 5 mg tablet, ferrous sulfate 150 mg + folic acid 500 microgram capsule: modified release, amLODIPine 5 mg tablet, ferrous sulfate 150 mg + folic acid 500 microgram capsule: modified release, amLODIPine 5 mg tablet, omeprazole 20 mg tablet: enteric coated, rosuvastatin 20 mg tablet, colecalciferol 1 000 international units capsule, omeprazole 20 mg tablet: enteric coated, rosuvastatin 20 mg tablet, colecalciferol 1 000 international units capsule, omeprazole 20 mg tablet: enteric coated, rosuvastatin 20 mg tablet, colecalciferol 1 000 international units capsule, omeprazole 20 mg tablet: enteric coated, rosuvastatin 20 mg tablet, colecalciferol 1 000 international units capsule, omeprazole 20 mg tablet: enteric coated, bisoprolol fumarate 5 mg tablet, omeprazole 20 mg tablet: enteric coated, bisoprolol fumarate 5 mg tablet, omeprazole 20 mg tablet: enteric coated, bisoprolol fumarate 5 mg tablet, omeprazole 20 mg tablet: enteric coated, bisoprolol fumarate 5 mg tablet, mebeverine hydrochloride 200 mg capsule: modified release, rosuvastatin 20 mg tablet, mebeverine hydrochloride 200 mg capsule: modified release, rosuvastatin 20 mg tablet, mebeverine hydrochloride 200 mg capsule: modified release, rosuvastatin 20 mg tablet, mebeverine hydrochloride 200 mg capsule: modified release, rosuvastatin 20 mg tablet, ferrous sulfate 150 mg + folic acid 500 microgram capsule: modified release, paracetamol 500 mg tablet, perindopril arginine 5 mg tablet, colecalciferol 1 000 international units capsule, ferrous sulfate 150 mg + folic acid 500 microgram capsule: modified release, paracetamol 500 mg tablet, perindopril arginine 5 mg tablet, colecalciferol 1 000 international units capsule, ferrous sulfate 150 mg + folic acid 500 microgram capsule: modified release, paracetamol 500 mg tablet, perindopril arginine 5 mg tablet, colecalciferol 1 000 international units capsule, ferrous sulfate 150 mg + folic acid 500 microgram capsule: modified release, paracetamol 500 mg tablet, perindopril arginine 5 mg tablet, colecalciferol 1 000 international units capsule, amLODIPine 5 mg tablet, amLODIPine 5 mg tablet, amLODIPine 5 mg tablet, amLODIPine 5 mg tablet, bisoprolol fumarate 5 mg tablet, perindopril arginine 5 mg tablet, bisoprolol fumarate 5 mg tablet, perindopril arginine 5 mg tablet, bisoprolol fumarate 5 mg tablet, perindopril arginine 5 mg tablet, bisoprolol fumarate 5 mg tablet, perindopril arginine 5 mg tablet, mebeverine hydrochloride 200 mg capsule: modified release, paracetamol 500 mg tablet, mebeverine hydrochloride 200 mg capsule: modified release, paracetamol 500 mg tablet, mebeverine hydrochloride 200 mg capsule: modified release, paracetamol 500 mg tablet, mebeverine hydrochloride 200 mg capsule: modified release, paracetamol 500 mg tablet, paracetamol 500 mg tablet, ferrous sulfate 150 mg + folic acid 500 microgram capsule: modified release, colecalciferol 1 000 international units capsule, paracetamol 500 mg tablet, ferrous sulfate 150 mg + folic acid 500 microgram capsule: modified release, colecalciferol 1 000 international units capsule, paracetamol 500 mg tablet, ferrous sulfate 150 mg + folic acid 500 microgram capsule: modified release, colecalciferol 1 000 international units capsule, paracetamol 500 mg tablet, ferrous sulfate 150 mg + folic acid 500 microgram capsule: modified release, colecalciferol 1 000 international units capsule, mebeverine hydrochloride 200 mg capsule: modified release, perindopril arginine 5 mg tablet, amLODIPine 5 mg tablet, mebeverine hydrochloride 200 mg capsule: modified release, perindopril arginine 5 mg tablet, amLODIPine 5 mg tablet, mebeverine hydrochloride 200 mg capsule: modified release, perindopril arginine 5 mg tablet, amLODIPine 5 mg tablet, mebeverine hydrochloride 200 mg capsule: modified release, perindopril arginine 5 mg tablet, amLODIPine 5 mg tablet, bisoprolol fumarate 5 mg tablet, bisoprolol fumarate 5 mg tablet, bisoprolol fumarate 5 mg tablet, bisoprolol fumarate 5 mg tablet, omeprazole 20 mg tablet: enteric coated, omeprazole 20 mg tablet: enteric coated, omeprazole 20 mg tablet: enteric coated, omeprazole 20 mg tablet: enteric coated, rosuvastatin 20 mg tablet, rosuvastatin 20 mg tablet, rosuvastatin 20 mg tablet, rosuvastatin 20 mg tablet, bisoprolol fumarate 5 mg tablet, bisoprolol fumarate 5 mg tablet, bisoprolol fumarate 5 mg tablet, bisoprolol fumarate 5 mg tablet, perindopril arginine 5 mg tablet, perindopril arginine 5 mg tablet, perindopril arginine 5 mg tablet, perindopril arginine 5 mg tablet, colecalciferol 1 000 international units capsule, colecalciferol 1 000 international units capsule, colecalciferol 1 000 international units capsule, colecalciferol 1 000 international units capsule, paracetamol 500 mg tablet, omeprazole 20 mg tablet: enteric coated, amLODIPine 5 mg tablet, rosuvastatin 20 mg tablet, paracetamol 500 mg tablet, omeprazole 20 mg tablet: enteric coated, amLODIPine 5 mg tablet, rosuvastatin 20 mg tablet, paracetamol 500 mg tablet, omeprazole 20 mg tablet: enteric coated, amLODIPine 5 mg tablet, rosuvastatin 20 mg tablet, paracetamol 500 mg tablet, omeprazole 20 mg tablet: enteric coated, amLODIPine 5 mg tablet, rosuvastatin 20 mg tablet, ferrous sulfate 150 mg + folic acid 500 microgram capsule: modified release, mebeverine hydrochloride 200 mg capsule: modified release, ferrous sulfate 150 mg + folic acid 500 microgram capsule: modified release, mebeverine hydrochloride 200 mg capsule: modified release, ferrous sulfate 150 mg + folic acid 500 microgram capsule: modified release, mebeverine hydrochloride 200 mg capsule: modified release, ferrous sulfate 150 mg + folic acid 500 microgram capsule: modified release, mebeverine hydrochloride 200 mg capsule: modified release, bisoprolol fumarate 5 mg tablet, bisoprolol fumarate 5 mg tablet, bisoprolol fumarate 5 mg tablet, bisoprolol fumarate 5 mg tablet, perindopril arginine 5 mg tablet, perindopril arginine 5 mg tablet, perindopril arginine 5 mg tablet, perindopril arginine 5 mg tablet, colecalciferol 1 000 international units capsule, colecalciferol 1 000 international units capsule, colecalciferol 1 000 international units capsule, colecalciferol 1 000 international units capsule, paracetamol 500 mg tablet, omeprazole 20 mg tablet: enteric coated, amLODIPine 5 mg tablet, rosuvastatin 20 mg tablet, ferrous sulfate 150 mg + folic acid 500 microgram capsule: modified release, paracetamol 500 mg tablet, omeprazole 20 mg tablet: enteric coated, amLODIPine 5 mg tablet, rosuvastatin 20 mg tablet, ferrous sulfate 150 mg + folic acid 500 microgram capsule: modified release, paracetamol 500 mg tablet, omeprazole 20 mg tablet: enteric coated, amLODIPine 5 mg tablet, rosuvastatin 20 mg tablet, ferrous sulfate 150 mg + folic acid 500 microgram capsule: modified release, paracetamol 500 mg tablet, omeprazole 20 mg tablet: enteric coated, amLODIPine 5 mg tablet, rosuvastatin 20 mg tablet, ferrous sulfate 150 mg + folic acid 500 microgram capsule: modified release, mebeverine hydrochloride 200 mg capsule: modified release, mebeverine hydrochloride 200 mg capsule: modified release, mebeverine hydrochloride 200 mg capsule: modified release, mebeverine hydrochloride 200 mg capsule: modified release</t>
  </si>
  <si>
    <t>Dyslipidemia, GI/PPI, Hypertension, Vitamins/Supplements</t>
  </si>
  <si>
    <t>معيضه غانم عطيه الله العصلاني</t>
  </si>
  <si>
    <t>cetirizine hydrochloride, insulin glargine, Insulin Pen Needle, calcium (as carbonate)</t>
  </si>
  <si>
    <t>cetirizine hydrochloride 10 mg tablet, insulin glargine 300 international units/mL injection, 1.5 mL prefilled pen, cetirizine hydrochloride 10 mg tablet, insulin glargine 300 international units/mL injection, 1.5 mL prefilled pen, cetirizine hydrochloride 10 mg tablet, insulin glargine 300 international units/mL injection, 1.5 mL prefilled pen, Insulin Pen Needle 4mm Needle [sc], Insulin Pen Needle 4mm Needle [sc], Insulin Pen Needle 4mm Needle [sc], calcium (as carbonate) 600 mg tablet, calcium (as carbonate) 600 mg tablet, calcium (as carbonate) 600 mg tablet, calcium (as carbonate) 600 mg tablet, Insulin Pen Needle 4mm Needle [sc], calcium (as carbonate) 600 mg tablet, Insulin Pen Needle 4mm Needle [sc], calcium (as carbonate) 600 mg tablet, Insulin Pen Needle 4mm Needle [sc], cetirizine hydrochloride 10 mg tablet, cetirizine hydrochloride 10 mg tablet, cetirizine hydrochloride 10 mg tablet, insulin glargine 300 international units/mL injection, 1.5 mL prefilled pen, insulin glargine 300 international units/mL injection, 1.5 mL prefilled pen, insulin glargine 300 international units/mL injection, 1.5 mL prefilled pen</t>
  </si>
  <si>
    <t>فاطمه عبدالله علي الشهري</t>
  </si>
  <si>
    <t>Lancets (Accu-Check), Strips (Accu-Check), Glucometer Device (Accu-Chek)</t>
  </si>
  <si>
    <t>Lancets (Accu-Check) 1 box Lancets [n/a], Lancets (Accu-Check) 1 box Lancets [n/a], Lancets (Accu-Check) 1 box Lancets [n/a], Lancets (Accu-Check) 1 box Lancets [n/a], Lancets (Accu-Check) 1 box Lancets [n/a], Strips (Accu-Check) 1 box Strip [n/a], Glucometer Device (Accu-Chek) 1 device Device [n/a], Strips (Accu-Check) 1 box Strip [n/a], Glucometer Device (Accu-Chek) 1 device Device [n/a], Strips (Accu-Check) 1 box Strip [n/a], Glucometer Device (Accu-Chek) 1 device Device [n/a], Strips (Accu-Check) 1 box Strip [n/a], Glucometer Device (Accu-Chek) 1 device Device [n/a], Strips (Accu-Check) 1 box Strip [n/a], Glucometer Device (Accu-Chek) 1 device Device [n/a], Lancets (Accu-Check) 1 box Lancets [n/a], Lancets (Accu-Check) 1 box Lancets [n/a], Lancets (Accu-Check) 1 box Lancets [n/a], Lancets (Accu-Check) 1 box Lancets [n/a], Lancets (Accu-Check) 1 box Lancets [n/a], Strips (Accu-Check) 1 box Strip [n/a], Glucometer Device (Accu-Chek) 1 device Device [n/a], Strips (Accu-Check) 1 box Strip [n/a], Glucometer Device (Accu-Chek) 1 device Device [n/a], Strips (Accu-Check) 1 box Strip [n/a], Glucometer Device (Accu-Chek) 1 device Device [n/a], Strips (Accu-Check) 1 box Strip [n/a], Glucometer Device (Accu-Chek) 1 device Device [n/a], Strips (Accu-Check) 1 box Strip [n/a], Glucometer Device (Accu-Chek) 1 device Device [n/a]</t>
  </si>
  <si>
    <t>مساعد احمد محمد الغامدي</t>
  </si>
  <si>
    <t>betahistine dihydrochloride</t>
  </si>
  <si>
    <t>betahistine dihydrochloride 8 mg tablet, betahistine dihydrochloride 8 mg tablet, betahistine dihydrochloride 8 mg tablet, betahistine dihydrochloride 8 mg tablet, betahistine dihydrochloride 8 mg tablet, betahistine dihydrochloride 8 mg tablet</t>
  </si>
  <si>
    <t>عائشه ملا محمد ملاباي</t>
  </si>
  <si>
    <t>Insulin Pen Needle, insulin lispro</t>
  </si>
  <si>
    <t>Insulin Pen Needle 4mm Needle [sc], Insulin Pen Needle 4mm Needle [sc], Insulin Pen Needle 4mm Needle [sc], Insulin Pen Needle 4mm Needle [sc], insulin lispro 100 international units/mL injection, 3 mL prefilled pen, insulin lispro 100 international units/mL injection, 3 mL prefilled pen, insulin lispro 100 international units/mL injection, 3 mL prefilled pen, insulin lispro 100 international units/mL injection, 3 mL prefilled pen, Insulin Pen Needle 4mm Needle [sc], Insulin Pen Needle 4mm Needle [sc], Insulin Pen Needle 4mm Needle [sc], Insulin Pen Needle 4mm Needle [sc], insulin lispro 100 international units/mL injection, 3 mL prefilled pen, insulin lispro 100 international units/mL injection, 3 mL prefilled pen, insulin lispro 100 international units/mL injection, 3 mL prefilled pen, insulin lispro 100 international units/mL injection, 3 mL prefilled pen</t>
  </si>
  <si>
    <t>مساعد سعد مساعد الشريف</t>
  </si>
  <si>
    <t>rosuvastatin, valsartan, amLODIPine, metFORMIN hydrochloride, tamsulosin hydrochloride, finasteride, diclofenac sodium, omeprazole, vitamin B complex (B, B</t>
  </si>
  <si>
    <t>rosuvastatin 10 mg tablet, valsartan 80 mg tablet, amLODIPine 5 mg tablet, metFORMIN hydrochloride 750 mg tablet: modified release, tamsulosin hydrochloride 400 microgram tablet: modified release, finasteride 5 mg tablet, diclofenac sodium 1% (10 mg/g) gel, omeprazole 20 mg tablet: enteric coated, rosuvastatin 10 mg tablet, valsartan 80 mg tablet, amLODIPine 5 mg tablet, metFORMIN hydrochloride 750 mg tablet: modified release, tamsulosin hydrochloride 400 microgram tablet: modified release, finasteride 5 mg tablet, diclofenac sodium 1% (10 mg/g) gel, omeprazole 20 mg tablet: enteric coated, rosuvastatin 10 mg tablet, valsartan 80 mg tablet, amLODIPine 5 mg tablet, metFORMIN hydrochloride 750 mg tablet: modified release, tamsulosin hydrochloride 400 microgram tablet: modified release, finasteride 5 mg tablet, diclofenac sodium 1% (10 mg/g) gel, omeprazole 20 mg tablet: enteric coated, rosuvastatin 10 mg tablet, valsartan 80 mg tablet, amLODIPine 5 mg tablet, metFORMIN hydrochloride 750 mg tablet: modified release, tamsulosin hydrochloride 400 microgram tablet: modified release, finasteride 5 mg tablet, diclofenac sodium 1% (10 mg/g) gel, omeprazole 20 mg tablet: enteric coated, vitamin B complex (B1,B6,B12) 100,200,0.2 mg Film coated tablets [oral], bisoprolol fumarate 5 mg tablet, colecalciferol 50 000 international units tablet, SITagliptin 100 mg tablet, celecoxib 200 mg capsule, vitamin B complex (B1,B6,B12) 100,200,0.2 mg Film coated tablets [oral], bisoprolol fumarate 5 mg tablet, colecalciferol 50 000 international units tablet, SITagliptin 100 mg tablet, celecoxib 200 mg capsule, vitamin B complex (B1,B6,B12) 100,200,0.2 mg Film coated tablets [oral], bisoprolol fumarate 5 mg tablet, colecalciferol 50 000 international units tablet, SITagliptin 100 mg tablet, celecoxib 200 mg capsule, vitamin B complex (B1,B6,B12) 100,200,0.2 mg Film coated tablets [oral], bisoprolol fumarate 5 mg tablet, colecalciferol 50 000 international units tablet, SITagliptin 100 mg tablet, celecoxib 200 mg capsule, finasteride 5 mg tablet, finasteride 5 mg tablet, finasteride 5 mg tablet, finasteride 5 mg tablet, tamsulosin hydrochloride 400 microgram tablet: modified release, metFORMIN hydrochloride 750 mg tablet: modified release, omeprazole 20 mg tablet: enteric coated, tamsulosin hydrochloride 400 microgram tablet: modified release, metFORMIN hydrochloride 750 mg tablet: modified release, omeprazole 20 mg tablet: enteric coated, tamsulosin hydrochloride 400 microgram tablet: modified release, metFORMIN hydrochloride 750 mg tablet: modified release, omeprazole 20 mg tablet: enteric coated, tamsulosin hydrochloride 400 microgram tablet: modified release, metFORMIN hydrochloride 750 mg tablet: modified release, omeprazole 20 mg tablet: enteric coated, celecoxib 200 mg capsule, rosuvastatin 10 mg tablet, SITagliptin 100 mg tablet, celecoxib 200 mg capsule, rosuvastatin 10 mg tablet, SITagliptin 100 mg tablet, celecoxib 200 mg capsule, rosuvastatin 10 mg tablet, SITagliptin 100 mg tablet, celecoxib 200 mg capsule, rosuvastatin 10 mg tablet, SITagliptin 100 mg tablet, colecalciferol 50 000 international units tablet, vitamin B complex (B1,B6,B12) 100,200,0.2 mg Film coated tablets [oral], colecalciferol 50 000 international units tablet, vitamin B complex (B1,B6,B12) 100,200,0.2 mg Film coated tablets [oral], colecalciferol 50 000 international units tablet, vitamin B complex (B1,B6,B12) 100,200,0.2 mg Film coated tablets [oral], colecalciferol 50 000 international units tablet, vitamin B complex (B1,B6,B12) 100,200,0.2 mg Film coated tablets [oral], valsartan 80 mg tablet, amLODIPine 5 mg tablet, diclofenac sodium 1% (10 mg/g) gel, bisoprolol fumarate 5 mg tablet, valsartan 80 mg tablet, amLODIPine 5 mg tablet, diclofenac sodium 1% (10 mg/g) gel, bisoprolol fumarate 5 mg tablet, valsartan 80 mg tablet, amLODIPine 5 mg tablet, diclofenac sodium 1% (10 mg/g) gel, bisoprolol fumarate 5 mg tablet, valsartan 80 mg tablet, amLODIPine 5 mg tablet, diclofenac sodium 1% (10 mg/g) gel, bisoprolol fumarate 5 mg tablet, metFORMIN hydrochloride 750 mg tablet: modified release, metFORMIN hydrochloride 750 mg tablet: modified release, metFORMIN hydrochloride 750 mg tablet: modified release, metFORMIN hydrochloride 750 mg tablet: modified release, rosuvastatin 10 mg tablet, celecoxib 200 mg capsule, omeprazole 20 mg tablet: enteric coated, amLODIPine 5 mg tablet, rosuvastatin 10 mg tablet, celecoxib 200 mg capsule, omeprazole 20 mg tablet: enteric coated, amLODIPine 5 mg tablet, rosuvastatin 10 mg tablet, celecoxib 200 mg capsule, omeprazole 20 mg tablet: enteric coated, amLODIPine 5 mg tablet, rosuvastatin 10 mg tablet, celecoxib 200 mg capsule, omeprazole 20 mg tablet: enteric coated, amLODIPine 5 mg tablet, tamsulosin hydrochloride 400 microgram tablet: modified release, finasteride 5 mg tablet, tamsulosin hydrochloride 400 microgram tablet: modified release, finasteride 5 mg tablet, tamsulosin hydrochloride 400 microgram tablet: modified release, finasteride 5 mg tablet, tamsulosin hydrochloride 400 microgram tablet: modified release, finasteride 5 mg tablet, valsartan 80 mg tablet, colecalciferol 50 000 international units tablet, vitamin B complex (B1,B6,B12) 100,200,0.2 mg Film coated tablets [oral], bisoprolol fumarate 5 mg tablet, diclofenac sodium 1% (10 mg/g) gel, valsartan 80 mg tablet, colecalciferol 50 000 international units tablet, vitamin B complex (B1,B6,B12) 100,200,0.2 mg Film coated tablets [oral], bisoprolol fumarate 5 mg tablet, diclofenac sodium 1% (10 mg/g) gel, valsartan 80 mg tablet, colecalciferol 50 000 international units tablet, vitamin B complex (B1,B6,B12) 100,200,0.2 mg Film coated tablets [oral], bisoprolol fumarate 5 mg tablet, diclofenac sodium 1% (10 mg/g) gel, valsartan 80 mg tablet, colecalciferol 50 000 international units tablet, vitamin B complex (B1,B6,B12) 100,200,0.2 mg Film coated tablets [oral], bisoprolol fumarate 5 mg tablet, diclofenac sodium 1% (10 mg/g) gel, SITagliptin 100 mg tablet, SITagliptin 100 mg tablet, SITagliptin 100 mg tablet, SITagliptin 100 mg tablet, finasteride 5 mg tablet, tamsulosin hydrochloride 400 microgram tablet: modified release, finasteride 5 mg tablet, tamsulosin hydrochloride 400 microgram tablet: modified release, finasteride 5 mg tablet, tamsulosin hydrochloride 400 microgram tablet: modified release, finasteride 5 mg tablet, tamsulosin hydrochloride 400 microgram tablet: modified release, amLODIPine 5 mg tablet, celecoxib 200 mg capsule, colecalciferol 50 000 international units tablet, amLODIPine 5 mg tablet, celecoxib 200 mg capsule, colecalciferol 50 000 international units tablet, amLODIPine 5 mg tablet, celecoxib 200 mg capsule, colecalciferol 50 000 international units tablet, amLODIPine 5 mg tablet, celecoxib 200 mg capsule, colecalciferol 50 000 international units tablet, metFORMIN hydrochloride 750 mg tablet: modified release, diclofenac sodium 1% (10 mg/g) gel, metFORMIN hydrochloride 750 mg tablet: modified release, diclofenac sodium 1% (10 mg/g) gel, metFORMIN hydrochloride 750 mg tablet: modified release, diclofenac sodium 1% (10 mg/g) gel, metFORMIN hydrochloride 750 mg tablet: modified release, diclofenac sodium 1% (10 mg/g) gel, bisoprolol fumarate 5 mg tablet, bisoprolol fumarate 5 mg tablet, bisoprolol fumarate 5 mg tablet, bisoprolol fumarate 5 mg tablet, rosuvastatin 10 mg tablet, SITagliptin 100 mg tablet, rosuvastatin 10 mg tablet, SITagliptin 100 mg tablet, rosuvastatin 10 mg tablet, SITagliptin 100 mg tablet, rosuvastatin 10 mg tablet, SITagliptin 100 mg tablet, omeprazole 20 mg tablet: enteric coated, vitamin B complex (B1,B6,B12) 100,200,0.2 mg Film coated tablets [oral], valsartan 80 mg tablet, omeprazole 20 mg tablet: enteric coated, vitamin B complex (B1,B6,B12) 100,200,0.2 mg Film coated tablets [oral], valsartan 80 mg tablet, omeprazole 20 mg tablet: enteric coated, vitamin B complex (B1,B6,B12) 100,200,0.2 mg Film coated tablets [oral], valsartan 80 mg tablet, omeprazole 20 mg tablet: enteric coated, vitamin B complex (B1,B6,B12) 100,200,0.2 mg Film coated tablets [oral], valsartan 80 mg tablet, tamsulosin hydrochloride 400 microgram tablet: modified release, metFORMIN hydrochloride 750 mg tablet: modified release, SITagliptin 100 mg tablet, tamsulosin hydrochloride 400 microgram tablet: modified release, metFORMIN hydrochloride 750 mg tablet: modified release, SITagliptin 100 mg tablet, tamsulosin hydrochloride 400 microgram tablet: modified release, metFORMIN hydrochloride 750 mg tablet: modified release, SITagliptin 100 mg tablet, tamsulosin hydrochloride 400 microgram tablet: modified release, metFORMIN hydrochloride 750 mg tablet: modified release, SITagliptin 100 mg tablet, metFORMIN hydrochloride 750 mg tablet: modified release, metFORMIN hydrochloride 750 mg tablet: modified release, metFORMIN hydrochloride 750 mg tablet: modified release, metFORMIN hydrochloride 750 mg tablet: modified release, rosuvastatin 10 mg tablet, celecoxib 200 mg capsule, omeprazole 20 mg tablet: enteric coated, amLODIPine 5 mg tablet, rosuvastatin 10 mg tablet, celecoxib 200 mg capsule, omeprazole 20 mg tablet: enteric coated, amLODIPine 5 mg tablet, rosuvastatin 10 mg tablet, celecoxib 200 mg capsule, omeprazole 20 mg tablet: enteric coated, amLODIPine 5 mg tablet, rosuvastatin 10 mg tablet, celecoxib 200 mg capsule, omeprazole 20 mg tablet: enteric coated, amLODIPine 5 mg tablet, tamsulosin hydrochloride 400 microgram tablet: modified release, tamsulosin hydrochloride 400 microgram tablet: modified release, tamsulosin hydrochloride 400 microgram tablet: modified release, tamsulosin hydrochloride 400 microgram tablet: modified release, finasteride 5 mg tablet, valsartan 80 mg tablet, colecalciferol 50 000 international units tablet, vitamin B complex (B1,B6,B12) 100,200,0.2 mg Film coated tablets [oral], finasteride 5 mg tablet, valsartan 80 mg tablet, colecalciferol 50 000 international units tablet, vitamin B complex (B1,B6,B12) 100,200,0.2 mg Film coated tablets [oral], finasteride 5 mg tablet, valsartan 80 mg tablet, colecalciferol 50 000 international units tablet, vitamin B complex (B1,B6,B12) 100,200,0.2 mg Film coated tablets [oral], finasteride 5 mg tablet, valsartan 80 mg tablet, colecalciferol 50 000 international units tablet, vitamin B complex (B1,B6,B12) 100,200,0.2 mg Film coated tablets [oral], bisoprolol fumarate 5 mg tablet, diclofenac sodium 1% (10 mg/g) gel, bisoprolol fumarate 5 mg tablet, diclofenac sodium 1% (10 mg/g) gel, bisoprolol fumarate 5 mg tablet, diclofenac sodium 1% (10 mg/g) gel, bisoprolol fumarate 5 mg tablet, diclofenac sodium 1% (10 mg/g) gel, SITagliptin 100 mg tablet, SITagliptin 100 mg tablet, SITagliptin 100 mg tablet, SITagliptin 100 mg tablet</t>
  </si>
  <si>
    <t>خالد سالم فالح السلمي</t>
  </si>
  <si>
    <t>vitamins (A, B, C, D, valsartan, colecalciferol</t>
  </si>
  <si>
    <t>vitamins (A, B1, B2, B3, C, D3) tablet, vitamins (A, B1, B2, B3, C, D3) tablet, vitamins (A, B1, B2, B3, C, D3) tablet, valsartan 80 mg tablet, valsartan 80 mg tablet, valsartan 80 mg tablet, colecalciferol 50 000 international units tablet, colecalciferol 50 000 international units tablet, colecalciferol 50 000 international units tablet</t>
  </si>
  <si>
    <t>مريم عمر حسن الزبيدي</t>
  </si>
  <si>
    <t>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t>
  </si>
  <si>
    <t>عواض شداد فازع السلمي</t>
  </si>
  <si>
    <t>cetirizine hydrochloride, chlorhexidine gluconate, paracetamol, ibuprofen, sodium chloride</t>
  </si>
  <si>
    <t>cetirizine hydrochloride 10 mg tablet, cetirizine hydrochloride 10 mg tablet, cetirizine hydrochloride 10 mg tablet, chlorhexidine gluconate 0.2% (2 mg/mL) mouthwash, chlorhexidine gluconate 0.2% (2 mg/mL) mouthwash, chlorhexidine gluconate 0.2% (2 mg/mL) mouthwash, paracetamol 500 mg tablet, ibuprofen 400 mg tablet, paracetamol 500 mg tablet, ibuprofen 400 mg tablet, paracetamol 500 mg tablet, ibuprofen 400 mg tablet, sodium chloride 0.9% (9 mg/mL) nasal spray, sodium chloride 0.9% (9 mg/mL) nasal spray, sodium chloride 0.9% (9 mg/mL) nasal spray, sodium chloride 0.9% (9 mg/mL) nasal spray, cetirizine hydrochloride 10 mg tablet, ibuprofen 400 mg tablet, paracetamol 500 mg tablet, chlorhexidine gluconate 0.2% (2 mg/mL) mouthwash, sodium chloride 0.9% (9 mg/mL) nasal spray, cetirizine hydrochloride 10 mg tablet, ibuprofen 400 mg tablet, paracetamol 500 mg tablet, chlorhexidine gluconate 0.2% (2 mg/mL) mouthwash, sodium chloride 0.9% (9 mg/mL) nasal spray, cetirizine hydrochloride 10 mg tablet, ibuprofen 400 mg tablet, paracetamol 500 mg tablet, chlorhexidine gluconate 0.2% (2 mg/mL) mouthwash, cetirizine hydrochloride 10 mg tablet, cetirizine hydrochloride 10 mg tablet, cetirizine hydrochloride 10 mg tablet, ibuprofen 400 mg tablet, paracetamol 500 mg tablet, sodium chloride 0.9% (9 mg/mL) nasal spray, ibuprofen 400 mg tablet, paracetamol 500 mg tablet, sodium chloride 0.9% (9 mg/mL) nasal spray, ibuprofen 400 mg tablet, paracetamol 500 mg tablet, sodium chloride 0.9% (9 mg/mL) nasal spray, chlorhexidine gluconate 0.2% (2 mg/mL) mouthwash, chlorhexidine gluconate 0.2% (2 mg/mL) mouthwash, chlorhexidine gluconate 0.2% (2 mg/mL) mouthwash</t>
  </si>
  <si>
    <t>نجوي هديبان عالي العمري</t>
  </si>
  <si>
    <t>مكي احمد سالم السميري</t>
  </si>
  <si>
    <t>valsartan, ferrous sulfate, hydroCHLOROthiazide, colecalciferol, mebeverine hydrochloride, atorvastatin</t>
  </si>
  <si>
    <t>valsartan 80 mg tablet, ferrous sulfate 150 mg + folic acid 500 microgram capsule: modified release, valsartan 80 mg tablet, ferrous sulfate 150 mg + folic acid 500 microgram capsule: modified release, valsartan 80 mg tablet, ferrous sulfate 150 mg + folic acid 500 microgram capsule: modified release, valsartan 80 mg tablet, ferrous sulfate 150 mg + folic acid 500 microgram capsule: modified release, valsartan 80 mg tablet, ferrous sulfate 150 mg + folic acid 500 microgram capsule: modified release, hydroCHLOROthiazide 25 mg tablet: scored, colecalciferol 50 000 international units tablet, hydroCHLOROthiazide 25 mg tablet: scored, colecalciferol 50 000 international units tablet, hydroCHLOROthiazide 25 mg tablet: scored, colecalciferol 50 000 international units tablet, hydroCHLOROthiazide 25 mg tablet: scored, colecalciferol 50 000 international units tablet, hydroCHLOROthiazide 25 mg tablet: scored, colecalciferol 50 000 international units tablet,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atorvastatin 20 mg tablet, atorvastatin 20 mg tablet, atorvastatin 20 mg tablet, atorvastatin 20 mg tablet, atorvastatin 20 mg tablet,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atorvastatin 20 mg tablet, atorvastatin 20 mg tablet, atorvastatin 20 mg tablet, atorvastatin 20 mg tablet, atorvastatin 20 mg tablet, valsartan 80 mg tablet, ferrous sulfate 150 mg + folic acid 500 microgram capsule: modified release, valsartan 80 mg tablet, ferrous sulfate 150 mg + folic acid 500 microgram capsule: modified release, valsartan 80 mg tablet, ferrous sulfate 150 mg + folic acid 500 microgram capsule: modified release, valsartan 80 mg tablet, ferrous sulfate 150 mg + folic acid 500 microgram capsule: modified release, valsartan 80 mg tablet, ferrous sulfate 150 mg + folic acid 500 microgram capsule: modified release, colecalciferol 50 000 international units tablet, hydroCHLOROthiazide 25 mg tablet: scored, colecalciferol 50 000 international units tablet, hydroCHLOROthiazide 25 mg tablet: scored, colecalciferol 50 000 international units tablet, hydroCHLOROthiazide 25 mg tablet: scored, colecalciferol 50 000 international units tablet, hydroCHLOROthiazide 25 mg tablet: scored, colecalciferol 50 000 international units tablet, hydroCHLOROthiazide 25 mg tablet: scored, colecalciferol 50 000 international units tablet, colecalciferol 50 000 international units tablet, colecalciferol 50 000 international units tablet, colecalciferol 50 000 international units tablet, colecalciferol 50 000 international units tablet, atorvastatin 20 mg tablet, atorvastatin 20 mg tablet, atorvastatin 20 mg tablet, atorvastatin 20 mg tablet, atorvastatin 20 mg tablet, valsartan 80 mg tablet, ferrous sulfate 150 mg + folic acid 500 microgram capsule: modified release, hydroCHLOROthiazide 25 mg tablet: scored, mebeverine hydrochloride 200 mg capsule: modified release, valsartan 80 mg tablet, ferrous sulfate 150 mg + folic acid 500 microgram capsule: modified release, hydroCHLOROthiazide 25 mg tablet: scored, mebeverine hydrochloride 200 mg capsule: modified release, valsartan 80 mg tablet, ferrous sulfate 150 mg + folic acid 500 microgram capsule: modified release, hydroCHLOROthiazide 25 mg tablet: scored, mebeverine hydrochloride 200 mg capsule: modified release, valsartan 80 mg tablet, ferrous sulfate 150 mg + folic acid 500 microgram capsule: modified release, hydroCHLOROthiazide 25 mg tablet: scored, mebeverine hydrochloride 200 mg capsule: modified release, valsartan 80 mg tablet, ferrous sulfate 150 mg + folic acid 500 microgram capsule: modified release, hydroCHLOROthiazide 25 mg tablet: scored, mebeverine hydrochloride 200 mg capsule: modified release, colecalciferol 50 000 international units tablet, colecalciferol 50 000 international units tablet, colecalciferol 50 000 international units tablet, colecalciferol 50 000 international units tablet, colecalciferol 50 000 international units tablet, hydroCHLOROthiazide 25 mg tablet: scored, ferrous sulfate 150 mg + folic acid 500 microgram capsule: modified release, hydroCHLOROthiazide 25 mg tablet: scored, ferrous sulfate 150 mg + folic acid 500 microgram capsule: modified release, hydroCHLOROthiazide 25 mg tablet: scored, ferrous sulfate 150 mg + folic acid 500 microgram capsule: modified release, hydroCHLOROthiazide 25 mg tablet: scored, ferrous sulfate 150 mg + folic acid 500 microgram capsule: modified release, hydroCHLOROthiazide 25 mg tablet: scored, ferrous sulfate 150 mg + folic acid 500 microgram capsule: modified release, valsartan 80 mg tablet, mebeverine hydrochloride 200 mg capsule: modified release, atorvastatin 20 mg tablet, colecalciferol 50 000 international units tablet, valsartan 80 mg tablet, mebeverine hydrochloride 200 mg capsule: modified release, atorvastatin 20 mg tablet, colecalciferol 50 000 international units tablet, valsartan 80 mg tablet, mebeverine hydrochloride 200 mg capsule: modified release, atorvastatin 20 mg tablet, colecalciferol 50 000 international units tablet, valsartan 80 mg tablet, mebeverine hydrochloride 200 mg capsule: modified release, atorvastatin 20 mg tablet, colecalciferol 50 000 international units tablet, valsartan 80 mg tablet, mebeverine hydrochloride 200 mg capsule: modified release, atorvastatin 20 mg tablet, colecalciferol 50 000 international units tablet,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valsartan 80 mg tablet, hydroCHLOROthiazide 25 mg tablet: scored, atorvastatin 20 mg tablet, valsartan 80 mg tablet, hydroCHLOROthiazide 25 mg tablet: scored, atorvastatin 20 mg tablet, valsartan 80 mg tablet, hydroCHLOROthiazide 25 mg tablet: scored, atorvastatin 20 mg tablet, valsartan 80 mg tablet, hydroCHLOROthiazide 25 mg tablet: scored, atorvastatin 20 mg tablet, valsartan 80 mg tablet, hydroCHLOROthiazide 25 mg tablet: scored, atorvastatin 20 mg tablet, colecalciferol 50 000 international units tablet, colecalciferol 50 000 international units tablet, colecalciferol 50 000 international units tablet, colecalciferol 50 000 international units tablet, colecalciferol 50 000 international units tablet,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valsartan 80 mg tablet, valsartan 80 mg tablet, valsartan 80 mg tablet, valsartan 80 mg tablet, valsartan 80 mg tablet,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atorvastatin 20 mg tablet, hydroCHLOROthiazide 25 mg tablet: scored, atorvastatin 20 mg tablet, hydroCHLOROthiazide 25 mg tablet: scored, atorvastatin 20 mg tablet, hydroCHLOROthiazide 25 mg tablet: scored, atorvastatin 20 mg tablet, hydroCHLOROthiazide 25 mg tablet: scored, atorvastatin 20 mg tablet, hydroCHLOROthiazide 25 mg tablet: scored, colecalciferol 50 000 international units tablet, mebeverine hydrochloride 200 mg capsule: modified release, colecalciferol 50 000 international units tablet, mebeverine hydrochloride 200 mg capsule: modified release, colecalciferol 50 000 international units tablet, mebeverine hydrochloride 200 mg capsule: modified release, colecalciferol 50 000 international units tablet, mebeverine hydrochloride 200 mg capsule: modified release, colecalciferol 50 000 international units tablet, mebeverine hydrochloride 200 mg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hydroCHLOROthiazide 25 mg tablet: scored, hydroCHLOROthiazide 25 mg tablet: scored, hydroCHLOROthiazide 25 mg tablet: scored, hydroCHLOROthiazide 25 mg tablet: scored, hydroCHLOROthiazide 25 mg tablet: scored, colecalciferol 50 000 international units tablet, mebeverine hydrochloride 200 mg capsule: modified release, colecalciferol 50 000 international units tablet, mebeverine hydrochloride 200 mg capsule: modified release, colecalciferol 50 000 international units tablet, mebeverine hydrochloride 200 mg capsule: modified release, colecalciferol 50 000 international units tablet, mebeverine hydrochloride 200 mg capsule: modified release, colecalciferol 50 000 international units tablet, mebeverine hydrochloride 200 mg capsule: modified release, atorvastatin 20 mg tablet, valsartan 80 mg tablet, atorvastatin 20 mg tablet, valsartan 80 mg tablet, atorvastatin 20 mg tablet, valsartan 80 mg tablet, atorvastatin 20 mg tablet, valsartan 80 mg tablet, atorvastatin 20 mg tablet, valsartan 80 mg tablet,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valsartan 80 mg tablet, hydroCHLOROthiazide 25 mg tablet: scored, valsartan 80 mg tablet, hydroCHLOROthiazide 25 mg tablet: scored, valsartan 80 mg tablet, hydroCHLOROthiazide 25 mg tablet: scored, valsartan 80 mg tablet, hydroCHLOROthiazide 25 mg tablet: scored, valsartan 80 mg tablet, hydroCHLOROthiazide 25 mg tablet: scored, colecalciferol 50 000 international units tablet, colecalciferol 50 000 international units tablet, colecalciferol 50 000 international units tablet, colecalciferol 50 000 international units tablet, colecalciferol 50 000 international units tablet, ferrous sulfate 150 mg + folic acid 500 microgram capsule: modified release, atorvastatin 20 mg tablet, ferrous sulfate 150 mg + folic acid 500 microgram capsule: modified release, atorvastatin 20 mg tablet, ferrous sulfate 150 mg + folic acid 500 microgram capsule: modified release, atorvastatin 20 mg tablet, ferrous sulfate 150 mg + folic acid 500 microgram capsule: modified release, atorvastatin 20 mg tablet, ferrous sulfate 150 mg + folic acid 500 microgram capsule: modified release, atorvastatin 20 mg tablet</t>
  </si>
  <si>
    <t>زكي دخيل بخيت النعماني</t>
  </si>
  <si>
    <t>rosuvastatin 20 mg tablet, rosuvastatin 20 mg tablet, rosuvastatin 20 mg tablet, rosuvastatin 20 mg tablet, rosuvastatin 20 mg tablet, rosuvastatin 20 mg tablet, rosuvastatin 20 mg tablet, rosuvastatin 20 mg tablet</t>
  </si>
  <si>
    <t>سعود عبدالله منقي السلمي</t>
  </si>
  <si>
    <t>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t>
  </si>
  <si>
    <t>خالد بركات ناصر الشريف</t>
  </si>
  <si>
    <t>indapamide, amLODIPine, perindopril arginine, metFORMIN hydrochloride, vitamin B complex (B, B, vitamins (A, C, D</t>
  </si>
  <si>
    <t>indapamide 1.5 mg tablet: modified release, indapamide 1.5 mg tablet: modified release, indapamide 1.5 mg tablet: modified release, indapamide 1.5 mg tablet: modified release, amLODIPine 5 mg tablet, perindopril arginine 5 mg tablet, amLODIPine 5 mg tablet, perindopril arginine 5 mg tablet, amLODIPine 5 mg tablet, perindopril arginine 5 mg tablet, amLODIPine 5 mg tablet, perindopril arginine 5 mg tablet,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vitamins (A, B1, B2, B3, C, D3) tablet, vitamins (A, B1, B2, B3, C, D3) tablet, vitamins (A, B1, B2, B3, C, D3) tablet, vitamins (A, B1, B2, B3, C, D3) tablet, perindopril arginine 5 mg tablet, indapamide 1.5 mg tablet: modified release, metFORMIN hydrochloride 500 mg tablet, perindopril arginine 5 mg tablet, indapamide 1.5 mg tablet: modified release, metFORMIN hydrochloride 500 mg tablet, perindopril arginine 5 mg tablet, indapamide 1.5 mg tablet: modified release, metFORMIN hydrochloride 500 mg tablet, perindopril arginine 5 mg tablet, indapamide 1.5 mg tablet: modified release, metFORMIN hydrochloride 500 mg tablet, vitamins (A, B1, B2, B3, C, D3) tablet, vitamin B complex (B1,B6,B12) 100,200,0.2 mg Film coated tablets [oral], amLODIPine 5 mg tablet, vitamins (A, B1, B2, B3, C, D3) tablet, vitamin B complex (B1,B6,B12) 100,200,0.2 mg Film coated tablets [oral], amLODIPine 5 mg tablet, vitamins (A, B1, B2, B3, C, D3) tablet, vitamin B complex (B1,B6,B12) 100,200,0.2 mg Film coated tablets [oral], amLODIPine 5 mg tablet, vitamins (A, B1, B2, B3, C, D3) tablet, vitamin B complex (B1,B6,B12) 100,200,0.2 mg Film coated tablets [oral], amLODIPine 5 mg tablet, vitamin B complex (B1,B6,B12) 100,200,0.2 mg Film coated tablets [oral], amLODIPine 5 mg tablet, vitamin B complex (B1,B6,B12) 100,200,0.2 mg Film coated tablets [oral], amLODIPine 5 mg tablet, vitamin B complex (B1,B6,B12) 100,200,0.2 mg Film coated tablets [oral], amLODIPine 5 mg tablet, vitamin B complex (B1,B6,B12) 100,200,0.2 mg Film coated tablets [oral], amLODIPine 5 mg tablet, vitamins (A, B1, B2, B3, C, D3) tablet, vitamins (A, B1, B2, B3, C, D3) tablet, vitamins (A, B1, B2, B3, C, D3) tablet, vitamins (A, B1, B2, B3, C, D3) tablet, metFORMIN hydrochloride 500 mg tablet, indapamide 1.5 mg tablet: modified release, perindopril arginine 5 mg tablet, metFORMIN hydrochloride 500 mg tablet, indapamide 1.5 mg tablet: modified release, perindopril arginine 5 mg tablet, metFORMIN hydrochloride 500 mg tablet, indapamide 1.5 mg tablet: modified release, perindopril arginine 5 mg tablet, metFORMIN hydrochloride 500 mg tablet, indapamide 1.5 mg tablet: modified release, perindopril arginine 5 mg tablet</t>
  </si>
  <si>
    <t>هاشم زكريا خوجه</t>
  </si>
  <si>
    <t>dextromethorphan hydrobromide, paracetamol, amoxicillin</t>
  </si>
  <si>
    <t>dextromethorphan hydrobromide 15 mg/5 mL oral liquid, paracetamol 500 mg + codeine phosphate 8 mg + caffeine 30 mg tablet, dextromethorphan hydrobromide 15 mg/5 mL oral liquid, paracetamol 500 mg + codeine phosphate 8 mg + caffeine 30 mg tablet, dextromethorphan hydrobromide 15 mg/5 mL oral liquid, paracetamol 500 mg + codeine phosphate 8 mg + caffeine 30 mg tablet, dextromethorphan hydrobromide 15 mg/5 mL oral liquid, paracetamol 500 mg + codeine phosphate 8 mg + caffeine 30 mg tablet, dextromethorphan hydrobromide 15 mg/5 mL oral liquid, paracetamol 500 mg + codeine phosphate 8 mg + caffeine 30 mg tablet, dextromethorphan hydrobromide 15 mg/5 mL oral liquid,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amoxicillin 500 mg + clavulanic acid 125 mg tablet, paracetamol 500 mg + codeine phosphate 8 mg + caffeine 30 mg tablet, amoxicillin 500 mg + clavulanic acid 125 mg tablet, paracetamol 500 mg + codeine phosphate 8 mg + caffeine 30 mg tablet, amoxicillin 500 mg + clavulanic acid 125 mg tablet, paracetamol 500 mg + codeine phosphate 8 mg + caffeine 30 mg tablet, amoxicillin 500 mg + clavulanic acid 125 mg tablet, paracetamol 500 mg + codeine phosphate 8 mg + caffeine 30 mg tablet, amoxicillin 500 mg + clavulanic acid 125 mg tablet, paracetamol 500 mg + codeine phosphate 8 mg + caffeine 30 mg tablet, amoxicillin 500 mg + clavulanic acid 125 mg tablet, paracetamol 500 mg + codeine phosphate 8 mg + caffeine 30 mg tablet,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t>
  </si>
  <si>
    <t>ابتسام سعيد محمد مجدوعي الغامدي</t>
  </si>
  <si>
    <t>lactulose</t>
  </si>
  <si>
    <t>lactulose 3.35 g/5 mL oral liquid, lactulose 3.35 g/5 mL oral liquid, lactulose 3.35 g/5 mL oral liquid, lactulose 3.35 g/5 mL oral liquid, lactulose 3.35 g/5 mL oral liquid, lactulose 3.35 g/5 mL oral liquid, lactulose 3.35 g/5 mL oral liquid, lactulose 3.35 g/5 mL oral liquid, lactulose 3.35 g/5 mL oral liquid, lactulose 3.35 g/5 mL oral liquid, lactulose 3.35 g/5 mL oral liquid, lactulose 3.35 g/5 mL oral liquid, lactulose 3.35 g/5 mL oral liquid, lactulose 3.35 g/5 mL oral liquid, lactulose 3.35 g/5 mL oral liquid</t>
  </si>
  <si>
    <t>حسان عبدالله محمد الهوساوي</t>
  </si>
  <si>
    <t>chlorzoxazone, diclofenac sodium</t>
  </si>
  <si>
    <t>chlorzoxazone 250 mg + paracetamol 300 mg capsule, diclofenac sodium 1% (10 mg/g) gel, chlorzoxazone 250 mg + paracetamol 300 mg capsule, diclofenac sodium 1% (10 mg/g) gel, chlorzoxazone 250 mg + paracetamol 300 mg capsule, diclofenac sodium 1% (10 mg/g) gel, chlorzoxazone 250 mg + paracetamol 300 mg capsule, diclofenac sodium 1% (10 mg/g) gel, diclofenac sodium 1% (10 mg/g) gel, diclofenac sodium 1% (10 mg/g) gel, diclofenac sodium 1% (10 mg/g) gel, diclofenac sodium 1% (10 mg/g) gel, chlorzoxazone 250 mg + paracetamol 300 mg capsule, chlorzoxazone 250 mg + paracetamol 300 mg capsule, chlorzoxazone 250 mg + paracetamol 300 mg capsule, chlorzoxazone 250 mg + paracetamol 300 mg capsule, diclofenac sodium 1% (10 mg/g) gel, diclofenac sodium 1% (10 mg/g) gel, diclofenac sodium 1% (10 mg/g) gel, diclofenac sodium 1% (10 mg/g) gel, chlorzoxazone 250 mg + paracetamol 300 mg capsule, chlorzoxazone 250 mg + paracetamol 300 mg capsule, chlorzoxazone 250 mg + paracetamol 300 mg capsule, chlorzoxazone 250 mg + paracetamol 300 mg capsule, chlorzoxazone 250 mg + paracetamol 300 mg capsule, chlorzoxazone 250 mg + paracetamol 300 mg capsule, chlorzoxazone 250 mg + paracetamol 300 mg capsule, chlorzoxazone 250 mg + paracetamol 300 mg capsule, diclofenac sodium 1% (10 mg/g) gel, diclofenac sodium 1% (10 mg/g) gel, diclofenac sodium 1% (10 mg/g) gel, diclofenac sodium 1% (10 mg/g) gel, diclofenac sodium 1% (10 mg/g) gel, diclofenac sodium 1% (10 mg/g) gel, diclofenac sodium 1% (10 mg/g) gel, diclofenac sodium 1% (10 mg/g) gel, chlorzoxazone 250 mg + paracetamol 300 mg capsule, chlorzoxazone 250 mg + paracetamol 300 mg capsule, chlorzoxazone 250 mg + paracetamol 300 mg capsule, chlorzoxazone 250 mg + paracetamol 300 mg capsule, diclofenac sodium 1% (10 mg/g) gel, diclofenac sodium 1% (10 mg/g) gel, diclofenac sodium 1% (10 mg/g) gel, diclofenac sodium 1% (10 mg/g) gel</t>
  </si>
  <si>
    <t>عصام محمد اكبر خان منقل</t>
  </si>
  <si>
    <t>valsartan, atorvastatin, calcium (as carbonate), amLODIPine</t>
  </si>
  <si>
    <t>valsartan 80 mg tablet, valsartan 80 mg tablet, valsartan 80 mg tablet, atorvastatin 10 mg tablet, atorvastatin 10 mg tablet, atorvastatin 10 mg tablet, calcium (as carbonate) 600 mg tablet, amLODIPine 5 mg tablet, calcium (as carbonate) 600 mg tablet, amLODIPine 5 mg tablet, calcium (as carbonate) 600 mg tablet, amLODIPine 5 mg tablet</t>
  </si>
  <si>
    <t>نها بنت احمد بن عائش دشاش</t>
  </si>
  <si>
    <t>مساعد بن محسن بن صالح الزهراني</t>
  </si>
  <si>
    <t>SITagliptin, metFORMIN hydrochloride, Strips (Accu-Check), gliclazide, atorvastatin</t>
  </si>
  <si>
    <t>SITagliptin 100 mg tablet, SITagliptin 100 mg tablet, SITagliptin 100 mg tablet, SITagliptin 100 mg tablet, metFORMIN hydrochloride 500 mg tablet, Strips (Accu-Check) 1 box Strip [n/a], metFORMIN hydrochloride 500 mg tablet, Strips (Accu-Check) 1 box Strip [n/a], metFORMIN hydrochloride 500 mg tablet, Strips (Accu-Check) 1 box Strip [n/a], metFORMIN hydrochloride 500 mg tablet, Strips (Accu-Check) 1 box Strip [n/a], gliclazide 60 mg tablet: modified release, atorvastatin 10 mg tablet, gliclazide 60 mg tablet: modified release, atorvastatin 10 mg tablet, gliclazide 60 mg tablet: modified release, atorvastatin 10 mg tablet, gliclazide 60 mg tablet: modified release, atorvastatin 10 mg tablet, metFORMIN hydrochloride 500 mg tablet, atorvastatin 10 mg tablet, Strips (Accu-Check) 1 box Strip [n/a], metFORMIN hydrochloride 500 mg tablet, atorvastatin 10 mg tablet, Strips (Accu-Check) 1 box Strip [n/a], metFORMIN hydrochloride 500 mg tablet, atorvastatin 10 mg tablet, Strips (Accu-Check) 1 box Strip [n/a], metFORMIN hydrochloride 500 mg tablet, atorvastatin 10 mg tablet, Strips (Accu-Check) 1 box Strip [n/a], gliclazide 60 mg tablet: modified release, SITagliptin 100 mg tablet, gliclazide 60 mg tablet: modified release, SITagliptin 100 mg tablet, gliclazide 60 mg tablet: modified release, SITagliptin 100 mg tablet, gliclazide 60 mg tablet: modified release, SITagliptin 100 mg tablet, Strips (Accu-Check) 1 box Strip [n/a], Strips (Accu-Check) 1 box Strip [n/a], Strips (Accu-Check) 1 box Strip [n/a], Strips (Accu-Check) 1 box Strip [n/a], gliclazide 60 mg tablet: modified release, SITagliptin 100 mg tablet, gliclazide 60 mg tablet: modified release, SITagliptin 100 mg tablet, gliclazide 60 mg tablet: modified release, SITagliptin 100 mg tablet, gliclazide 60 mg tablet: modified release, SITagliptin 100 mg tablet, atorvastatin 10 mg tablet, metFORMIN hydrochloride 500 mg tablet, atorvastatin 10 mg tablet, metFORMIN hydrochloride 500 mg tablet, atorvastatin 10 mg tablet, metFORMIN hydrochloride 500 mg tablet, atorvastatin 10 mg tablet, metFORMIN hydrochloride 500 mg tablet</t>
  </si>
  <si>
    <t>عائشه حسن عيظه المالكي</t>
  </si>
  <si>
    <t>metFORMIN hydrochloride, empagliflozin, Strips (Accu-Check)</t>
  </si>
  <si>
    <t>metFORMIN hydrochloride 750 mg tablet: modified release, metFORMIN hydrochloride 750 mg tablet: modified release, metFORMIN hydrochloride 750 mg tablet: modified release, empagliflozin 10 mg tablet, Strips (Accu-Check) 1 box Strip [n/a], metFORMIN hydrochloride 750 mg tablet: modified release, empagliflozin 10 mg tablet, Strips (Accu-Check) 1 box Strip [n/a], Strips (Accu-Check) 1 box Strip [n/a], empagliflozin 10 mg tablet, Strips (Accu-Check) 1 box Strip [n/a], empagliflozin 10 mg tablet, Strips (Accu-Check) 1 box Strip [n/a], Strips (Accu-Check) 1 box Strip [n/a], empagliflozin 10 mg tablet, empagliflozin 10 mg tablet, metFORMIN hydrochloride 750 mg tablet: modified release, metFORMIN hydrochloride 750 mg tablet: modified release</t>
  </si>
  <si>
    <t>حميده عتيق عطيه الله العمري</t>
  </si>
  <si>
    <t>meloxicam, diclofenac sodium, baclofen, omeprazole, escitalopram</t>
  </si>
  <si>
    <t>meloxicam 15 mg tablet, diclofenac sodium 1% (10 mg/g) gel, meloxicam 15 mg tablet, diclofenac sodium 1% (10 mg/g) gel, meloxicam 15 mg tablet, diclofenac sodium 1% (10 mg/g) gel, baclofen 10 mg tablet, baclofen 10 mg tablet, baclofen 10 mg tablet, omeprazole 20 mg tablet: enteric coated, omeprazole 20 mg tablet: enteric coated, omeprazole 20 mg tablet: enteric coated, diclofenac sodium 1% (10 mg/g) gel, diclofenac sodium 1% (10 mg/g) gel, diclofenac sodium 1% (10 mg/g) gel, escitalopram 10 mg tablet, escitalopram 10 mg tablet, escitalopram 10 mg tablet, omeprazole 20 mg tablet: enteric coated, baclofen 10 mg tablet, omeprazole 20 mg tablet: enteric coated, baclofen 10 mg tablet, omeprazole 20 mg tablet: enteric coated, baclofen 10 mg tablet, escitalopram 10 mg tablet, escitalopram 10 mg tablet, escitalopram 10 mg tablet, meloxicam 15 mg tablet, meloxicam 15 mg tablet, meloxicam 15 mg tablet, escitalopram 10 mg tablet, escitalopram 10 mg tablet, escitalopram 10 mg tablet, diclofenac sodium 1% (10 mg/g) gel, omeprazole 20 mg tablet: enteric coated, meloxicam 15 mg tablet, diclofenac sodium 1% (10 mg/g) gel, omeprazole 20 mg tablet: enteric coated, meloxicam 15 mg tablet, diclofenac sodium 1% (10 mg/g) gel, omeprazole 20 mg tablet: enteric coated, meloxicam 15 mg tablet, baclofen 10 mg tablet, baclofen 10 mg tablet, baclofen 10 mg tablet</t>
  </si>
  <si>
    <t>عويض عوض الله راشد العمري</t>
  </si>
  <si>
    <t>vitamins (A, B, C, D, metFORMIN hydrochloride, Lancets (Accu-Check), perindopril arginine, empagliflozin, vitamin B complex (B, Strips (Accu-Check)</t>
  </si>
  <si>
    <t>vitamins (A, B1, B2, B3, C, D3) tablet, metFORMIN hydrochloride 750 mg tablet: modified release, Lancets (Accu-Check) 1 box Lancets [n/a], perindopril arginine 5 mg tablet, vitamins (A, B1, B2, B3, C, D3) tablet, metFORMIN hydrochloride 750 mg tablet: modified release, Lancets (Accu-Check) 1 box Lancets [n/a], perindopril arginine 5 mg tablet, vitamins (A, B1, B2, B3, C, D3) tablet, metFORMIN hydrochloride 750 mg tablet: modified release, Lancets (Accu-Check) 1 box Lancets [n/a], perindopril arginine 5 mg tablet, vitamins (A, B1, B2, B3, C, D3) tablet, metFORMIN hydrochloride 750 mg tablet: modified release, Lancets (Accu-Check) 1 box Lancets [n/a], perindopril arginine 5 mg tablet, empagliflozin 25 mg tablet, vitamin B complex (B1,B6,B12) 100,200,0.2 mg Film coated tablets [oral], Strips (Accu-Check) 1 box Strip [n/a], budesonide 64 microgram/actuation nasal spray, cetirizine hydrochloride 10 mg tablet, insulin glargine 300 international units/mL injection, 1.5 mL prefilled pen, paraffin soft white ointment, tube, empagliflozin 25 mg tablet, vitamin B complex (B1,B6,B12) 100,200,0.2 mg Film coated tablets [oral], Strips (Accu-Check) 1 box Strip [n/a], budesonide 64 microgram/actuation nasal spray, cetirizine hydrochloride 10 mg tablet, insulin glargine 300 international units/mL injection, 1.5 mL prefilled pen, paraffin soft white ointment, tube, empagliflozin 25 mg tablet, vitamin B complex (B1,B6,B12) 100,200,0.2 mg Film coated tablets [oral], Strips (Accu-Check) 1 box Strip [n/a], budesonide 64 microgram/actuation nasal spray, cetirizine hydrochloride 10 mg tablet, insulin glargine 300 international units/mL injection, 1.5 mL prefilled pen, paraffin soft white ointment, tube, empagliflozin 25 mg tablet, vitamin B complex (B1,B6,B12) 100,200,0.2 mg Film coated tablets [oral], Strips (Accu-Check) 1 box Strip [n/a], budesonide 64 microgram/actuation nasal spray, cetirizine hydrochloride 10 mg tablet, insulin glargine 300 international units/mL injection, 1.5 mL prefilled pen, paraffin soft white ointment, tube, SITagliptin 100 mg tablet, paracetamol 500 mg tablet, SITagliptin 100 mg tablet, paracetamol 500 mg tablet, SITagliptin 100 mg tablet, paracetamol 500 mg tablet, SITagliptin 100 mg tablet, paracetamol 500 mg tablet, Glucometer Device (Accu-Chek) 1 device Device [n/a], Glucometer Device (Accu-Chek) 1 device Device [n/a], Glucometer Device (Accu-Chek) 1 device Device [n/a], Glucometer Device (Accu-Chek) 1 device Device [n/a], SITagliptin 100 mg tablet, empagliflozin 25 mg tablet, Strips (Accu-Check) 1 box Strip [n/a], Lancets (Accu-Check) 1 box Lancets [n/a], paraffin soft white ointment, tube, SITagliptin 100 mg tablet, empagliflozin 25 mg tablet, Strips (Accu-Check) 1 box Strip [n/a], Lancets (Accu-Check) 1 box Lancets [n/a], paraffin soft white ointment, tube, SITagliptin 100 mg tablet, empagliflozin 25 mg tablet, Strips (Accu-Check) 1 box Strip [n/a], Lancets (Accu-Check) 1 box Lancets [n/a], paraffin soft white ointment, tube, SITagliptin 100 mg tablet, empagliflozin 25 mg tablet, Strips (Accu-Check) 1 box Strip [n/a], Lancets (Accu-Check) 1 box Lancets [n/a], paraffin soft white ointment, tube,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Glucometer Device (Accu-Chek) 1 device Device [n/a], perindopril arginine 5 mg tablet, paracetamol 500 mg tablet, budesonide 64 microgram/actuation nasal spray, Glucometer Device (Accu-Chek) 1 device Device [n/a], perindopril arginine 5 mg tablet, paracetamol 500 mg tablet, budesonide 64 microgram/actuation nasal spray, Glucometer Device (Accu-Chek) 1 device Device [n/a], perindopril arginine 5 mg tablet, paracetamol 500 mg tablet, budesonide 64 microgram/actuation nasal spray, Glucometer Device (Accu-Chek) 1 device Device [n/a], perindopril arginine 5 mg tablet, paracetamol 500 mg tablet, budesonide 64 microgram/actuation nasal spray, vitamins (A, B1, B2, B3, C, D3) tablet, vitamin B complex (B1,B6,B12) 100,200,0.2 mg Film coated tablets [oral], cetirizine hydrochloride 10 mg tablet, metFORMIN hydrochloride 750 mg tablet: modified release, vitamins (A, B1, B2, B3, C, D3) tablet, vitamin B complex (B1,B6,B12) 100,200,0.2 mg Film coated tablets [oral], cetirizine hydrochloride 10 mg tablet, metFORMIN hydrochloride 750 mg tablet: modified release, vitamins (A, B1, B2, B3, C, D3) tablet, vitamin B complex (B1,B6,B12) 100,200,0.2 mg Film coated tablets [oral], cetirizine hydrochloride 10 mg tablet, metFORMIN hydrochloride 750 mg tablet: modified release, vitamins (A, B1, B2, B3, C, D3) tablet, vitamin B complex (B1,B6,B12) 100,200,0.2 mg Film coated tablets [oral], cetirizine hydrochloride 10 mg tablet, metFORMIN hydrochloride 750 mg tablet: modified release, empagliflozin 25 mg tablet, insulin glargine 300 international units/mL injection, 1.5 mL prefilled pen, SITagliptin 100 mg tablet, empagliflozin 25 mg tablet, insulin glargine 300 international units/mL injection, 1.5 mL prefilled pen, SITagliptin 100 mg tablet, empagliflozin 25 mg tablet, insulin glargine 300 international units/mL injection, 1.5 mL prefilled pen, SITagliptin 100 mg tablet, empagliflozin 25 mg tablet, insulin glargine 300 international units/mL injection, 1.5 mL prefilled pen, SITagliptin 100 mg tablet, metFORMIN hydrochloride 750 mg tablet: modified release, budesonide 64 microgram/actuation nasal spray, cetirizine hydrochloride 10 mg tablet, metFORMIN hydrochloride 750 mg tablet: modified release, budesonide 64 microgram/actuation nasal spray, cetirizine hydrochloride 10 mg tablet, metFORMIN hydrochloride 750 mg tablet: modified release, budesonide 64 microgram/actuation nasal spray, cetirizine hydrochloride 10 mg tablet, metFORMIN hydrochloride 750 mg tablet: modified release, budesonide 64 microgram/actuation nasal spray, cetirizine hydrochloride 10 mg tablet, perindopril arginine 5 mg tablet, perindopril arginine 5 mg tablet, perindopril arginine 5 mg tablet, perindopril arginine 5 mg tablet, paraffin soft white ointment, tube, vitamins (A, B1, B2, B3, C, D3) tablet, paraffin soft white ointment, tube, vitamins (A, B1, B2, B3, C, D3) tablet, paraffin soft white ointment, tube, vitamins (A, B1, B2, B3, C, D3) tablet, paraffin soft white ointment, tube, vitamins (A, B1, B2, B3, C, D3) tablet, Lancets (Accu-Check) 1 box Lancets [n/a], Glucometer Device (Accu-Chek) 1 device Device [n/a], vitamin B complex (B1,B6,B12) 100,200,0.2 mg Film coated tablets [oral], paracetamol 500 mg tablet, Strips (Accu-Check) 1 box Strip [n/a], Lancets (Accu-Check) 1 box Lancets [n/a], Glucometer Device (Accu-Chek) 1 device Device [n/a], vitamin B complex (B1,B6,B12) 100,200,0.2 mg Film coated tablets [oral], paracetamol 500 mg tablet, Strips (Accu-Check) 1 box Strip [n/a], Lancets (Accu-Check) 1 box Lancets [n/a], Glucometer Device (Accu-Chek) 1 device Device [n/a], vitamin B complex (B1,B6,B12) 100,200,0.2 mg Film coated tablets [oral], paracetamol 500 mg tablet, Strips (Accu-Check) 1 box Strip [n/a], Lancets (Accu-Check) 1 box Lancets [n/a], Glucometer Device (Accu-Chek) 1 device Device [n/a], vitamin B complex (B1,B6,B12) 100,200,0.2 mg Film coated tablets [oral], paracetamol 500 mg tablet, Strips (Accu-Check) 1 box Strip [n/a]</t>
  </si>
  <si>
    <t>هيثم غازي حسن بترجي</t>
  </si>
  <si>
    <t>metFORMIN hydrochloride, glimepiride, vitamin B complex (B, B</t>
  </si>
  <si>
    <t>metFORMIN hydrochloride 500 mg tablet, metFORMIN hydrochloride 500 mg tablet, metFORMIN hydrochloride 500 mg tablet, metFORMIN hydrochloride 500 mg tablet, metFORMIN hydrochloride 500 mg tablet, glimepiride 2 mg tablet, glimepiride 2 mg tablet, glimepiride 2 mg tablet, glimepiride 2 mg tablet, glimepiride 2 mg tablet,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glimepiride 2 mg tablet, metFORMIN hydrochloride 500 mg tablet, glimepiride 2 mg tablet, metFORMIN hydrochloride 500 mg tablet, glimepiride 2 mg tablet, metFORMIN hydrochloride 500 mg tablet, glimepiride 2 mg tablet, metFORMIN hydrochloride 500 mg tablet, glimepiride 2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glimepiride 2 mg tablet, vitamin B complex (B1,B6,B12) 100,200,0.2 mg Film coated tablets [oral], glimepiride 2 mg tablet, vitamin B complex (B1,B6,B12) 100,200,0.2 mg Film coated tablets [oral], glimepiride 2 mg tablet, vitamin B complex (B1,B6,B12) 100,200,0.2 mg Film coated tablets [oral], glimepiride 2 mg tablet, vitamin B complex (B1,B6,B12) 100,200,0.2 mg Film coated tablets [oral], glimepiride 2 mg tablet</t>
  </si>
  <si>
    <t>صالحه مسيب وصل الله السلمي</t>
  </si>
  <si>
    <t>metFORMIN hydrochloride, SITagliptin, vitamin B complex (B, B</t>
  </si>
  <si>
    <t>metFORMIN hydrochloride 500 mg tablet, metFORMIN hydrochloride 500 mg tablet, metFORMIN hydrochloride 500 mg tablet, SITagliptin 100 mg tablet, vitamin B complex (B1,B6,B12) 100,200,0.2 mg Film coated tablets [oral], SITagliptin 100 mg tablet, vitamin B complex (B1,B6,B12) 100,200,0.2 mg Film coated tablets [oral], SITagliptin 100 mg tablet, vitamin B complex (B1,B6,B12) 100,200,0.2 mg Film coated tablets [oral], metFORMIN hydrochloride 500 mg tablet, metFORMIN hydrochloride 500 mg tablet, metFORMIN hydrochloride 500 mg tablet, SITagliptin 100 mg tablet, vitamin B complex (B1,B6,B12) 100,200,0.2 mg Film coated tablets [oral], SITagliptin 100 mg tablet, vitamin B complex (B1,B6,B12) 100,200,0.2 mg Film coated tablets [oral], SITagliptin 100 mg tablet, vitamin B complex (B1,B6,B12) 100,200,0.2 mg Film coated tablets [oral], metFORMIN hydrochloride 500 mg tablet, metFORMIN hydrochloride 500 mg tablet, metFORMIN hydrochloride 500 mg tablet, vitamin B complex (B1,B6,B12) 100,200,0.2 mg Film coated tablets [oral], SITagliptin 100 mg tablet, vitamin B complex (B1,B6,B12) 100,200,0.2 mg Film coated tablets [oral], SITagliptin 100 mg tablet, vitamin B complex (B1,B6,B12) 100,200,0.2 mg Film coated tablets [oral], SITagliptin 100 mg tablet, metFORMIN hydrochloride 500 mg tablet, metFORMIN hydrochloride 500 mg tablet, metFORMIN hydrochloride 500 mg tablet, SITagliptin 100 mg tablet, vitamin B complex (B1,B6,B12) 100,200,0.2 mg Film coated tablets [oral], SITagliptin 100 mg tablet, vitamin B complex (B1,B6,B12) 100,200,0.2 mg Film coated tablets [oral], SITagliptin 100 mg tablet, vitamin B complex (B1,B6,B12) 100,200,0.2 mg Film coated tablets [oral], metFORMIN hydrochloride 500 mg tablet, metFORMIN hydrochloride 500 mg tablet, metFORMIN hydrochloride 500 mg tablet, SITagliptin 100 mg tablet, vitamin B complex (B1,B6,B12) 100,200,0.2 mg Film coated tablets [oral], SITagliptin 100 mg tablet, vitamin B complex (B1,B6,B12) 100,200,0.2 mg Film coated tablets [oral], SITagliptin 100 mg tablet, vitamin B complex (B1,B6,B12) 100,200,0.2 mg Film coated tablets [oral]</t>
  </si>
  <si>
    <t>محمد بن احمد حمدي</t>
  </si>
  <si>
    <t>vitamin B complex (B, B, SITagliptin, insulin aspart</t>
  </si>
  <si>
    <t>vitamin B complex (B1,B6,B12) 100,200,0.2 mg Film coated tablets [oral], vitamin B complex (B1,B6,B12) 100,200,0.2 mg Film coated tablets [oral], SITagliptin 100 mg tablet, SITagliptin 100 mg tablet, insulin aspart 30 international units/mL + insulin aspart protamine 70 international units/mL injection, 3 mL prefilled pen, insulin aspart 30 international units/mL + insulin aspart protamine 70 international units/mL injection, 3 mL prefilled pen, SITagliptin 100 mg tablet, SITagliptin 100 mg tablet, vitamin B complex (B1,B6,B12) 100,200,0.2 mg Film coated tablets [oral], vitamin B complex (B1,B6,B12) 100,200,0.2 mg Film coated tablets [oral], insulin aspart 30 international units/mL + insulin aspart protamine 70 international units/mL injection, 3 mL prefilled pen, insulin aspart 30 international units/mL + insulin aspart protamine 70 international units/mL injection, 3 mL prefilled pen</t>
  </si>
  <si>
    <t>نوره رداد محمد جدعاني</t>
  </si>
  <si>
    <t>metFORMIN hydrochloride, calcium carbonate</t>
  </si>
  <si>
    <t>metFORMIN hydrochloride 500 mg tablet, metFORMIN hydrochloride 500 mg tablet, calcium carbonate 600 mg - colecalciferol 200 international units Film coated tablets [oral], calcium carbonate 600 mg - colecalciferol 200 international units Film coated tablets [oral], metFORMIN hydrochloride 500 mg tablet, metFORMIN hydrochloride 500 mg tablet, calcium carbonate 600 mg - colecalciferol 200 international units Film coated tablets [oral], calcium carbonate 600 mg - colecalciferol 200 international units Film coated tablets [oral]</t>
  </si>
  <si>
    <t>لقاء فيصل بن علي الغامدي</t>
  </si>
  <si>
    <t>عامر عمر محمد الحربي</t>
  </si>
  <si>
    <t>Lancets (Accu-Check), Strips (Accu-Check), Glucometer Device (Accu-Chek), valsartan, metFORMIN hydrochloride</t>
  </si>
  <si>
    <t>Lancets (Accu-Check) 1 box Lancets [n/a], Strips (Accu-Check) 1 box Strip [n/a], Glucometer Device (Accu-Chek) 1 device Device [n/a], valsartan 80 mg tablet, metFORMIN hydrochloride 500 mg tablet, Lancets (Accu-Check) 1 box Lancets [n/a], Strips (Accu-Check) 1 box Strip [n/a], Glucometer Device (Accu-Chek) 1 device Device [n/a], valsartan 80 mg tablet, metFORMIN hydrochloride 500 mg tablet, Lancets (Accu-Check) 1 box Lancets [n/a], Strips (Accu-Check) 1 box Strip [n/a], Glucometer Device (Accu-Chek) 1 device Device [n/a], valsartan 80 mg tablet, metFORMIN hydrochloride 500 mg tablet, Lancets (Accu-Check) 1 box Lancets [n/a], Strips (Accu-Check) 1 box Strip [n/a], Glucometer Device (Accu-Chek) 1 device Device [n/a], valsartan 80 mg tablet, metFORMIN hydrochloride 500 mg tablet, Lancets (Accu-Check) 1 box Lancets [n/a], Strips (Accu-Check) 1 box Strip [n/a], Glucometer Device (Accu-Chek) 1 device Device [n/a], valsartan 80 mg tablet, metFORMIN hydrochloride 500 mg tablet, Lancets (Accu-Check) 1 box Lancets [n/a], Strips (Accu-Check) 1 box Strip [n/a], Glucometer Device (Accu-Chek) 1 device Device [n/a], valsartan 80 mg tablet, metFORMIN hydrochloride 500 mg tablet, Lancets (Accu-Check) 1 box Lancets [n/a], Strips (Accu-Check) 1 box Strip [n/a], Glucometer Device (Accu-Chek) 1 device Device [n/a], valsartan 80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valsartan 80 mg tablet, valsartan 80 mg tablet, valsartan 80 mg tablet, valsartan 80 mg tablet, valsartan 80 mg tablet, valsartan 80 mg tablet, valsartan 80 mg tablet, Strips (Accu-Check) 1 box Strip [n/a], Lancets (Accu-Check) 1 box Lancets [n/a], Glucometer Device (Accu-Chek) 1 device Device [n/a], Strips (Accu-Check) 1 box Strip [n/a], Lancets (Accu-Check) 1 box Lancets [n/a], Glucometer Device (Accu-Chek) 1 device Device [n/a], Strips (Accu-Check) 1 box Strip [n/a], Lancets (Accu-Check) 1 box Lancets [n/a], Glucometer Device (Accu-Chek) 1 device Device [n/a], Strips (Accu-Check) 1 box Strip [n/a], Lancets (Accu-Check) 1 box Lancets [n/a], Glucometer Device (Accu-Chek) 1 device Device [n/a], Strips (Accu-Check) 1 box Strip [n/a], Lancets (Accu-Check) 1 box Lancets [n/a], Glucometer Device (Accu-Chek) 1 device Device [n/a], Strips (Accu-Check) 1 box Strip [n/a], Lancets (Accu-Check) 1 box Lancets [n/a], Glucometer Device (Accu-Chek) 1 device Device [n/a], Strips (Accu-Check) 1 box Strip [n/a], Lancets (Accu-Check) 1 box Lancets [n/a], Glucometer Device (Accu-Chek) 1 device Device [n/a], metFORMIN hydrochloride 500 mg tablet, metFORMIN hydrochloride 500 mg tablet, metFORMIN hydrochloride 500 mg tablet, metFORMIN hydrochloride 500 mg tablet, metFORMIN hydrochloride 500 mg tablet, metFORMIN hydrochloride 500 mg tablet, metFORMIN hydrochloride 500 mg tablet, valsartan 80 mg tablet, valsartan 80 mg tablet, valsartan 80 mg tablet, valsartan 80 mg tablet, valsartan 80 mg tablet, valsartan 80 mg tablet, valsartan 80 mg tablet, Lancets (Accu-Check) 1 box Lancets [n/a], Lancets (Accu-Check) 1 box Lancets [n/a], Lancets (Accu-Check) 1 box Lancets [n/a], Lancets (Accu-Check) 1 box Lancets [n/a], Lancets (Accu-Check) 1 box Lancets [n/a], Lancets (Accu-Check) 1 box Lancets [n/a], Lancets (Accu-Check) 1 box Lancets [n/a], Glucometer Device (Accu-Chek) 1 device Device [n/a], metFORMIN hydrochloride 500 mg tablet, Glucometer Device (Accu-Chek) 1 device Device [n/a], metFORMIN hydrochloride 500 mg tablet, Glucometer Device (Accu-Chek) 1 device Device [n/a], metFORMIN hydrochloride 500 mg tablet, Glucometer Device (Accu-Chek) 1 device Device [n/a], metFORMIN hydrochloride 500 mg tablet, Glucometer Device (Accu-Chek) 1 device Device [n/a], metFORMIN hydrochloride 500 mg tablet, Glucometer Device (Accu-Chek) 1 device Device [n/a], metFORMIN hydrochloride 500 mg tablet, Glucometer Device (Accu-Chek) 1 device Device [n/a], metFORMIN hydrochloride 500 mg tablet, Strips (Accu-Check) 1 box Strip [n/a], Strips (Accu-Check) 1 box Strip [n/a], Strips (Accu-Check) 1 box Strip [n/a], Strips (Accu-Check) 1 box Strip [n/a], Strips (Accu-Check) 1 box Strip [n/a], Strips (Accu-Check) 1 box Strip [n/a], Strips (Accu-Check) 1 box Strip [n/a], Lancets (Accu-Check) 1 box Lancets [n/a], Lancets (Accu-Check) 1 box Lancets [n/a], Lancets (Accu-Check) 1 box Lancets [n/a], Lancets (Accu-Check) 1 box Lancets [n/a], Lancets (Accu-Check) 1 box Lancets [n/a], Lancets (Accu-Check) 1 box Lancets [n/a], Lancets (Accu-Check) 1 box Lancets [n/a], Strips (Accu-Check) 1 box Strip [n/a], metFORMIN hydrochloride 500 mg tablet, Strips (Accu-Check) 1 box Strip [n/a], metFORMIN hydrochloride 500 mg tablet, Strips (Accu-Check) 1 box Strip [n/a], metFORMIN hydrochloride 500 mg tablet, Strips (Accu-Check) 1 box Strip [n/a], metFORMIN hydrochloride 500 mg tablet, Strips (Accu-Check) 1 box Strip [n/a], metFORMIN hydrochloride 500 mg tablet, Strips (Accu-Check) 1 box Strip [n/a], metFORMIN hydrochloride 500 mg tablet, Strips (Accu-Check) 1 box Strip [n/a], metFORMIN hydrochloride 500 mg tablet,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valsartan 80 mg tablet, valsartan 80 mg tablet, valsartan 80 mg tablet, valsartan 80 mg tablet, valsartan 80 mg tablet, valsartan 80 mg tablet, valsartan 80 mg tablet,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valsartan 80 mg tablet, valsartan 80 mg tablet, valsartan 80 mg tablet, valsartan 80 mg tablet, valsartan 80 mg tablet, valsartan 80 mg tablet, valsartan 80 mg tablet, Lancets (Accu-Check) 1 box Lancets [n/a], Lancets (Accu-Check) 1 box Lancets [n/a], Lancets (Accu-Check) 1 box Lancets [n/a], Lancets (Accu-Check) 1 box Lancets [n/a], Lancets (Accu-Check) 1 box Lancets [n/a], Lancets (Accu-Check) 1 box Lancets [n/a], Lancets (Accu-Check) 1 box Lancets [n/a], metFORMIN hydrochloride 500 mg tablet, Strips (Accu-Check) 1 box Strip [n/a], metFORMIN hydrochloride 500 mg tablet, Strips (Accu-Check) 1 box Strip [n/a], metFORMIN hydrochloride 500 mg tablet, Strips (Accu-Check) 1 box Strip [n/a], metFORMIN hydrochloride 500 mg tablet, Strips (Accu-Check) 1 box Strip [n/a], metFORMIN hydrochloride 500 mg tablet, Strips (Accu-Check) 1 box Strip [n/a], metFORMIN hydrochloride 500 mg tablet, Strips (Accu-Check) 1 box Strip [n/a], metFORMIN hydrochloride 500 mg tablet, Strips (Accu-Check) 1 box Strip [n/a]</t>
  </si>
  <si>
    <t>جواهر عبدالله سعد القرني</t>
  </si>
  <si>
    <t>rosuvastatin, omeprazole</t>
  </si>
  <si>
    <t>rosuvastatin 10 mg tablet, rosuvastatin 10 mg tablet, omeprazole 20 mg tablet: enteric coated, omeprazole 20 mg tablet: enteric coated, omeprazole 20 mg tablet: enteric coated, omeprazole 20 mg tablet: enteric coated, rosuvastatin 10 mg tablet, rosuvastatin 10 mg tablet, omeprazole 20 mg tablet: enteric coated, omeprazole 20 mg tablet: enteric coated, rosuvastatin 10 mg tablet, rosuvastatin 10 mg tablet, omeprazole 20 mg tablet: enteric coated, omeprazole 20 mg tablet: enteric coated, rosuvastatin 10 mg tablet, rosuvastatin 10 mg tablet</t>
  </si>
  <si>
    <t>عبدالسلام صالح حسن سناري</t>
  </si>
  <si>
    <t>olopatadine, cetirizine hydrochloride</t>
  </si>
  <si>
    <t>olopatadine 0.2% (2 mg/mL) eye drops, olopatadine 0.2% (2 mg/mL) eye drops, olopatadine 0.2% (2 mg/mL) eye drops, cetirizine hydrochloride 10 mg tablet, cetirizine hydrochloride 10 mg tablet, cetirizine hydrochloride 10 mg tablet, olopatadine 0.2% (2 mg/mL) eye drops, olopatadine 0.2% (2 mg/mL) eye drops, olopatadine 0.2% (2 mg/mL) eye drops, cetirizine hydrochloride 10 mg tablet, cetirizine hydrochloride 10 mg tablet, cetirizine hydrochloride 10 mg tablet, olopatadine 0.2% (2 mg/mL) eye drops, olopatadine 0.2% (2 mg/mL) eye drops, olopatadine 0.2% (2 mg/mL) eye drops, cetirizine hydrochloride 10 mg tablet, cetirizine hydrochloride 10 mg tablet, cetirizine hydrochloride 10 mg tablet</t>
  </si>
  <si>
    <t>فوزى عبدالله احمد ناصر</t>
  </si>
  <si>
    <t>acetylsalicylic acid, metFORMIN hydrochloride, Insulin Pen Needle, vitamin B complex (B, B, SITagliptin, insulin glargine (lantus), insulin aspart, valsartan, atorvastatin</t>
  </si>
  <si>
    <t>acetylsalicylic acid 100 mg tablet: enteric coated, metFORMIN hydrochloride 750 mg tablet: modified release, Insulin Pen Needle 4mm Needle [sc], vitamin B complex (B1,B6,B12) 100,200,0.2 mg Film coated tablets [oral], SITagliptin 100 mg tablet, insulin glargine (lantus) 100 international units/mL injection, 3 mL prefilled pen, insulin aspart 100 international units/mL injection, 3 mL prefilled pen, valsartan 80 mg tablet, atorvastatin 20 mg tablet, acetylsalicylic acid 100 mg tablet: enteric coated, metFORMIN hydrochloride 750 mg tablet: modified release, Insulin Pen Needle 4mm Needle [sc], vitamin B complex (B1,B6,B12) 100,200,0.2 mg Film coated tablets [oral], SITagliptin 100 mg tablet, insulin glargine (lantus) 100 international units/mL injection, 3 mL prefilled pen, insulin aspart 100 international units/mL injection, 3 mL prefilled pen, valsartan 80 mg tablet, atorvastatin 20 mg tablet, acetylsalicylic acid 100 mg tablet: enteric coated, metFORMIN hydrochloride 750 mg tablet: modified release, Insulin Pen Needle 4mm Needle [sc], vitamin B complex (B1,B6,B12) 100,200,0.2 mg Film coated tablets [oral], SITagliptin 100 mg tablet, insulin glargine (lantus) 100 international units/mL injection, 3 mL prefilled pen, insulin aspart 100 international units/mL injection, 3 mL prefilled pen, valsartan 80 mg tablet, atorvastatin 20 mg tablet, acetylsalicylic acid 100 mg tablet: enteric coated, metFORMIN hydrochloride 750 mg tablet: modified release, Insulin Pen Needle 4mm Needle [sc], vitamin B complex (B1,B6,B12) 100,200,0.2 mg Film coated tablets [oral], SITagliptin 100 mg tablet, insulin glargine (lantus) 100 international units/mL injection, 3 mL prefilled pen, insulin aspart 100 international units/mL injection, 3 mL prefilled pen, valsartan 80 mg tablet, atorvastatin 20 mg tablet, Insulin Pen Needle 4mm Needle [sc], insulin glargine (lantus) 100 international units/mL injection, 3 mL prefilled pen, Insulin Pen Needle 4mm Needle [sc], insulin glargine (lantus) 100 international units/mL injection, 3 mL prefilled pen, Insulin Pen Needle 4mm Needle [sc], insulin glargine (lantus) 100 international units/mL injection, 3 mL prefilled pen, Insulin Pen Needle 4mm Needle [sc], insulin glargine (lantus) 100 international units/mL injection, 3 mL prefilled pen, insulin aspart 100 international units/mL injection, 3 mL prefilled pen, valsartan 80 mg tablet, insulin aspart 100 international units/mL injection, 3 mL prefilled pen, valsartan 80 mg tablet, insulin aspart 100 international units/mL injection, 3 mL prefilled pen, valsartan 80 mg tablet, insulin aspart 100 international units/mL injection, 3 mL prefilled pen, valsartan 80 mg tablet, acetylsalicylic acid 100 mg tablet: enteric coated, acetylsalicylic acid 100 mg tablet: enteric coated, acetylsalicylic acid 100 mg tablet: enteric coated, acetylsalicylic acid 100 mg tablet: enteric coated, metFORMIN hydrochloride 750 mg tablet: modified release, vitamin B complex (B1,B6,B12) 100,200,0.2 mg Film coated tablets [oral], metFORMIN hydrochloride 750 mg tablet: modified release, vitamin B complex (B1,B6,B12) 100,200,0.2 mg Film coated tablets [oral], metFORMIN hydrochloride 750 mg tablet: modified release, vitamin B complex (B1,B6,B12) 100,200,0.2 mg Film coated tablets [oral], metFORMIN hydrochloride 750 mg tablet: modified release, vitamin B complex (B1,B6,B12) 100,200,0.2 mg Film coated tablets [oral], Insulin Pen Needle 4mm Needle [sc], atorvastatin 20 mg tablet, insulin aspart 100 international units/mL injection, 3 mL prefilled pen, Insulin Pen Needle 4mm Needle [sc], atorvastatin 20 mg tablet, insulin aspart 100 international units/mL injection, 3 mL prefilled pen, Insulin Pen Needle 4mm Needle [sc], atorvastatin 20 mg tablet, insulin aspart 100 international units/mL injection, 3 mL prefilled pen, Insulin Pen Needle 4mm Needle [sc], atorvastatin 20 mg tablet, insulin aspart 100 international units/mL injection, 3 mL prefilled pen, valsartan 80 mg tablet, valsartan 80 mg tablet, valsartan 80 mg tablet, valsartan 80 mg tablet,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vitamin B complex (B1,B6,B12) 100,200,0.2 mg Film coated tablets [oral], SITagliptin 100 mg tablet, vitamin B complex (B1,B6,B12) 100,200,0.2 mg Film coated tablets [oral], SITagliptin 100 mg tablet, vitamin B complex (B1,B6,B12) 100,200,0.2 mg Film coated tablets [oral], SITagliptin 100 mg tablet, vitamin B complex (B1,B6,B12) 100,200,0.2 mg Film coated tablets [oral], SITagliptin 100 mg tablet, metFORMIN hydrochloride 750 mg tablet: modified release, acetylsalicylic acid 100 mg tablet: enteric coated, metFORMIN hydrochloride 750 mg tablet: modified release, acetylsalicylic acid 100 mg tablet: enteric coated, metFORMIN hydrochloride 750 mg tablet: modified release, acetylsalicylic acid 100 mg tablet: enteric coated, metFORMIN hydrochloride 750 mg tablet: modified release, acetylsalicylic acid 100 mg tablet: enteric coated,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Insulin Pen Needle 4mm Needle [sc], Insulin Pen Needle 4mm Needle [sc], Insulin Pen Needle 4mm Needle [sc], Insulin Pen Needle 4mm Needle [sc], insulin glargine (lantus) 100 international units/mL injection, 3 mL prefilled pen, valsartan 80 mg tablet, insulin glargine (lantus) 100 international units/mL injection, 3 mL prefilled pen, valsartan 80 mg tablet, insulin glargine (lantus) 100 international units/mL injection, 3 mL prefilled pen, valsartan 80 mg tablet, insulin glargine (lantus) 100 international units/mL injection, 3 mL prefilled pen, valsartan 80 mg tablet, SITagliptin 100 mg tablet, insulin aspart 100 international units/mL injection, 3 mL prefilled pen, SITagliptin 100 mg tablet, insulin aspart 100 international units/mL injection, 3 mL prefilled pen, SITagliptin 100 mg tablet, insulin aspart 100 international units/mL injection, 3 mL prefilled pen, SITagliptin 100 mg tablet, insulin aspart 100 international units/mL injection, 3 mL prefilled pen, metFORMIN hydrochloride 750 mg tablet: modified release, acetylsalicylic acid 100 mg tablet: enteric coated, metFORMIN hydrochloride 750 mg tablet: modified release, acetylsalicylic acid 100 mg tablet: enteric coated, metFORMIN hydrochloride 750 mg tablet: modified release, acetylsalicylic acid 100 mg tablet: enteric coated, metFORMIN hydrochloride 750 mg tablet: modified release, acetylsalicylic acid 100 mg tablet: enteric coated, metFORMIN hydrochloride 750 mg tablet: modified release, valsartan 80 mg tablet, metFORMIN hydrochloride 750 mg tablet: modified release, valsartan 80 mg tablet, metFORMIN hydrochloride 750 mg tablet: modified release, valsartan 80 mg tablet, metFORMIN hydrochloride 750 mg tablet: modified release, valsartan 80 mg tablet, Insulin Pen Needle 4mm Needle [sc], insulin aspart 100 international units/mL injection, 3 mL prefilled pen, Insulin Pen Needle 4mm Needle [sc], insulin aspart 100 international units/mL injection, 3 mL prefilled pen, Insulin Pen Needle 4mm Needle [sc], insulin aspart 100 international units/mL injection, 3 mL prefilled pen, Insulin Pen Needle 4mm Needle [sc], insulin aspart 100 international units/mL injection, 3 mL prefilled pen, atorvastatin 20 mg tablet, insulin glargine (lantus) 100 international units/mL injection, 3 mL prefilled pen, vitamin B complex (B1,B6,B12) 100,200,0.2 mg Film coated tablets [oral], atorvastatin 20 mg tablet, insulin glargine (lantus) 100 international units/mL injection, 3 mL prefilled pen, vitamin B complex (B1,B6,B12) 100,200,0.2 mg Film coated tablets [oral], atorvastatin 20 mg tablet, insulin glargine (lantus) 100 international units/mL injection, 3 mL prefilled pen, vitamin B complex (B1,B6,B12) 100,200,0.2 mg Film coated tablets [oral], atorvastatin 20 mg tablet, insulin glargine (lantus) 100 international units/mL injection, 3 mL prefilled pen, vitamin B complex (B1,B6,B12) 100,200,0.2 mg Film coated tablets [oral], acetylsalicylic acid 100 mg tablet: enteric coated, acetylsalicylic acid 100 mg tablet: enteric coated, acetylsalicylic acid 100 mg tablet: enteric coated, acetylsalicylic acid 100 mg tablet: enteric coated, SITagliptin 100 mg tablet, SITagliptin 100 mg tablet, SITagliptin 100 mg tablet, SITagliptin 100 mg tablet,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valsartan 80 mg tablet, insulin aspart 100 international units/mL injection, 3 mL prefilled pen, insulin glargine (lantus) 100 international units/mL injection, 3 mL prefilled pen, vitamin B complex (B1,B6,B12) 100,200,0.2 mg Film coated tablets [oral], acetylsalicylic acid 100 mg tablet: enteric coated, valsartan 80 mg tablet, insulin aspart 100 international units/mL injection, 3 mL prefilled pen, insulin glargine (lantus) 100 international units/mL injection, 3 mL prefilled pen, vitamin B complex (B1,B6,B12) 100,200,0.2 mg Film coated tablets [oral], acetylsalicylic acid 100 mg tablet: enteric coated, valsartan 80 mg tablet, insulin aspart 100 international units/mL injection, 3 mL prefilled pen, insulin glargine (lantus) 100 international units/mL injection, 3 mL prefilled pen, vitamin B complex (B1,B6,B12) 100,200,0.2 mg Film coated tablets [oral], acetylsalicylic acid 100 mg tablet: enteric coated, valsartan 80 mg tablet, insulin aspart 100 international units/mL injection, 3 mL prefilled pen, insulin glargine (lantus) 100 international units/mL injection, 3 mL prefilled pen, vitamin B complex (B1,B6,B12) 100,200,0.2 mg Film coated tablets [oral], acetylsalicylic acid 100 mg tablet: enteric coated, Insulin Pen Needle 4mm Needle [sc], metFORMIN hydrochloride 750 mg tablet: modified release, atorvastatin 20 mg tablet, Insulin Pen Needle 4mm Needle [sc], metFORMIN hydrochloride 750 mg tablet: modified release, atorvastatin 20 mg tablet, Insulin Pen Needle 4mm Needle [sc], metFORMIN hydrochloride 750 mg tablet: modified release, atorvastatin 20 mg tablet, Insulin Pen Needle 4mm Needle [sc], metFORMIN hydrochloride 750 mg tablet: modified release, atorvastatin 20 mg tablet, SITagliptin 100 mg tablet, SITagliptin 100 mg tablet, SITagliptin 100 mg tablet, SITagliptin 100 mg tablet</t>
  </si>
  <si>
    <t>صليحه مصلح مجبور النمري</t>
  </si>
  <si>
    <t>valsartan, indapamide, insulin glargine (lantus)</t>
  </si>
  <si>
    <t>valsartan 80 mg tablet, valsartan 80 mg tablet, valsartan 80 mg tablet, indapamide 1.5 mg tablet: modified release, indapamide 1.5 mg tablet: modified release, indapamide 1.5 mg tablet: modified release, insulin glargine (lantus) 100 international units/mL injection, 3 mL prefilled pen, insulin glargine (lantus) 100 international units/mL injection, 3 mL prefilled pen, insulin glargine (lantus) 100 international units/mL injection, 3 mL prefilled pen, indapamide 1.5 mg tablet: modified release, indapamide 1.5 mg tablet: modified release, indapamide 1.5 mg tablet: modified release, valsartan 80 mg tablet, valsartan 80 mg tablet, valsartan 80 mg tablet, insulin glargine (lantus) 100 international units/mL injection, 3 mL prefilled pen, insulin glargine (lantus) 100 international units/mL injection, 3 mL prefilled pen, insulin glargine (lantus) 100 international units/mL injection, 3 mL prefilled pen</t>
  </si>
  <si>
    <t>عائشه علي ناصر النمري</t>
  </si>
  <si>
    <t>metFORMIN hydrochloride 500 mg tablet, metFORMIN hydrochloride 500 mg tablet, metFORMIN hydrochloride 500 mg tablet, metFORMIN hydrochloride 500 mg tablet, metFORMIN hydrochloride 500 mg tablet, metFORMIN hydrochloride 500 mg tablet</t>
  </si>
  <si>
    <t>سعيده سلمان سالم الاحمدي</t>
  </si>
  <si>
    <t>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t>
  </si>
  <si>
    <t>رحمه بخيت عبدالكريم المالكي</t>
  </si>
  <si>
    <t>سالم صلاح فالح السريحي</t>
  </si>
  <si>
    <t>tamsulosin hydrochloride, escitalopram</t>
  </si>
  <si>
    <t>tamsulosin hydrochloride 400 microgram tablet: modified release, tamsulosin hydrochloride 400 microgram tablet: modified release, tamsulosin hydrochloride 400 microgram tablet: modified release, tamsulosin hydrochloride 400 microgram tablet: modified release, escitalopram 10 mg tablet, escitalopram 10 mg tablet, escitalopram 10 mg tablet, escitalopram 10 mg tablet, tamsulosin hydrochloride 400 microgram tablet: modified release, escitalopram 10 mg tablet, tamsulosin hydrochloride 400 microgram tablet: modified release, escitalopram 10 mg tablet, tamsulosin hydrochloride 400 microgram tablet: modified release, escitalopram 10 mg tablet, tamsulosin hydrochloride 400 microgram tablet: modified release, escitalopram 10 mg tablet, tamsulosin hydrochloride 400 microgram tablet: modified release, tamsulosin hydrochloride 400 microgram tablet: modified release, tamsulosin hydrochloride 400 microgram tablet: modified release, tamsulosin hydrochloride 400 microgram tablet: modified release, escitalopram 10 mg tablet, escitalopram 10 mg tablet, escitalopram 10 mg tablet, escitalopram 10 mg tablet</t>
  </si>
  <si>
    <t>منيره غانم مثبت الفارسي</t>
  </si>
  <si>
    <t>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t>
  </si>
  <si>
    <t>احمد بن حسن بن ابراهيم ابوالخير</t>
  </si>
  <si>
    <t>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t>
  </si>
  <si>
    <t>وعلان محمد ظافر الاحمري</t>
  </si>
  <si>
    <t>bisoprolol fumarate</t>
  </si>
  <si>
    <t>bisoprolol fumarate 5 mg tablet, bisoprolol fumarate 5 mg tablet, bisoprolol fumarate 5 mg tablet, bisoprolol fumarate 5 mg tablet, bisoprolol fumarate 5 mg tablet, bisoprolol fumarate 5 mg tablet, bisoprolol fumarate 5 mg tablet, bisoprolol fumarate 5 mg tablet, bisoprolol fumarate 5 mg tablet</t>
  </si>
  <si>
    <t>فروان احمد سلمان الغامدي</t>
  </si>
  <si>
    <t>وفاء عبدالوهاب عبدالرحمن حلواني</t>
  </si>
  <si>
    <t>atorvastatin 10 mg tablet, atorvastatin 10 mg tablet, atorvastatin 10 mg tablet, atorvastatin 10 mg tablet, atorvastatin 10 mg tablet, atorvastatin 10 mg tablet, atorvastatin 10 mg tablet, atorvastatin 10 mg tablet, atorvastatin 10 mg tablet</t>
  </si>
  <si>
    <t>عائشه وجدي عبدالغفور شيخ علي</t>
  </si>
  <si>
    <t>زلفه سعد عبدالله القحطاني</t>
  </si>
  <si>
    <t>empagliflozin, gliclazide, metFORMIN hydrochloride, colecalciferol, SITagliptin, vitamin B complex (B, B</t>
  </si>
  <si>
    <t>empagliflozin 10 mg tablet, gliclazide 60 mg tablet: modified release, empagliflozin 10 mg tablet, gliclazide 60 mg tablet: modified release, empagliflozin 10 mg tablet, gliclazide 60 mg tablet: modified release, metFORMIN hydrochloride 500 mg tablet, colecalciferol 5000 international units Capsules [oral], SITagliptin 100 mg tablet, metFORMIN hydrochloride 500 mg tablet, colecalciferol 5000 international units Capsules [oral], SITagliptin 100 mg tablet, metFORMIN hydrochloride 500 mg tablet, colecalciferol 5000 international units Capsules [oral], SITagliptin 100 mg tablet, vitamin B complex (B1,B6,B12) 100,200,0.2 mg Film coated tablets [oral], vitamin B complex (B1,B6,B12) 100,200,0.2 mg Film coated tablets [oral], vitamin B complex (B1,B6,B12) 100,200,0.2 mg Film coated tablets [oral], gliclazide 60 mg tablet: modified release, SITagliptin 100 mg tablet, colecalciferol 5000 international units Capsules [oral], vitamin B complex (B1,B6,B12) 100,200,0.2 mg Film coated tablets [oral], metFORMIN hydrochloride 500 mg tablet, empagliflozin 10 mg tablet, gliclazide 60 mg tablet: modified release, SITagliptin 100 mg tablet, colecalciferol 5000 international units Capsules [oral], vitamin B complex (B1,B6,B12) 100,200,0.2 mg Film coated tablets [oral], metFORMIN hydrochloride 500 mg tablet, empagliflozin 10 mg tablet, gliclazide 60 mg tablet: modified release, SITagliptin 100 mg tablet, colecalciferol 5000 international units Capsules [oral], vitamin B complex (B1,B6,B12) 100,200,0.2 mg Film coated tablets [oral], metFORMIN hydrochloride 500 mg tablet, empagliflozin 10 mg tablet, vitamin B complex (B1,B6,B12) 100,200,0.2 mg Film coated tablets [oral], empagliflozin 10 mg tablet, vitamin B complex (B1,B6,B12) 100,200,0.2 mg Film coated tablets [oral], empagliflozin 10 mg tablet, vitamin B complex (B1,B6,B12) 100,200,0.2 mg Film coated tablets [oral], empagliflozin 10 mg tablet, colecalciferol 5000 international units Capsules [oral], SITagliptin 100 mg tablet, gliclazide 60 mg tablet: modified release, metFORMIN hydrochloride 500 mg tablet, colecalciferol 5000 international units Capsules [oral], SITagliptin 100 mg tablet, gliclazide 60 mg tablet: modified release, metFORMIN hydrochloride 500 mg tablet, colecalciferol 5000 international units Capsules [oral], SITagliptin 100 mg tablet, gliclazide 60 mg tablet: modified release, metFORMIN hydrochloride 500 mg tablet, gliclazide 60 mg tablet: modified release, vitamin B complex (B1,B6,B12) 100,200,0.2 mg Film coated tablets [oral], colecalciferol 5000 international units Capsules [oral], gliclazide 60 mg tablet: modified release, vitamin B complex (B1,B6,B12) 100,200,0.2 mg Film coated tablets [oral], colecalciferol 5000 international units Capsules [oral], gliclazide 60 mg tablet: modified release, vitamin B complex (B1,B6,B12) 100,200,0.2 mg Film coated tablets [oral], colecalciferol 5000 international units Capsules [oral], SITagliptin 100 mg tablet, empagliflozin 10 mg tablet, SITagliptin 100 mg tablet, empagliflozin 10 mg tablet, SITagliptin 100 mg tablet, empagliflozin 10 mg tablet, metFORMIN hydrochloride 500 mg tablet, metFORMIN hydrochloride 500 mg tablet, metFORMIN hydrochloride 500 mg tablet</t>
  </si>
  <si>
    <t>عائض سعد عبدالله القحطاني</t>
  </si>
  <si>
    <t>acetylsalicylic acid, metFORMIN hydrochloride, gliclazide, valsartan, atorvastatin</t>
  </si>
  <si>
    <t>acetylsalicylic acid 100 mg tablet: enteric coated, metFORMIN hydrochloride 500 mg tablet, acetylsalicylic acid 100 mg tablet: enteric coated, metFORMIN hydrochloride 500 mg tablet, acetylsalicylic acid 100 mg tablet: enteric coated, metFORMIN hydrochloride 500 mg tablet, gliclazide 60 mg tablet: modified release, valsartan 80 mg tablet, gliclazide 60 mg tablet: modified release, valsartan 80 mg tablet, gliclazide 60 mg tablet: modified release, valsartan 80 mg tablet, atorvastatin 20 mg tablet, atorvastatin 20 mg tablet, atorvastatin 20 mg tablet, metFORMIN hydrochloride 500 mg tablet, metFORMIN hydrochloride 500 mg tablet, metFORMIN hydrochloride 500 mg tablet, gliclazide 60 mg tablet: modified release, acetylsalicylic acid 100 mg tablet: enteric coated, atorvastatin 20 mg tablet, gliclazide 60 mg tablet: modified release, acetylsalicylic acid 100 mg tablet: enteric coated, atorvastatin 20 mg tablet, gliclazide 60 mg tablet: modified release, acetylsalicylic acid 100 mg tablet: enteric coated, atorvastatin 20 mg tablet, valsartan 80 mg tablet, valsartan 80 mg tablet, valsartan 80 mg tablet</t>
  </si>
  <si>
    <t>عائشه احمد بن طيب حمدي</t>
  </si>
  <si>
    <t>acetylsalicylic acid, insulin aspart, vitamin B complex (B, B, Insulin Pen Needle, valsartan, amLODIPine, metFORMIN hydrochloride, atorvastatin</t>
  </si>
  <si>
    <t>acetylsalicylic acid 100 mg tablet: enteric coated, insulin aspart 30 international units/mL + insulin aspart protamine 70 international units/mL injection, 3 mL prefilled pen, acetylsalicylic acid 100 mg tablet: enteric coated, insulin aspart 30 international units/mL + insulin aspart protamine 70 international units/mL injection, 3 mL prefilled pen, acetylsalicylic acid 100 mg tablet: enteric coated, insulin aspart 30 international units/mL + insulin aspart protamine 70 international units/mL injection, 3 mL prefilled pen, acetylsalicylic acid 100 mg tablet: enteric coated, insulin aspart 30 international units/mL + insulin aspart protamine 70 international units/mL injection, 3 mL prefilled pen, acetylsalicylic acid 100 mg tablet: enteric coated, insulin aspart 30 international units/mL + insulin aspart protamine 70 international units/mL injection, 3 mL prefilled pen, acetylsalicylic acid 100 mg tablet: enteric coated, insulin aspart 30 international units/mL + insulin aspart protamine 70 international units/mL injection, 3 mL prefilled pen, vitamin B complex (B1,B6,B12) 100,200,0.2 mg Film coated tablets [oral], Insulin Pen Needle 4mm Needle [sc], valsartan 80 mg tablet, vitamin B complex (B1,B6,B12) 100,200,0.2 mg Film coated tablets [oral], Insulin Pen Needle 4mm Needle [sc], valsartan 80 mg tablet, vitamin B complex (B1,B6,B12) 100,200,0.2 mg Film coated tablets [oral], Insulin Pen Needle 4mm Needle [sc], valsartan 80 mg tablet, vitamin B complex (B1,B6,B12) 100,200,0.2 mg Film coated tablets [oral], Insulin Pen Needle 4mm Needle [sc], valsartan 80 mg tablet, vitamin B complex (B1,B6,B12) 100,200,0.2 mg Film coated tablets [oral], Insulin Pen Needle 4mm Needle [sc], valsartan 80 mg tablet, vitamin B complex (B1,B6,B12) 100,200,0.2 mg Film coated tablets [oral], Insulin Pen Needle 4mm Needle [sc], valsartan 80 mg tablet, amLODIPine 5 mg tablet, metFORMIN hydrochloride 500 mg tablet, amLODIPine 5 mg tablet, metFORMIN hydrochloride 500 mg tablet, amLODIPine 5 mg tablet, metFORMIN hydrochloride 500 mg tablet, amLODIPine 5 mg tablet, metFORMIN hydrochloride 500 mg tablet, amLODIPine 5 mg tablet, metFORMIN hydrochloride 500 mg tablet, amLODIPine 5 mg tablet, metFORMIN hydrochloride 500 mg tablet, atorvastatin 20 mg tablet, atorvastatin 20 mg tablet, atorvastatin 20 mg tablet, atorvastatin 20 mg tablet, atorvastatin 20 mg tablet, atorvastatin 20 mg tablet</t>
  </si>
  <si>
    <t>عبدالاله بن احمد بن طيب حمدي</t>
  </si>
  <si>
    <t>insulin aspart, SITagliptin, vitamin B complex (B, B</t>
  </si>
  <si>
    <t>insulin aspart 30 international units/mL + insulin aspart protamine 70 international units/mL injection, 3 mL prefilled pen, insulin aspart 30 international units/mL + insulin aspart protamine 70 international units/mL injection, 3 mL prefilled pen, SITagliptin 100 mg tablet, vitamin B complex (B1,B6,B12) 100,200,0.2 mg Film coated tablets [oral], SITagliptin 100 mg tablet, vitamin B complex (B1,B6,B12) 100,200,0.2 mg Film coated tablets [oral], vitamin B complex (B1,B6,B12) 100,200,0.2 mg Film coated tablets [oral], SITagliptin 100 mg tablet, vitamin B complex (B1,B6,B12) 100,200,0.2 mg Film coated tablets [oral], SITagliptin 100 mg tablet, insulin aspart 30 international units/mL + insulin aspart protamine 70 international units/mL injection, 3 mL prefilled pen, insulin aspart 30 international units/mL + insulin aspart protamine 70 international units/mL injection, 3 mL prefilled pen</t>
  </si>
  <si>
    <t>مقبوله سعيد محمد الزهراني</t>
  </si>
  <si>
    <t>Lancets (Accu-Check), valsartan</t>
  </si>
  <si>
    <t>Lancets (Accu-Check) 1 box Lancets [n/a], Lancets (Accu-Check) 1 box Lancets [n/a], Lancets (Accu-Check) 1 box Lancets [n/a], valsartan 80 mg tablet, valsartan 80 mg tablet, valsartan 80 mg tablet, valsartan 80 mg tablet, valsartan 80 mg tablet, valsartan 80 mg tablet, Lancets (Accu-Check) 1 box Lancets [n/a], Lancets (Accu-Check) 1 box Lancets [n/a], Lancets (Accu-Check) 1 box Lancets [n/a], Lancets (Accu-Check) 1 box Lancets [n/a], valsartan 80 mg tablet, Lancets (Accu-Check) 1 box Lancets [n/a], valsartan 80 mg tablet, Lancets (Accu-Check) 1 box Lancets [n/a], valsartan 80 mg tablet</t>
  </si>
  <si>
    <t>مسدف ناصر عرار الظيف</t>
  </si>
  <si>
    <t>atorvastatin, valsartan, vitamin B complex (B, B, SITagliptin, acetylsalicylic acid, tamsulosin hydrochloride, metFORMIN hydrochloride, glimepiride</t>
  </si>
  <si>
    <t>atorvastatin 20 mg tablet, atorvastatin 20 mg tablet, atorvastatin 20 mg tablet, valsartan 80 mg tablet, valsartan 80 mg tablet, valsartan 80 mg tablet, vitamin B complex (B1,B6,B12) 100,200,0.2 mg Film coated tablets [oral], SITagliptin 100 mg tablet, acetylsalicylic acid 100 mg tablet: enteric coated, vitamin B complex (B1,B6,B12) 100,200,0.2 mg Film coated tablets [oral], SITagliptin 100 mg tablet, acetylsalicylic acid 100 mg tablet: enteric coated, vitamin B complex (B1,B6,B12) 100,200,0.2 mg Film coated tablets [oral], SITagliptin 100 mg tablet, acetylsalicylic acid 100 mg tablet: enteric coated, tamsulosin hydrochloride 400 microgram tablet: modified release, metFORMIN hydrochloride 500 mg tablet, tamsulosin hydrochloride 400 microgram tablet: modified release, metFORMIN hydrochloride 500 mg tablet, tamsulosin hydrochloride 400 microgram tablet: modified release, metFORMIN hydrochloride 500 mg tablet, glimepiride 2 mg tablet, glimepiride 2 mg tablet, glimepiride 2 mg tablet, metFORMIN hydrochloride 500 mg tablet, tamsulosin hydrochloride 400 microgram tablet: modified release, vitamin B complex (B1,B6,B12) 100,200,0.2 mg Film coated tablets [oral], metFORMIN hydrochloride 500 mg tablet, tamsulosin hydrochloride 400 microgram tablet: modified release, vitamin B complex (B1,B6,B12) 100,200,0.2 mg Film coated tablets [oral], metFORMIN hydrochloride 500 mg tablet, tamsulosin hydrochloride 400 microgram tablet: modified release, vitamin B complex (B1,B6,B12) 100,200,0.2 mg Film coated tablets [oral], SITagliptin 100 mg tablet, atorvastatin 20 mg tablet, SITagliptin 100 mg tablet, atorvastatin 20 mg tablet, SITagliptin 100 mg tablet, atorvastatin 20 mg tablet, valsartan 80 mg tablet, valsartan 80 mg tablet, valsartan 80 mg tablet, glimepiride 2 mg tablet, acetylsalicylic acid 100 mg tablet: enteric coated, glimepiride 2 mg tablet, acetylsalicylic acid 100 mg tablet: enteric coated, glimepiride 2 mg tablet, acetylsalicylic acid 100 mg tablet: enteric coated, acetylsalicylic acid 100 mg tablet: enteric coated, metFORMIN hydrochloride 500 mg tablet, glimepiride 2 mg tablet, vitamin B complex (B1,B6,B12) 100,200,0.2 mg Film coated tablets [oral], acetylsalicylic acid 100 mg tablet: enteric coated, metFORMIN hydrochloride 500 mg tablet, glimepiride 2 mg tablet, vitamin B complex (B1,B6,B12) 100,200,0.2 mg Film coated tablets [oral], acetylsalicylic acid 100 mg tablet: enteric coated, metFORMIN hydrochloride 500 mg tablet, glimepiride 2 mg tablet, vitamin B complex (B1,B6,B12) 100,200,0.2 mg Film coated tablets [oral], tamsulosin hydrochloride 400 microgram tablet: modified release, atorvastatin 20 mg tablet, tamsulosin hydrochloride 400 microgram tablet: modified release, atorvastatin 20 mg tablet, tamsulosin hydrochloride 400 microgram tablet: modified release, atorvastatin 20 mg tablet, vitamin B complex (B1,B6,B12) 100,200,0.2 mg Film coated tablets [oral], acetylsalicylic acid 100 mg tablet: enteric coated, vitamin B complex (B1,B6,B12) 100,200,0.2 mg Film coated tablets [oral], acetylsalicylic acid 100 mg tablet: enteric coated, vitamin B complex (B1,B6,B12) 100,200,0.2 mg Film coated tablets [oral], acetylsalicylic acid 100 mg tablet: enteric coated, atorvastatin 20 mg tablet, glimepiride 2 mg tablet, atorvastatin 20 mg tablet, glimepiride 2 mg tablet, atorvastatin 20 mg tablet, glimepiride 2 mg tablet, metFORMIN hydrochloride 500 mg tablet, metFORMIN hydrochloride 500 mg tablet, metFORMIN hydrochloride 500 mg tablet, tamsulosin hydrochloride 400 microgram tablet: modified release, tamsulosin hydrochloride 400 microgram tablet: modified release, tamsulosin hydrochloride 400 microgram tablet: modified release, acetylsalicylic acid 100 mg tablet: enteric coated, tamsulosin hydrochloride 400 microgram tablet: modified release, acetylsalicylic acid 100 mg tablet: enteric coated, tamsulosin hydrochloride 400 microgram tablet: modified release, acetylsalicylic acid 100 mg tablet: enteric coated, tamsulosin hydrochloride 400 microgram tablet: modified release, glimepiride 2 mg tablet, metFORMIN hydrochloride 500 mg tablet, glimepiride 2 mg tablet, metFORMIN hydrochloride 500 mg tablet, glimepiride 2 mg tablet, metFORMIN hydrochloride 500 mg tablet, vitamin B complex (B1,B6,B12) 100,200,0.2 mg Film coated tablets [oral], SITagliptin 100 mg tablet, vitamin B complex (B1,B6,B12) 100,200,0.2 mg Film coated tablets [oral], SITagliptin 100 mg tablet, vitamin B complex (B1,B6,B12) 100,200,0.2 mg Film coated tablets [oral], SITagliptin 100 mg tablet</t>
  </si>
  <si>
    <t>غندوره سعد عوضه الحارثي</t>
  </si>
  <si>
    <t>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t>
  </si>
  <si>
    <t>حمزه بن احمد بن محمد حسنين</t>
  </si>
  <si>
    <t>atorvastatin, amLODIPine</t>
  </si>
  <si>
    <t>atorvastatin 10 mg tablet, atorvastatin 10 mg tablet, atorvastatin 10 mg tablet, atorvastatin 10 mg tablet, atorvastatin 10 mg tablet, amLODIPine 10 mg capsule, amLODIPine 10 mg capsule, amLODIPine 10 mg capsule, amLODIPine 10 mg capsule, amLODIPine 10 mg capsule, amLODIPine 10 mg capsule, amLODIPine 10 mg capsule, amLODIPine 10 mg capsule, amLODIPine 10 mg capsule, amLODIPine 10 mg capsule, atorvastatin 10 mg tablet, atorvastatin 10 mg tablet, atorvastatin 10 mg tablet, atorvastatin 10 mg tablet, atorvastatin 10 mg tablet, amLODIPine 10 mg capsule, amLODIPine 10 mg capsule, amLODIPine 10 mg capsule, amLODIPine 10 mg capsule, amLODIPine 10 mg capsule, amLODIPine 10 mg capsule, amLODIPine 10 mg capsule, amLODIPine 10 mg capsule, amLODIPine 10 mg capsule, amLODIPine 10 mg capsule, atorvastatin 10 mg tablet, atorvastatin 10 mg tablet, atorvastatin 10 mg tablet, atorvastatin 10 mg tablet, atorvastatin 10 mg tablet</t>
  </si>
  <si>
    <t>حسين عبدالله علي الغامدى</t>
  </si>
  <si>
    <t>omeprazole, gliclazide, atorvastatin, SITagliptin, metFORMIN hydrochloride, empagliflozin, colecalciferol, valsartan</t>
  </si>
  <si>
    <t>omeprazole 20 mg tablet: enteric coated, gliclazide 30 mg tablet: modified release, omeprazole 20 mg tablet: enteric coated, gliclazide 30 mg tablet: modified release, atorvastatin 20 mg tablet, atorvastatin 20 mg tablet, SITagliptin 100 mg tablet, metFORMIN hydrochloride 750 mg tablet: modified release, empagliflozin 10 mg tablet, SITagliptin 100 mg tablet, metFORMIN hydrochloride 750 mg tablet: modified release, empagliflozin 10 mg tablet, colecalciferol 5000 international units Capsules [oral], valsartan 80 mg tablet, gliclazide 30 mg tablet: modified release, omeprazole 20 mg tablet: enteric coated, colecalciferol 5000 international units Capsules [oral], valsartan 80 mg tablet, gliclazide 30 mg tablet: modified release, omeprazole 20 mg tablet: enteric coated, valsartan 80 mg tablet, atorvastatin 20 mg tablet, omeprazole 20 mg tablet: enteric coated, valsartan 80 mg tablet, atorvastatin 20 mg tablet, omeprazole 20 mg tablet: enteric coated, gliclazide 30 mg tablet: modified release, gliclazide 30 mg tablet: modified release, SITagliptin 100 mg tablet, metFORMIN hydrochloride 750 mg tablet: modified release, SITagliptin 100 mg tablet, metFORMIN hydrochloride 750 mg tablet: modified release, colecalciferol 5000 international units Capsules [oral], empagliflozin 10 mg tablet, colecalciferol 5000 international units Capsules [oral], empagliflozin 10 mg tablet, empagliflozin 10 mg tablet, empagliflozin 10 mg tablet</t>
  </si>
  <si>
    <t>فيروز طلال بن حسن سروجي</t>
  </si>
  <si>
    <t>حاسنه حسين عبدالله ال حسين</t>
  </si>
  <si>
    <t>levothyroxine sodium, empagliflozin, SITagliptin, atorvastatin, insulin glargine, metFORMIN hydrochloride, vitamin B complex (B, B, valsartan</t>
  </si>
  <si>
    <t>levothyroxine sodium 100 microgram tablet, levothyroxine sodium 100 microgram tablet, empagliflozin 25 mg tablet, empagliflozin 25 mg tablet, SITagliptin 100 mg tablet, SITagliptin 100 mg tablet, atorvastatin 20 mg tablet, levothyroxine sodium 25 microgram tablet, atorvastatin 20 mg tablet, levothyroxine sodium 25 microgram tablet, empagliflozin 25 mg tablet, insulin glargine 300 international units/mL injection, 1.5 mL prefilled pen, metFORMIN hydrochloride 750 mg tablet: modified release, vitamin B complex (B1,B6,B12) 100,100,0.15 mg Film coated tablets [oral], valsartan 80 mg tablet, empagliflozin 25 mg tablet, insulin glargine 300 international units/mL injection, 1.5 mL prefilled pen, metFORMIN hydrochloride 750 mg tablet: modified release, vitamin B complex (B1,B6,B12) 100,100,0.15 mg Film coated tablets [oral], valsartan 80 mg tablet, levothyroxine sodium 100 microgram tablet, levothyroxine sodium 100 microgram tablet, atorvastatin 20 mg tablet, metFORMIN hydrochloride 750 mg tablet: modified release, atorvastatin 20 mg tablet, metFORMIN hydrochloride 750 mg tablet: modified release, valsartan 80 mg tablet, SITagliptin 100 mg tablet, empagliflozin 25 mg tablet, insulin glargine 300 international units/mL injection, 1.5 mL prefilled pen, valsartan 80 mg tablet, SITagliptin 100 mg tablet, empagliflozin 25 mg tablet, insulin glargine 300 international units/mL injection, 1.5 mL prefilled pen, levothyroxine sodium 25 microgram tablet, levothyroxine sodium 100 microgram tablet, vitamin B complex (B1,B6,B12) 100,100,0.15 mg Film coated tablets [oral], levothyroxine sodium 25 microgram tablet, levothyroxine sodium 100 microgram tablet, vitamin B complex (B1,B6,B12) 100,100,0.15 mg Film coated tablets [oral], valsartan 80 mg tablet, atorvastatin 20 mg tablet, metFORMIN hydrochloride 750 mg tablet: modified release, valsartan 80 mg tablet, atorvastatin 20 mg tablet, metFORMIN hydrochloride 750 mg tablet: modified release, vitamin B complex (B1,B6,B12) 100,100,0.15 mg Film coated tablets [oral], levothyroxine sodium 100 microgram tablet, SITagliptin 100 mg tablet, vitamin B complex (B1,B6,B12) 100,100,0.15 mg Film coated tablets [oral], levothyroxine sodium 100 microgram tablet, SITagliptin 100 mg tablet</t>
  </si>
  <si>
    <t>خالد محمد احمد الغامدي</t>
  </si>
  <si>
    <t>vitamin B complex (B, B, empagliflozin, metFORMIN hydrochloride</t>
  </si>
  <si>
    <t>vitamin B complex (B1,B6,B12) 100,100,0.15 mg Film coated tablets [oral], vitamin B complex (B1,B6,B12) 100,100,0.15 mg Film coated tablets [oral], vitamin B complex (B1,B6,B12) 100,100,0.15 mg Film coated tablets [oral], empagliflozin 10 mg tablet, empagliflozin 10 mg tablet, empagliflozin 10 mg tablet, metFORMIN hydrochloride 750 mg tablet: modified release, metFORMIN hydrochloride 750 mg tablet: modified release, metFORMIN hydrochloride 750 mg tablet: modified release, empagliflozin 10 mg tablet, empagliflozin 10 mg tablet, empagliflozin 10 mg tablet, vitamin B complex (B1,B6,B12) 100,100,0.15 mg Film coated tablets [oral], metFORMIN hydrochloride 750 mg tablet: modified release, empagliflozin 10 mg tablet, vitamin B complex (B1,B6,B12) 100,100,0.15 mg Film coated tablets [oral], metFORMIN hydrochloride 750 mg tablet: modified release, empagliflozin 10 mg tablet, vitamin B complex (B1,B6,B12) 100,100,0.15 mg Film coated tablets [oral], metFORMIN hydrochloride 750 mg tablet: modified release, empagliflozin 10 mg tablet, empagliflozin 10 mg tablet, empagliflozin 10 mg tablet, empagliflozin 10 mg tablet</t>
  </si>
  <si>
    <t>علي جميل احمد فقيه</t>
  </si>
  <si>
    <t>lactulose, paracetamol</t>
  </si>
  <si>
    <t>lactulose 3.35 g/5 mL oral liquid, paracetamol 500 mg tablet, lactulose 3.35 g/5 mL oral liquid, paracetamol 500 mg tablet, lactulose 3.35 g/5 mL oral liquid, paracetamol 500 mg tablet, lactulose 3.35 g/5 mL oral liquid, paracetamol 500 mg tablet, paracetamol 500 mg tablet, lactulose 3.35 g/5 mL oral liquid, paracetamol 500 mg tablet, lactulose 3.35 g/5 mL oral liquid, paracetamol 500 mg tablet, lactulose 3.35 g/5 mL oral liquid, paracetamol 500 mg tablet, lactulose 3.35 g/5 mL oral liquid</t>
  </si>
  <si>
    <t>سلمه محمد سعيد العمري</t>
  </si>
  <si>
    <t>levothyroxine sodium 100 microgram tablet, atorvastatin 10 mg tablet, levothyroxine sodium 100 microgram tablet, atorvastatin 10 mg tablet, levothyroxine sodium 100 microgram tablet, atorvastatin 10 mg tablet, atorvastatin 10 mg tablet, atorvastatin 10 mg tablet, atorvastatin 10 mg tablet, levothyroxine sodium 100 microgram tablet, levothyroxine sodium 100 microgram tablet, levothyroxine sodium 100 microgram tablet, levothyroxine sodium 100 microgram tablet, levothyroxine sodium 100 microgram tablet, levothyroxine sodium 100 microgram tablet, atorvastatin 10 mg tablet, atorvastatin 10 mg tablet, atorvastatin 10 mg tablet, atorvastatin 10 mg tablet, atorvastatin 10 mg tablet, atorvastatin 10 mg tablet, levothyroxine sodium 100 microgram tablet, levothyroxine sodium 100 microgram tablet, levothyroxine sodium 100 microgram tablet</t>
  </si>
  <si>
    <t>ذهبه سعد عالى المالكى</t>
  </si>
  <si>
    <t>escitalopram, losartan potassium, levothyroxine sodium</t>
  </si>
  <si>
    <t>escitalopram 10 mg tablet, losartan potassium 50 mg tablet, levothyroxine sodium 100 microgram tablet, escitalopram 10 mg tablet, losartan potassium 50 mg tablet, levothyroxine sodium 100 microgram tablet, escitalopram 10 mg tablet, losartan potassium 50 mg tablet, levothyroxine sodium 100 microgram tablet, escitalopram 10 mg tablet, losartan potassium 50 mg tablet, levothyroxine sodium 100 microgram tablet, escitalopram 10 mg tablet, losartan potassium 50 mg tablet, levothyroxine sodium 100 microgram tablet, escitalopram 10 mg tablet, losartan potassium 50 mg tablet, levothyroxine sodium 100 microgram tablet, escitalopram 10 mg tablet, escitalopram 10 mg tablet, escitalopram 10 mg tablet, escitalopram 10 mg tablet, escitalopram 10 mg tablet, escitalopram 10 mg tablet, levothyroxine sodium 100 microgram tablet, losartan potassium 50 mg tablet, levothyroxine sodium 100 microgram tablet, losartan potassium 50 mg tablet, levothyroxine sodium 100 microgram tablet, losartan potassium 50 mg tablet, levothyroxine sodium 100 microgram tablet, losartan potassium 50 mg tablet, levothyroxine sodium 100 microgram tablet, losartan potassium 50 mg tablet, levothyroxine sodium 100 microgram tablet, losartan potassium 50 mg tablet, levothyroxine sodium 100 microgram tablet, levothyroxine sodium 100 microgram tablet, levothyroxine sodium 100 microgram tablet, levothyroxine sodium 100 microgram tablet, levothyroxine sodium 100 microgram tablet, levothyroxine sodium 100 microgram tablet, escitalopram 10 mg tablet, losartan potassium 50 mg tablet, escitalopram 10 mg tablet, losartan potassium 50 mg tablet, escitalopram 10 mg tablet, losartan potassium 50 mg tablet, escitalopram 10 mg tablet, losartan potassium 50 mg tablet, escitalopram 10 mg tablet, losartan potassium 50 mg tablet, escitalopram 10 mg tablet, losartan potassium 50 mg tablet, losartan potassium 50 mg tablet, losartan potassium 50 mg tablet, losartan potassium 50 mg tablet, losartan potassium 50 mg tablet, losartan potassium 50 mg tablet, losartan potassium 50 mg tablet, levothyroxine sodium 100 microgram tablet, levothyroxine sodium 100 microgram tablet, levothyroxine sodium 100 microgram tablet, levothyroxine sodium 100 microgram tablet, levothyroxine sodium 100 microgram tablet, levothyroxine sodium 100 microgram tablet, escitalopram 10 mg tablet, escitalopram 10 mg tablet, escitalopram 10 mg tablet, escitalopram 10 mg tablet, escitalopram 10 mg tablet, escitalopram 10 mg tablet, levothyroxine sodium 100 microgram tablet, levothyroxine sodium 100 microgram tablet, levothyroxine sodium 100 microgram tablet, levothyroxine sodium 100 microgram tablet, levothyroxine sodium 100 microgram tablet, levothyroxine sodium 100 microgram tablet, losartan potassium 50 mg tablet, losartan potassium 50 mg tablet, losartan potassium 50 mg tablet, losartan potassium 50 mg tablet, losartan potassium 50 mg tablet, losartan potassium 50 mg tablet, escitalopram 10 mg tablet, escitalopram 10 mg tablet, escitalopram 10 mg tablet, escitalopram 10 mg tablet, escitalopram 10 mg tablet, escitalopram 10 mg tablet, levothyroxine sodium 100 microgram tablet, levothyroxine sodium 100 microgram tablet, levothyroxine sodium 100 microgram tablet, levothyroxine sodium 100 microgram tablet, levothyroxine sodium 100 microgram tablet, levothyroxine sodium 100 microgram tablet, escitalopram 10 mg tablet, losartan potassium 50 mg tablet, escitalopram 10 mg tablet, losartan potassium 50 mg tablet, escitalopram 10 mg tablet, losartan potassium 50 mg tablet, escitalopram 10 mg tablet, losartan potassium 50 mg tablet, escitalopram 10 mg tablet, losartan potassium 50 mg tablet, escitalopram 10 mg tablet, losartan potassium 50 mg tablet, levothyroxine sodium 100 microgram tablet, losartan potassium 50 mg tablet, levothyroxine sodium 100 microgram tablet, losartan potassium 50 mg tablet, levothyroxine sodium 100 microgram tablet, losartan potassium 50 mg tablet, levothyroxine sodium 100 microgram tablet, losartan potassium 50 mg tablet, levothyroxine sodium 100 microgram tablet, losartan potassium 50 mg tablet, levothyroxine sodium 100 microgram tablet, losartan potassium 50 mg tablet, escitalopram 10 mg tablet, escitalopram 10 mg tablet, escitalopram 10 mg tablet, escitalopram 10 mg tablet, escitalopram 10 mg tablet, escitalopram 10 mg tablet</t>
  </si>
  <si>
    <t>علي عثمان عبدالله الزهراني</t>
  </si>
  <si>
    <t>mebeverine hydrochloride, colecalciferol, gliclazide, SITagliptin, metFORMIN hydrochloride, empagliflozin, ferrous sulfate, atorvastatin</t>
  </si>
  <si>
    <t>mebeverine hydrochloride 200 mg capsule: modified release, colecalciferol 50 000 international units tablet, mebeverine hydrochloride 200 mg capsule: modified release, colecalciferol 50 000 international units tablet, mebeverine hydrochloride 200 mg capsule: modified release, colecalciferol 50 000 international units tablet, gliclazide 60 mg tablet: modified release, gliclazide 60 mg tablet: modified release, gliclazide 60 mg tablet: modified release, SITagliptin 100 mg tablet, SITagliptin 100 mg tablet, SITagliptin 100 mg tablet, metFORMIN hydrochloride 500 mg tablet, empagliflozin 10 mg tablet, ferrous sulfate 190 mg Tablets [oral], atorvastatin 20 mg tablet, metFORMIN hydrochloride 500 mg tablet, empagliflozin 10 mg tablet, ferrous sulfate 190 mg Tablets [oral], atorvastatin 20 mg tablet, metFORMIN hydrochloride 500 mg tablet, empagliflozin 10 mg tablet, ferrous sulfate 190 mg Tablets [oral], atorvastatin 20 mg tablet, gliclazide 60 mg tablet: modified release, SITagliptin 100 mg tablet, gliclazide 60 mg tablet: modified release, SITagliptin 100 mg tablet, gliclazide 60 mg tablet: modified release, SITagliptin 100 mg tablet, metFORMIN hydrochloride 500 mg tablet, metFORMIN hydrochloride 500 mg tablet, metFORMIN hydrochloride 500 mg tablet, atorvastatin 20 mg tablet, colecalciferol 50 000 international units tablet, atorvastatin 20 mg tablet, colecalciferol 50 000 international units tablet, atorvastatin 20 mg tablet, colecalciferol 50 000 international units tablet, ferrous sulfate 190 mg Tablets [oral], empagliflozin 10 mg tablet, mebeverine hydrochloride 200 mg capsule: modified release, ferrous sulfate 190 mg Tablets [oral], empagliflozin 10 mg tablet, mebeverine hydrochloride 200 mg capsule: modified release, ferrous sulfate 190 mg Tablets [oral], empagliflozin 10 mg tablet, mebeverine hydrochloride 200 mg capsule: modified release, SITagliptin 100 mg tablet, mebeverine hydrochloride 200 mg capsule: modified release, metFORMIN hydrochloride 500 mg tablet, SITagliptin 100 mg tablet, mebeverine hydrochloride 200 mg capsule: modified release, metFORMIN hydrochloride 500 mg tablet, SITagliptin 100 mg tablet, mebeverine hydrochloride 200 mg capsule: modified release, metFORMIN hydrochloride 500 mg tablet, empagliflozin 10 mg tablet, gliclazide 60 mg tablet: modified release, colecalciferol 50 000 international units tablet, empagliflozin 10 mg tablet, gliclazide 60 mg tablet: modified release, colecalciferol 50 000 international units tablet, empagliflozin 10 mg tablet, gliclazide 60 mg tablet: modified release, colecalciferol 50 000 international units tablet, atorvastatin 20 mg tablet, ferrous sulfate 190 mg Tablets [oral], atorvastatin 20 mg tablet, ferrous sulfate 190 mg Tablets [oral], atorvastatin 20 mg tablet, ferrous sulfate 190 mg Tablets [oral]</t>
  </si>
  <si>
    <t>ايثار محمد عمر باناعمه</t>
  </si>
  <si>
    <t>امل سعيد محمد بازيد</t>
  </si>
  <si>
    <t>levothyroxine sodium, atorvastatin, omeprazole, cetirizine hydrochloride</t>
  </si>
  <si>
    <t>levothyroxine sodium 50 microgram tablet, atorvastatin 10 mg tablet, levothyroxine sodium 25 microgram tablet, omeprazole 20 mg tablet: enteric coated, levothyroxine sodium 50 microgram tablet, atorvastatin 10 mg tablet, levothyroxine sodium 25 microgram tablet, omeprazole 20 mg tablet: enteric coated, levothyroxine sodium 50 microgram tablet, atorvastatin 10 mg tablet, levothyroxine sodium 25 microgram tablet, omeprazole 20 mg tablet: enteric coated, levothyroxine sodium 50 microgram tablet, atorvastatin 10 mg tablet, levothyroxine sodium 25 microgram tablet, omeprazole 20 mg tablet: enteric coated, cetirizine hydrochloride 10 mg tablet, cetirizine hydrochloride 10 mg tablet, cetirizine hydrochloride 10 mg tablet, cetirizine hydrochloride 10 mg tablet, cetirizine hydrochloride 10 mg tablet, levothyroxine sodium 50 microgram tablet, omeprazole 20 mg tablet: enteric coated, levothyroxine sodium 25 microgram tablet, atorvastatin 10 mg tablet, cetirizine hydrochloride 10 mg tablet, levothyroxine sodium 50 microgram tablet, omeprazole 20 mg tablet: enteric coated, levothyroxine sodium 25 microgram tablet, atorvastatin 10 mg tablet, cetirizine hydrochloride 10 mg tablet, levothyroxine sodium 50 microgram tablet, omeprazole 20 mg tablet: enteric coated, levothyroxine sodium 25 microgram tablet, atorvastatin 10 mg tablet, cetirizine hydrochloride 10 mg tablet, levothyroxine sodium 50 microgram tablet, omeprazole 20 mg tablet: enteric coated, levothyroxine sodium 25 microgram tablet, atorvastatin 10 mg tablet, levothyroxine sodium 50 microgram tablet, atorvastatin 10 mg tablet, levothyroxine sodium 50 microgram tablet, atorvastatin 10 mg tablet, levothyroxine sodium 50 microgram tablet, atorvastatin 10 mg tablet, levothyroxine sodium 50 microgram tablet, atorvastatin 10 mg tablet, cetirizine hydrochloride 10 mg tablet, cetirizine hydrochloride 10 mg tablet, cetirizine hydrochloride 10 mg tablet, cetirizine hydrochloride 10 mg tablet, omeprazole 20 mg tablet: enteric coated, levothyroxine sodium 25 microgram tablet, omeprazole 20 mg tablet: enteric coated, levothyroxine sodium 25 microgram tablet, omeprazole 20 mg tablet: enteric coated, levothyroxine sodium 25 microgram tablet, omeprazole 20 mg tablet: enteric coated, levothyroxine sodium 25 microgram tablet, atorvastatin 10 mg tablet, cetirizine hydrochloride 10 mg tablet, atorvastatin 10 mg tablet, cetirizine hydrochloride 10 mg tablet, atorvastatin 10 mg tablet, cetirizine hydrochloride 10 mg tablet, atorvastatin 10 mg tablet, cetirizine hydrochloride 10 mg tablet, omeprazole 20 mg tablet: enteric coated, levothyroxine sodium 25 microgram tablet, omeprazole 20 mg tablet: enteric coated, levothyroxine sodium 25 microgram tablet, omeprazole 20 mg tablet: enteric coated, levothyroxine sodium 25 microgram tablet, omeprazole 20 mg tablet: enteric coated, levothyroxine sodium 25 microgram tablet, atorvastatin 10 mg tablet, levothyroxine sodium 25 microgram tablet, atorvastatin 10 mg tablet, levothyroxine sodium 25 microgram tablet, atorvastatin 10 mg tablet, levothyroxine sodium 25 microgram tablet, atorvastatin 10 mg tablet, levothyroxine sodium 25 microgram tablet, levothyroxine sodium 50 microgram tablet, levothyroxine sodium 50 microgram tablet, levothyroxine sodium 50 microgram tablet, levothyroxine sodium 50 microgram tablet, atorvastatin 10 mg tablet, levothyroxine sodium 50 microgram tablet, atorvastatin 10 mg tablet, levothyroxine sodium 50 microgram tablet, atorvastatin 10 mg tablet, levothyroxine sodium 50 microgram tablet, atorvastatin 10 mg tablet, levothyroxine sodium 50 microgram tablet, cetirizine hydrochloride 10 mg tablet, omeprazole 20 mg tablet: enteric coated, cetirizine hydrochloride 10 mg tablet, omeprazole 20 mg tablet: enteric coated, cetirizine hydrochloride 10 mg tablet, omeprazole 20 mg tablet: enteric coated, cetirizine hydrochloride 10 mg tablet, omeprazole 20 mg tablet: enteric coated, levothyroxine sodium 25 microgram tablet, levothyroxine sodium 25 microgram tablet, levothyroxine sodium 25 microgram tablet, levothyroxine sodium 25 microgram tablet, atorvastatin 10 mg tablet, levothyroxine sodium 25 microgram tablet, atorvastatin 10 mg tablet, levothyroxine sodium 25 microgram tablet, atorvastatin 10 mg tablet, levothyroxine sodium 25 microgram tablet, atorvastatin 10 mg tablet, levothyroxine sodium 25 microgram tablet</t>
  </si>
  <si>
    <t>Dyslipidemia, GI/PPI, Thyroid</t>
  </si>
  <si>
    <t>طارق سعيد عبدالله آل صالح</t>
  </si>
  <si>
    <t>فايز ابن شلاح ابن محمد الحمراني</t>
  </si>
  <si>
    <t>vitamin B complex (B, B, gliclazide, metFORMIN hydrochloride</t>
  </si>
  <si>
    <t>vitamin B complex (B1,B6,B12) 100,100,0.15 mg Film coated tablets [oral], gliclazide 30 mg tablet: modified release, vitamin B complex (B1,B6,B12) 100,100,0.15 mg Film coated tablets [oral], gliclazide 30 mg tablet: modified release, vitamin B complex (B1,B6,B12) 100,100,0.15 mg Film coated tablets [oral], gliclazide 30 mg tablet: modified release, metFORMIN hydrochloride 750 mg tablet: modified release, metFORMIN hydrochloride 750 mg tablet: modified release, metFORMIN hydrochloride 750 mg tablet: modified release, vitamin B complex (B1,B6,B12) 100,100,0.15 mg Film coated tablets [oral], vitamin B complex (B1,B6,B12) 100,100,0.15 mg Film coated tablets [oral], vitamin B complex (B1,B6,B12) 100,100,0.15 mg Film coated tablets [oral], metFORMIN hydrochloride 750 mg tablet: modified release, metFORMIN hydrochloride 750 mg tablet: modified release, metFORMIN hydrochloride 750 mg tablet: modified release, gliclazide 30 mg tablet: modified release, gliclazide 30 mg tablet: modified release, gliclazide 30 mg tablet: modified release</t>
  </si>
  <si>
    <t>واصله ابراهيم نامي الحمراني</t>
  </si>
  <si>
    <t>Glucometer Device (Accu-Chek), paracetamol, rosuvastatin, Lancets (Accu-Check), Strips (Accu-Check), colecalciferol</t>
  </si>
  <si>
    <t>Glucometer Device (Accu-Chek) 1 device Device [n/a], Glucometer Device (Accu-Chek) 1 device Device [n/a], Glucometer Device (Accu-Chek) 1 device Device [n/a], paracetamol 500 mg tablet, rosuvastatin 20 mg tablet, paracetamol 500 mg tablet, rosuvastatin 20 mg tablet, paracetamol 500 mg tablet, rosuvastatin 20 mg tablet, Lancets (Accu-Check) 1 box Lancets [n/a], Lancets (Accu-Check) 1 box Lancets [n/a], Lancets (Accu-Check) 1 box Lancets [n/a], Strips (Accu-Check) 1 box Strip [n/a], Strips (Accu-Check) 1 box Strip [n/a], Strips (Accu-Check) 1 box Strip [n/a], colecalciferol 50 000 international units tablet, colecalciferol 50 000 international units tablet, colecalciferol 50 000 international units tablet, Lancets (Accu-Check) 1 box Lancets [n/a], paracetamol 500 mg tablet, Lancets (Accu-Check) 1 box Lancets [n/a], paracetamol 500 mg tablet, Lancets (Accu-Check) 1 box Lancets [n/a], paracetamol 500 mg tablet, Lancets (Accu-Check) 1 box Lancets [n/a], colecalciferol 50 000 international units tablet, rosuvastatin 20 mg tablet, Strips (Accu-Check) 1 box Strip [n/a], Lancets (Accu-Check) 1 box Lancets [n/a], colecalciferol 50 000 international units tablet, rosuvastatin 20 mg tablet, Strips (Accu-Check) 1 box Strip [n/a], Lancets (Accu-Check) 1 box Lancets [n/a], colecalciferol 50 000 international units tablet, rosuvastatin 20 mg tablet, Strips (Accu-Check) 1 box Strip [n/a], paracetamol 500 mg tablet, Glucometer Device (Accu-Chek) 1 device Device [n/a], paracetamol 500 mg tablet, Glucometer Device (Accu-Chek) 1 device Device [n/a], paracetamol 500 mg tablet, Glucometer Device (Accu-Chek) 1 device Device [n/a], Glucometer Device (Accu-Chek) 1 device Device [n/a], colecalciferol 50 000 international units tablet, Strips (Accu-Check) 1 box Strip [n/a], Lancets (Accu-Check) 1 box Lancets [n/a], Glucometer Device (Accu-Chek) 1 device Device [n/a], colecalciferol 50 000 international units tablet, Strips (Accu-Check) 1 box Strip [n/a], Lancets (Accu-Check) 1 box Lancets [n/a], Glucometer Device (Accu-Chek) 1 device Device [n/a], colecalciferol 50 000 international units tablet, Strips (Accu-Check) 1 box Strip [n/a], Lancets (Accu-Check) 1 box Lancets [n/a], paracetamol 500 mg tablet, paracetamol 500 mg tablet, paracetamol 500 mg tablet, rosuvastatin 20 mg tablet, rosuvastatin 20 mg tablet, rosuvastatin 20 mg tablet, Lancets (Accu-Check) 1 box Lancets [n/a], Glucometer Device (Accu-Chek) 1 device Device [n/a], Lancets (Accu-Check) 1 box Lancets [n/a], Glucometer Device (Accu-Chek) 1 device Device [n/a], Lancets (Accu-Check) 1 box Lancets [n/a], Glucometer Device (Accu-Chek) 1 device Device [n/a], paracetamol 500 mg tablet, colecalciferol 50 000 international units tablet, rosuvastatin 20 mg tablet, Strips (Accu-Check) 1 box Strip [n/a], paracetamol 500 mg tablet, colecalciferol 50 000 international units tablet, rosuvastatin 20 mg tablet, Strips (Accu-Check) 1 box Strip [n/a], paracetamol 500 mg tablet, colecalciferol 50 000 international units tablet, rosuvastatin 20 mg tablet, Strips (Accu-Check) 1 box Strip [n/a]</t>
  </si>
  <si>
    <t>امل عبدالله حسين الشهري</t>
  </si>
  <si>
    <t>خالد صبري عمر رجب</t>
  </si>
  <si>
    <t>cetirizine hydrochloride, vitamin B complex (B, B, metFORMIN hydrochloride, sodium chloride</t>
  </si>
  <si>
    <t>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sodium chloride 0.9% (9 mg/mL) nasal spray, vitamin B complex (B1,B6,B12) 100,200,0.2 mg Film coated tablets [oral], sodium chloride 0.9% (9 mg/mL) nasal spray, vitamin B complex (B1,B6,B12) 100,200,0.2 mg Film coated tablets [oral], sodium chloride 0.9% (9 mg/mL) nasal spray, vitamin B complex (B1,B6,B12) 100,200,0.2 mg Film coated tablets [oral], sodium chloride 0.9% (9 mg/mL) nasal spray, vitamin B complex (B1,B6,B12) 100,200,0.2 mg Film coated tablets [oral], sodium chloride 0.9% (9 mg/mL) nasal spray, vitamin B complex (B1,B6,B12) 100,200,0.2 mg Film coated tablets [oral], sodium chloride 0.9% (9 mg/mL) nasal spray, vitamin B complex (B1,B6,B12) 100,200,0.2 mg Film coated tablets [oral], sodium chloride 0.9% (9 mg/mL) nasal spray, vitamin B complex (B1,B6,B12) 100,200,0.2 mg Film coated tablets [oral], sodium chloride 0.9% (9 mg/mL) nasal spray,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vitamin B complex (B1,B6,B12) 100,200,0.2 mg Film coated tablets [oral], sodium chloride 0.9% (9 mg/mL) nasal spray, metFORMIN hydrochloride 500 mg tablet, cetirizine hydrochloride 10 mg tablet, vitamin B complex (B1,B6,B12) 100,200,0.2 mg Film coated tablets [oral], sodium chloride 0.9% (9 mg/mL) nasal spray, metFORMIN hydrochloride 500 mg tablet, cetirizine hydrochloride 10 mg tablet, vitamin B complex (B1,B6,B12) 100,200,0.2 mg Film coated tablets [oral], sodium chloride 0.9% (9 mg/mL) nasal spray, metFORMIN hydrochloride 500 mg tablet, cetirizine hydrochloride 10 mg tablet, vitamin B complex (B1,B6,B12) 100,200,0.2 mg Film coated tablets [oral], sodium chloride 0.9% (9 mg/mL) nasal spray, metFORMIN hydrochloride 500 mg tablet, cetirizine hydrochloride 10 mg tablet, vitamin B complex (B1,B6,B12) 100,200,0.2 mg Film coated tablets [oral], sodium chloride 0.9% (9 mg/mL) nasal spray, metFORMIN hydrochloride 500 mg tablet, cetirizine hydrochloride 10 mg tablet, vitamin B complex (B1,B6,B12) 100,200,0.2 mg Film coated tablets [oral], sodium chloride 0.9% (9 mg/mL) nasal spray, metFORMIN hydrochloride 500 mg tablet, cetirizine hydrochloride 10 mg tablet, vitamin B complex (B1,B6,B12) 100,200,0.2 mg Film coated tablets [oral], sodium chloride 0.9% (9 mg/mL) nasal spray, metFORMIN hydrochloride 500 mg tablet, cetirizine hydrochloride 10 mg tablet, vitamin B complex (B1,B6,B12) 100,200,0.2 mg Film coated tablets [oral], sodium chloride 0.9% (9 mg/mL) nasal spray, metFORMIN hydrochloride 500 mg tablet, cetirizine hydrochloride 10 mg tablet</t>
  </si>
  <si>
    <t>فتحيه محمدسعيد عبدالوهاب قاضي</t>
  </si>
  <si>
    <t>hydrocortisone, paraffin soft white ointment, tube</t>
  </si>
  <si>
    <t>hydrocortisone 1% (10 mg/g) cream, hydrocortisone 1% (10 mg/g) cream, hydrocortisone 1% (10 mg/g) cream, hydrocortisone 1% (10 mg/g) cream, hydrocortisone 1% (10 mg/g) cream, hydrocortisone 1% (10 mg/g) cream, hydrocortisone 1% (10 mg/g) cream, paraffin soft white ointment, tube, paraffin soft white ointment, tube, paraffin soft white ointment, tube, paraffin soft white ointment, tube, paraffin soft white ointment, tube, paraffin soft white ointment, tube, paraffin soft white ointment, tube, hydrocortisone 1% (10 mg/g) cream, hydrocortisone 1% (10 mg/g) cream, hydrocortisone 1% (10 mg/g) cream, hydrocortisone 1% (10 mg/g) cream, hydrocortisone 1% (10 mg/g) cream, hydrocortisone 1% (10 mg/g) cream, hydrocortisone 1% (10 mg/g) cream, paraffin soft white ointment, tube, paraffin soft white ointment, tube, paraffin soft white ointment, tube, paraffin soft white ointment, tube, paraffin soft white ointment, tube, paraffin soft white ointment, tube, paraffin soft white ointment, tube, paraffin soft white ointment, tube, paraffin soft white ointment, tube, paraffin soft white ointment, tube, paraffin soft white ointment, tube, paraffin soft white ointment, tube, paraffin soft white ointment, tube, paraffin soft white ointment, tube, hydrocortisone 1% (10 mg/g) cream, hydrocortisone 1% (10 mg/g) cream, hydrocortisone 1% (10 mg/g) cream, hydrocortisone 1% (10 mg/g) cream, hydrocortisone 1% (10 mg/g) cream, hydrocortisone 1% (10 mg/g) cream, hydrocortisone 1% (10 mg/g) cream, paraffin soft white ointment, tube, paraffin soft white ointment, tube, paraffin soft white ointment, tube, paraffin soft white ointment, tube, paraffin soft white ointment, tube, paraffin soft white ointment, tube, paraffin soft white ointment, tube, hydrocortisone 1% (10 mg/g) cream, hydrocortisone 1% (10 mg/g) cream, hydrocortisone 1% (10 mg/g) cream, hydrocortisone 1% (10 mg/g) cream, hydrocortisone 1% (10 mg/g) cream, hydrocortisone 1% (10 mg/g) cream, hydrocortisone 1% (10 mg/g) cream, paraffin soft white ointment, tube, paraffin soft white ointment, tube, paraffin soft white ointment, tube, paraffin soft white ointment, tube, paraffin soft white ointment, tube, paraffin soft white ointment, tube, paraffin soft white ointment, tube, hydrocortisone 1% (10 mg/g) cream, hydrocortisone 1% (10 mg/g) cream, hydrocortisone 1% (10 mg/g) cream, hydrocortisone 1% (10 mg/g) cream, hydrocortisone 1% (10 mg/g) cream, hydrocortisone 1% (10 mg/g) cream, hydrocortisone 1% (10 mg/g) cream</t>
  </si>
  <si>
    <t>حسين مبارك رافد المحمدي</t>
  </si>
  <si>
    <t>paracetamol, omeprazole, amLODIPine</t>
  </si>
  <si>
    <t>paracetamol 500 mg tablet, paracetamol 500 mg tablet, paracetamol 500 mg tablet, paracetamol 500 mg tablet, paracetamol 500 mg tablet, paracetamol 500 mg tablet, paracetamol 500 mg tablet, omeprazole 20 mg tablet: enteric coated, amLODIPine 10 mg capsule, omeprazole 20 mg tablet: enteric coated, amLODIPine 10 mg capsule, omeprazole 20 mg tablet: enteric coated, amLODIPine 10 mg capsule, omeprazole 20 mg tablet: enteric coated, amLODIPine 10 mg capsule, omeprazole 20 mg tablet: enteric coated, amLODIPine 10 mg capsule, omeprazole 20 mg tablet: enteric coated, amLODIPine 10 mg capsule, omeprazole 20 mg tablet: enteric coated, amLODIPine 10 mg capsule, omeprazole 20 mg tablet: enteric coated, amLODIPine 10 mg capsule, omeprazole 20 mg tablet: enteric coated, amLODIPine 10 mg capsule, omeprazole 20 mg tablet: enteric coated, amLODIPine 10 mg capsule, omeprazole 20 mg tablet: enteric coated, amLODIPine 10 mg capsule, omeprazole 20 mg tablet: enteric coated, amLODIPine 10 mg capsule, omeprazole 20 mg tablet: enteric coated, amLODIPine 10 mg capsule, omeprazole 20 mg tablet: enteric coated, amLODIPine 10 mg capsule, paracetamol 500 mg tablet, paracetamol 500 mg tablet, paracetamol 500 mg tablet, paracetamol 500 mg tablet, paracetamol 500 mg tablet, paracetamol 500 mg tablet, paracetamol 500 mg tablet, omeprazole 20 mg tablet: enteric coated, omeprazole 20 mg tablet: enteric coated, omeprazole 20 mg tablet: enteric coated, omeprazole 20 mg tablet: enteric coated, omeprazole 20 mg tablet: enteric coated, omeprazole 20 mg tablet: enteric coated, omeprazole 20 mg tablet: enteric coated, amLODIPine 10 mg capsule, amLODIPine 10 mg capsule, amLODIPine 10 mg capsule, amLODIPine 10 mg capsule, amLODIPine 10 mg capsule, amLODIPine 10 mg capsule, amLODIPine 10 mg capsule, paracetamol 500 mg tablet, paracetamol 500 mg tablet, paracetamol 500 mg tablet, paracetamol 500 mg tablet, paracetamol 500 mg tablet, paracetamol 500 mg tablet, paracetamol 500 mg tablet, omeprazole 20 mg tablet: enteric coated, paracetamol 500 mg tablet, amLODIPine 10 mg capsule, omeprazole 20 mg tablet: enteric coated, paracetamol 500 mg tablet, amLODIPine 10 mg capsule, omeprazole 20 mg tablet: enteric coated, paracetamol 500 mg tablet, amLODIPine 10 mg capsule, omeprazole 20 mg tablet: enteric coated, paracetamol 500 mg tablet, amLODIPine 10 mg capsule, omeprazole 20 mg tablet: enteric coated, paracetamol 500 mg tablet, amLODIPine 10 mg capsule, omeprazole 20 mg tablet: enteric coated, paracetamol 500 mg tablet, amLODIPine 10 mg capsule, omeprazole 20 mg tablet: enteric coated, paracetamol 500 mg tablet, amLODIPine 10 mg capsule</t>
  </si>
  <si>
    <t>سعدى حسن بن عوض الزهراني</t>
  </si>
  <si>
    <t>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t>
  </si>
  <si>
    <t>سالم صالح عمر الدينى</t>
  </si>
  <si>
    <t>atorvastatin, miconazole nitrate</t>
  </si>
  <si>
    <t>atorvastatin 20 mg tablet, atorvastatin 20 mg tablet, miconazole nitrate 2% (20 mg/g) cream, miconazole nitrate 2% (20 mg/g) cream, miconazole nitrate 2% (20 mg/g) cream, miconazole nitrate 2% (20 mg/g) cream, atorvastatin 20 mg tablet, atorvastatin 20 mg tablet, miconazole nitrate 2% (20 mg/g) cream, miconazole nitrate 2% (20 mg/g) cream, atorvastatin 20 mg tablet, atorvastatin 20 mg tablet</t>
  </si>
  <si>
    <t>محمد عبدالرحمن عبدالغني مشرف</t>
  </si>
  <si>
    <t>colecalciferol 50 000 international units tablet, colecalciferol 50 000 international units tablet, colecalciferol 50 000 international units tablet, ferrous sulfate 190 mg Tablets [oral], ferrous sulfate 190 mg Tablets [oral], ferrous sulfate 190 mg Tablets [oral], colecalciferol 50 000 international units tablet, colecalciferol 50 000 international units tablet, colecalciferol 50 000 international units tablet, ferrous sulfate 190 mg Tablets [oral], ferrous sulfate 190 mg Tablets [oral], ferrous sulfate 190 mg Tablets [oral]</t>
  </si>
  <si>
    <t>رحمة خليل عبدالحي بخاري</t>
  </si>
  <si>
    <t>carvedilol, amLODIPine, metFORMIN hydrochloride</t>
  </si>
  <si>
    <t>carvedilol 25 mg tablet, carvedilol 25 mg tablet, carvedilol 25 mg tablet, carvedilol 25 mg tablet, carvedilol 25 mg tablet, carvedilol 25 mg tablet, amLODIPine 10 mg capsule, amLODIPine 10 mg capsule, amLODIPine 10 mg capsule, amLODIPine 10 mg capsule, amLODIPine 10 mg capsule, amLODIPine 10 mg capsule,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amLODIPine 10 mg capsule, amLODIPine 10 mg capsule, amLODIPine 10 mg capsule, amLODIPine 10 mg capsule, amLODIPine 10 mg capsule, amLODIPine 10 mg capsule,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carvedilol 25 mg tablet, carvedilol 25 mg tablet, carvedilol 25 mg tablet, carvedilol 25 mg tablet, carvedilol 25 mg tablet, carvedilol 25 mg tablet,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carvedilol 25 mg tablet, amLODIPine 10 mg capsule, carvedilol 25 mg tablet, amLODIPine 10 mg capsule, carvedilol 25 mg tablet, amLODIPine 10 mg capsule, carvedilol 25 mg tablet, amLODIPine 10 mg capsule, carvedilol 25 mg tablet, amLODIPine 10 mg capsule, carvedilol 25 mg tablet, amLODIPine 10 mg capsule</t>
  </si>
  <si>
    <t>نوره حسن عتيق الحميدي</t>
  </si>
  <si>
    <t>عمر ابراهيم محمد ابوالعلا</t>
  </si>
  <si>
    <t>metFORMIN hydrochloride 500 mg tablet, metFORMIN hydrochloride 500 mg tablet, metFORMIN hydrochloride 500 mg tablet, metFORMIN hydrochloride 500 mg tablet</t>
  </si>
  <si>
    <t>اماني عبدالاله يوسف باخريبه</t>
  </si>
  <si>
    <t>عميره محمد علي الزبيدي</t>
  </si>
  <si>
    <t>omeprazole, valsartan, metFORMIN hydrochloride, mebeverine hydrochloride, levothyroxine sodium, colecalciferol, rosuvastatin, meloxicam, allopurinol, baclofen</t>
  </si>
  <si>
    <t>omeprazole 20 mg tablet: enteric coated, omeprazole 20 mg tablet: enteric coated, valsartan 80 mg tablet, metFORMIN hydrochloride 500 mg tablet, valsartan 80 mg tablet, metFORMIN hydrochloride 500 mg tablet, mebeverine hydrochloride 200 mg capsule: modified release, mebeverine hydrochloride 200 mg capsule: modified release, levothyroxine sodium 25 microgram tablet, colecalciferol 5000 international units Capsules [oral], rosuvastatin 20 mg tablet, levothyroxine sodium 25 microgram tablet, colecalciferol 5000 international units Capsules [oral], rosuvastatin 20 mg tablet, meloxicam 7.5 mg tablet, allopurinol 100 mg tablet, levothyroxine sodium 50 microgram tablet, baclofen 10 mg tablet, meloxicam 7.5 mg tablet, allopurinol 100 mg tablet, levothyroxine sodium 50 microgram tablet, baclofen 10 mg tablet, rosuvastatin 20 mg tablet, rosuvastatin 20 mg tablet, allopurinol 100 mg tablet, allopurinol 100 mg tablet, meloxicam 7.5 mg tablet, metFORMIN hydrochloride 500 mg tablet, levothyroxine sodium 25 microgram tablet, meloxicam 7.5 mg tablet, metFORMIN hydrochloride 500 mg tablet, levothyroxine sodium 25 microgram tablet, mebeverine hydrochloride 200 mg capsule: modified release, baclofen 10 mg tablet, omeprazole 20 mg tablet: enteric coated, colecalciferol 5000 international units Capsules [oral], mebeverine hydrochloride 200 mg capsule: modified release, baclofen 10 mg tablet, omeprazole 20 mg tablet: enteric coated, colecalciferol 5000 international units Capsules [oral], levothyroxine sodium 50 microgram tablet, valsartan 80 mg tablet, levothyroxine sodium 50 microgram tablet, valsartan 80 mg tablet</t>
  </si>
  <si>
    <t>ابتسام احمد حامد الحازمي</t>
  </si>
  <si>
    <t>Strips (Accu-Check), Lancets (Accu-Check), Glucometer Device (Accu-Chek)</t>
  </si>
  <si>
    <t>Strips (Accu-Check) 1 box Strip [n/a], Strips (Accu-Check) 1 box Strip [n/a], Strips (Accu-Check) 1 box Strip [n/a], Strips (Accu-Check) 1 box Strip [n/a], Lancets (Accu-Check) 1 box Lancets [n/a], Glucometer Device (Accu-Chek) 1 device Device [n/a], Lancets (Accu-Check) 1 box Lancets [n/a], Glucometer Device (Accu-Chek) 1 device Device [n/a], Lancets (Accu-Check) 1 box Lancets [n/a], Glucometer Device (Accu-Chek) 1 device Device [n/a], Lancets (Accu-Check) 1 box Lancets [n/a], Glucometer Device (Accu-Chek) 1 device Device [n/a], Lancets (Accu-Check) 1 box Lancets [n/a], Glucometer Device (Accu-Chek) 1 device Device [n/a], Lancets (Accu-Check) 1 box Lancets [n/a], Glucometer Device (Accu-Chek) 1 device Device [n/a], Lancets (Accu-Check) 1 box Lancets [n/a], Glucometer Device (Accu-Chek) 1 device Device [n/a], Lancets (Accu-Check) 1 box Lancets [n/a], Glucometer Device (Accu-Chek) 1 device Device [n/a], Strips (Accu-Check) 1 box Strip [n/a], Strips (Accu-Check) 1 box Strip [n/a], Strips (Accu-Check) 1 box Strip [n/a], Strips (Accu-Check) 1 box Strip [n/a], Lancets (Accu-Check) 1 box Lancets [n/a], Lancets (Accu-Check) 1 box Lancets [n/a], Lancets (Accu-Check) 1 box Lancets [n/a], Lancets (Accu-Check) 1 box Lancets [n/a], Strips (Accu-Check) 1 box Strip [n/a], Strips (Accu-Check) 1 box Strip [n/a], Strips (Accu-Check) 1 box Strip [n/a], Strips (Accu-Check) 1 box Strip [n/a], Glucometer Device (Accu-Chek) 1 device Device [n/a], Glucometer Device (Accu-Chek) 1 device Device [n/a], Glucometer Device (Accu-Chek) 1 device Device [n/a], Glucometer Device (Accu-Chek) 1 device Device [n/a], Glucometer Device (Accu-Chek) 1 device Device [n/a], Strips (Accu-Check) 1 box Strip [n/a], Glucometer Device (Accu-Chek) 1 device Device [n/a], Strips (Accu-Check) 1 box Strip [n/a], Glucometer Device (Accu-Chek) 1 device Device [n/a], Strips (Accu-Check) 1 box Strip [n/a], Glucometer Device (Accu-Chek) 1 device Device [n/a], Strips (Accu-Check) 1 box Strip [n/a], Lancets (Accu-Check) 1 box Lancets [n/a], Lancets (Accu-Check) 1 box Lancets [n/a], Lancets (Accu-Check) 1 box Lancets [n/a], Lancets (Accu-Check) 1 box Lancets [n/a], Strips (Accu-Check) 1 box Strip [n/a], Glucometer Device (Accu-Chek) 1 device Device [n/a], Strips (Accu-Check) 1 box Strip [n/a], Glucometer Device (Accu-Chek) 1 device Device [n/a], Strips (Accu-Check) 1 box Strip [n/a], Glucometer Device (Accu-Chek) 1 device Device [n/a], Strips (Accu-Check) 1 box Strip [n/a], Glucometer Device (Accu-Chek) 1 device Device [n/a], Lancets (Accu-Check) 1 box Lancets [n/a], Lancets (Accu-Check) 1 box Lancets [n/a], Lancets (Accu-Check) 1 box Lancets [n/a], Lancets (Accu-Check) 1 box Lancets [n/a]</t>
  </si>
  <si>
    <t>نور عبيد رابح البلادي</t>
  </si>
  <si>
    <t>atorvastatin, clotrimazole</t>
  </si>
  <si>
    <t>atorvastatin 20 mg tablet, atorvastatin 20 mg tablet, clotrimazole 1% (10 mg/g) cream, clotrimazole 1% (10 mg/g) cream, atorvastatin 20 mg tablet, atorvastatin 20 mg tablet, clotrimazole 1% (10 mg/g) cream, clotrimazole 1% (10 mg/g) cream</t>
  </si>
  <si>
    <t>شريفه مذكر مذكر القرني</t>
  </si>
  <si>
    <t>amoxicillin, ibuprofen</t>
  </si>
  <si>
    <t>amoxicillin 500 mg capsule, ibuprofen 400 mg tablet, amoxicillin 500 mg capsule, ibuprofen 400 mg tablet, amoxicillin 500 mg capsule, ibuprofen 400 mg tablet, ibuprofen 400 mg tablet, ibuprofen 400 mg tablet, ibuprofen 400 mg tablet, amoxicillin 500 mg capsule, amoxicillin 500 mg capsule, amoxicillin 500 mg capsule, ibuprofen 400 mg tablet, ibuprofen 400 mg tablet, ibuprofen 400 mg tablet, amoxicillin 500 mg capsule, amoxicillin 500 mg capsule, amoxicillin 500 mg capsule</t>
  </si>
  <si>
    <t>ابراهيم عبدالكريم عبدالله السديس</t>
  </si>
  <si>
    <t>cetirizine hydrochloride, hydrocortisone</t>
  </si>
  <si>
    <t>cetirizine hydrochloride 10 mg tablet, cetirizine hydrochloride 10 mg tablet, cetirizine hydrochloride 10 mg tablet, cetirizine hydrochloride 10 mg tablet, cetirizine hydrochloride 10 mg tablet, cetirizine hydrochloride 10 mg tablet, hydrocortisone 1% (10 mg/g) cream, cetirizine hydrochloride 10 mg tablet, hydrocortisone 1% (10 mg/g) cream, cetirizine hydrochloride 10 mg tablet, hydrocortisone 1% (10 mg/g) cream, cetirizine hydrochloride 10 mg tablet, hydrocortisone 1% (10 mg/g) cream, cetirizine hydrochloride 10 mg tablet, hydrocortisone 1% (10 mg/g) cream, cetirizine hydrochloride 10 mg tablet, hydrocortisone 1% (10 mg/g) cream, cetirizine hydrochloride 10 mg tablet, hydrocortisone 1% (10 mg/g) cream, hydrocortisone 1% (10 mg/g) cream, hydrocortisone 1% (10 mg/g) cream, hydrocortisone 1% (10 mg/g) cream, hydrocortisone 1% (10 mg/g) cream, hydrocortisone 1% (10 mg/g) cream, hydrocortisone 1% (10 mg/g) cream, hydrocortisone 1% (10 mg/g) cream, hydrocortisone 1% (10 mg/g) cream, hydrocortisone 1% (10 mg/g) cream, hydrocortisone 1% (10 mg/g) cream, hydrocortisone 1% (10 mg/g) cream, cetirizine hydrochloride 10 mg tablet, cetirizine hydrochloride 10 mg tablet, cetirizine hydrochloride 10 mg tablet, cetirizine hydrochloride 10 mg tablet, cetirizine hydrochloride 10 mg tablet, cetirizine hydrochloride 10 mg tablet</t>
  </si>
  <si>
    <t>عنود عبدالرحمن بن عبدالكريم احمد</t>
  </si>
  <si>
    <t>محمد علي عبدالله الهاشمي الامير</t>
  </si>
  <si>
    <t>empagliflozin 10 mg tablet, empagliflozin 10 mg tablet, empagliflozin 10 mg tablet, empagliflozin 10 mg tablet, empagliflozin 10 mg tablet, empagliflozin 10 mg tablet, empagliflozin 10 mg tablet, empagliflozin 10 mg tablet, empagliflozin 10 mg tablet</t>
  </si>
  <si>
    <t>زينب زيد عوده العبيدى</t>
  </si>
  <si>
    <t>vitamins (A, B, C, D, colecalciferol, ferrous sulfate</t>
  </si>
  <si>
    <t>vitamins (A, B1, B2, B3, C, D3) tablet, vitamins (A, B1, B2, B3, C, D3) tablet, vitamins (A, B1, B2, B3, C, D3) tablet, vitamins (A, B1, B2, B3, C, D3) tablet, colecalciferol 5000 international units Capsules [oral], ferrous sulfate 190 mg Tablets [oral], colecalciferol 5000 international units Capsules [oral], ferrous sulfate 190 mg Tablets [oral], colecalciferol 5000 international units Capsules [oral], ferrous sulfate 190 mg Tablets [oral], colecalciferol 5000 international units Capsules [oral], ferrous sulfate 190 mg Tablets [oral], vitamins (A, B1, B2, B3, C, D3) tablet, vitamins (A, B1, B2, B3, C, D3) tablet, vitamins (A, B1, B2, B3, C, D3) tablet, vitamins (A, B1, B2, B3, C, D3) tablet, ferrous sulfate 190 mg Tablets [oral], colecalciferol 5000 international units Capsules [oral], ferrous sulfate 190 mg Tablets [oral], colecalciferol 5000 international units Capsules [oral], ferrous sulfate 190 mg Tablets [oral], colecalciferol 5000 international units Capsules [oral], ferrous sulfate 190 mg Tablets [oral], colecalciferol 5000 international units Capsules [oral], vitamins (A, B1, B2, B3, C, D3) tablet, vitamins (A, B1, B2, B3, C, D3) tablet, vitamins (A, B1, B2, B3, C, D3) tablet, vitamins (A, B1, B2, B3, C, D3) tablet, ferrous sulfate 190 mg Tablets [oral], ferrous sulfate 190 mg Tablets [oral], ferrous sulfate 190 mg Tablets [oral], ferrous sulfate 190 mg Tablets [oral], colecalciferol 5000 international units Capsules [oral], colecalciferol 5000 international units Capsules [oral], colecalciferol 5000 international units Capsules [oral], colecalciferol 5000 international units Capsules [oral]</t>
  </si>
  <si>
    <t>جوهره حميد سالم الخضيري</t>
  </si>
  <si>
    <t>isosorbide dinitrate, vitamin B complex (B, B, metFORMIN hydrochloride, amLODIPine, acetylsalicylic acid, perindopril arginine, omeprazole, bisoprolol fumarate, atorvastatin</t>
  </si>
  <si>
    <t>isosorbide dinitrate 20 mg capsule: modified release, isosorbide dinitrate 20 mg capsule: modified release, isosorbide dinitrate 20 mg capsule: modified release, vitamin B complex (B1,B6,B12) 100,200,0.2 mg Film coated tablets [oral], vitamin B complex (B1,B6,B12) 100,200,0.2 mg Film coated tablets [oral], vitamin B complex (B1,B6,B12) 100,200,0.2 mg Film coated tablets [oral], metFORMIN hydrochloride 500 mg tablet, amLODIPine 5 mg tablet, acetylsalicylic acid 100 mg tablet: enteric coated, metFORMIN hydrochloride 500 mg tablet, amLODIPine 5 mg tablet, acetylsalicylic acid 100 mg tablet: enteric coated, metFORMIN hydrochloride 500 mg tablet, amLODIPine 5 mg tablet, acetylsalicylic acid 100 mg tablet: enteric coated, perindopril arginine 5 mg tablet, omeprazole 20 mg tablet: enteric coated, bisoprolol fumarate 5 mg tablet, atorvastatin 20 mg tablet, perindopril arginine 5 mg tablet, omeprazole 20 mg tablet: enteric coated, bisoprolol fumarate 5 mg tablet, atorvastatin 20 mg tablet, perindopril arginine 5 mg tablet, omeprazole 20 mg tablet: enteric coated, bisoprolol fumarate 5 mg tablet, atorvastatin 20 mg tablet, vitamin B complex (B1,B6,B12) 100,200,0.2 mg Film coated tablets [oral], amLODIPine 5 mg tablet, omeprazole 20 mg tablet: enteric coated, vitamin B complex (B1,B6,B12) 100,200,0.2 mg Film coated tablets [oral], amLODIPine 5 mg tablet, omeprazole 20 mg tablet: enteric coated, vitamin B complex (B1,B6,B12) 100,200,0.2 mg Film coated tablets [oral], amLODIPine 5 mg tablet, omeprazole 20 mg tablet: enteric coated, isosorbide dinitrate 20 mg capsule: modified release, isosorbide dinitrate 20 mg capsule: modified release, isosorbide dinitrate 20 mg capsule: modified release, metFORMIN hydrochloride 500 mg tablet, atorvastatin 20 mg tablet, metFORMIN hydrochloride 500 mg tablet, atorvastatin 20 mg tablet, metFORMIN hydrochloride 500 mg tablet, atorvastatin 20 mg tablet, bisoprolol fumarate 5 mg tablet, perindopril arginine 5 mg tablet, bisoprolol fumarate 5 mg tablet, perindopril arginine 5 mg tablet, bisoprolol fumarate 5 mg tablet, perindopril arginine 5 mg tablet, acetylsalicylic acid 100 mg tablet: enteric coated, acetylsalicylic acid 100 mg tablet: enteric coated, acetylsalicylic acid 100 mg tablet: enteric coated, bisoprolol fumarate 5 mg tablet, metFORMIN hydrochloride 500 mg tablet, perindopril arginine 5 mg tablet, omeprazole 20 mg tablet: enteric coated, bisoprolol fumarate 5 mg tablet, metFORMIN hydrochloride 500 mg tablet, perindopril arginine 5 mg tablet, omeprazole 20 mg tablet: enteric coated, bisoprolol fumarate 5 mg tablet, metFORMIN hydrochloride 500 mg tablet, perindopril arginine 5 mg tablet, omeprazole 20 mg tablet: enteric coated, isosorbide dinitrate 20 mg capsule: modified release, isosorbide dinitrate 20 mg capsule: modified release, isosorbide dinitrate 20 mg capsule: modified release, acetylsalicylic acid 100 mg tablet: enteric coated, vitamin B complex (B1,B6,B12) 100,200,0.2 mg Film coated tablets [oral], acetylsalicylic acid 100 mg tablet: enteric coated, vitamin B complex (B1,B6,B12) 100,200,0.2 mg Film coated tablets [oral], acetylsalicylic acid 100 mg tablet: enteric coated, vitamin B complex (B1,B6,B12) 100,200,0.2 mg Film coated tablets [oral], amLODIPine 5 mg tablet, atorvastatin 20 mg tablet, amLODIPine 5 mg tablet, atorvastatin 20 mg tablet, amLODIPine 5 mg tablet, atorvastatin 20 mg tablet</t>
  </si>
  <si>
    <t>عبدالله سند ابن ضبعان الحربي</t>
  </si>
  <si>
    <t>metFORMIN hydrochloride, atorvastatin</t>
  </si>
  <si>
    <t>metFORMIN hydrochloride 500 mg tablet, atorvastatin 20 mg tablet, metFORMIN hydrochloride 500 mg tablet, atorvastatin 20 mg tablet, metFORMIN hydrochloride 500 mg tablet, atorvastatin 20 mg tablet, metFORMIN hydrochloride 500 mg tablet, atorvastatin 20 mg tablet, metFORMIN hydrochloride 500 mg tablet, atorvastatin 20 mg tablet, metFORMIN hydrochloride 500 mg tablet, atorvastatin 20 mg tablet, atorvastatin 20 mg tablet, atorvastatin 20 mg tablet, atorvastatin 20 mg tablet, metFORMIN hydrochloride 500 mg tablet, metFORMIN hydrochloride 500 mg tablet, metFORMIN hydrochloride 500 mg tablet, atorvastatin 20 mg tablet, atorvastatin 20 mg tablet, atorvastatin 20 mg tablet, metFORMIN hydrochloride 500 mg tablet, metFORMIN hydrochloride 500 mg tablet, metFORMIN hydrochloride 500 mg tablet</t>
  </si>
  <si>
    <t>بدريه محمد عثمان ال ساقان</t>
  </si>
  <si>
    <t>perindopril arginine, metFORMIN hydrochloride, amLODIPine, atorvastatin</t>
  </si>
  <si>
    <t>perindopril arginine 5 mg tablet, perindopril arginine 5 mg tablet, perindopril arginine 5 mg tablet, perindopril arginine 5 mg tablet, metFORMIN hydrochloride 500 mg tablet, metFORMIN hydrochloride 500 mg tablet, metFORMIN hydrochloride 500 mg tablet, metFORMIN hydrochloride 500 mg tablet, amLODIPine 5 mg tablet, amLODIPine 5 mg tablet, amLODIPine 5 mg tablet, amLODIPine 5 mg tablet, atorvastatin 20 mg tablet, atorvastatin 20 mg tablet, atorvastatin 20 mg tablet, atorvastatin 20 mg tablet, metFORMIN hydrochloride 500 mg tablet, metFORMIN hydrochloride 500 mg tablet, metFORMIN hydrochloride 500 mg tablet, metFORMIN hydrochloride 500 mg tablet, perindopril arginine 5 mg tablet, perindopril arginine 5 mg tablet, perindopril arginine 5 mg tablet, perindopril arginine 5 mg tablet, amLODIPine 5 mg tablet, amLODIPine 5 mg tablet, amLODIPine 5 mg tablet, amLODIPine 5 mg tablet, atorvastatin 20 mg tablet, atorvastatin 20 mg tablet, atorvastatin 20 mg tablet, atorvastatin 20 mg tablet, perindopril arginine 5 mg tablet, perindopril arginine 5 mg tablet, perindopril arginine 5 mg tablet, perindopril arginine 5 mg tablet, metFORMIN hydrochloride 500 mg tablet, metFORMIN hydrochloride 500 mg tablet, metFORMIN hydrochloride 500 mg tablet, metFORMIN hydrochloride 500 mg tablet, amLODIPine 5 mg tablet, amLODIPine 5 mg tablet, amLODIPine 5 mg tablet, amLODIPine 5 mg tablet, atorvastatin 20 mg tablet, atorvastatin 20 mg tablet, atorvastatin 20 mg tablet, atorvastatin 20 mg tablet</t>
  </si>
  <si>
    <t>هند مرزوق علي الجهني</t>
  </si>
  <si>
    <t>SITagliptin, metFORMIN hydrochloride, atorvastatin</t>
  </si>
  <si>
    <t>SITagliptin 100 mg tablet, SITagliptin 100 mg tablet, SITagliptin 100 mg tablet, SITagliptin 100 mg tablet, metFORMIN hydrochloride 500 mg tablet, metFORMIN hydrochloride 500 mg tablet, metFORMIN hydrochloride 500 mg tablet, metFORMIN hydrochloride 500 mg tablet, atorvastatin 20 mg tablet, atorvastatin 20 mg tablet, atorvastatin 20 mg tablet, atorvastatin 20 mg tablet, atorvastatin 20 mg tablet, SITagliptin 100 mg tablet, atorvastatin 20 mg tablet, SITagliptin 100 mg tablet, atorvastatin 20 mg tablet, SITagliptin 100 mg tablet, atorvastatin 20 mg tablet, SITagliptin 100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atorvastatin 20 mg tablet, atorvastatin 20 mg tablet, atorvastatin 20 mg tablet, atorvastatin 20 mg tablet, SITagliptin 100 mg tablet, SITagliptin 100 mg tablet, SITagliptin 100 mg tablet, SITagliptin 100 mg tablet</t>
  </si>
  <si>
    <t>عبدالله محمدمكي عبدالله الميمني</t>
  </si>
  <si>
    <t>insulin glargine, insulin aspart</t>
  </si>
  <si>
    <t>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t>
  </si>
  <si>
    <t>نجلاء عبدالغني عباس ارشد</t>
  </si>
  <si>
    <t>perindopril arginine, acetylsalicylic acid, vitamin B complex (B, B, colecalciferol, gliclazide, amLODIPine, mebeverine hydrochloride, empagliflozin, metFORMIN hydrochloride</t>
  </si>
  <si>
    <t>perindopril arginine 5 mg tablet, perindopril arginine 5 mg tablet, perindopril arginine 5 mg tablet, perindopril arginine 5 mg tablet, acetylsalicylic acid 100 mg tablet: enteric coated, vitamin B complex (B1,B6,B12) 100,200,0.2 mg Film coated tablets [oral], colecalciferol 1 000 international units capsule, acetylsalicylic acid 100 mg tablet: enteric coated, vitamin B complex (B1,B6,B12) 100,200,0.2 mg Film coated tablets [oral], colecalciferol 1 000 international units capsule, acetylsalicylic acid 100 mg tablet: enteric coated, vitamin B complex (B1,B6,B12) 100,200,0.2 mg Film coated tablets [oral], colecalciferol 1 000 international units capsule, acetylsalicylic acid 100 mg tablet: enteric coated, vitamin B complex (B1,B6,B12) 100,200,0.2 mg Film coated tablets [oral], colecalciferol 1 000 international units capsule, gliclazide 60 mg tablet: modified release, amLODIPine 5 mg tablet, mebeverine hydrochloride 200 mg capsule: modified release, empagliflozin 25 mg tablet, gliclazide 60 mg tablet: modified release, amLODIPine 5 mg tablet, mebeverine hydrochloride 200 mg capsule: modified release, empagliflozin 25 mg tablet, gliclazide 60 mg tablet: modified release, amLODIPine 5 mg tablet, mebeverine hydrochloride 200 mg capsule: modified release, empagliflozin 25 mg tablet, gliclazide 60 mg tablet: modified release, amLODIPine 5 mg tablet, mebeverine hydrochloride 200 mg capsule: modified release, empagliflozin 25 mg tablet, metFORMIN hydrochloride 500 mg tablet, metFORMIN hydrochloride 500 mg tablet, metFORMIN hydrochloride 500 mg tablet, metFORMIN hydrochloride 500 mg tablet, colecalciferol 1 000 international units capsule, colecalciferol 1 000 international units capsule, colecalciferol 1 000 international units capsule, colecalciferol 1 000 international units capsule, vitamin B complex (B1,B6,B12) 100,200,0.2 mg Film coated tablets [oral], vitamin B complex (B1,B6,B12) 100,200,0.2 mg Film coated tablets [oral], vitamin B complex (B1,B6,B12) 100,200,0.2 mg Film coated tablets [oral], vitamin B complex (B1,B6,B12) 100,200,0.2 mg Film coated tablets [oral], mebeverine hydrochloride 200 mg capsule: modified release, gliclazide 60 mg tablet: modified release, mebeverine hydrochloride 200 mg capsule: modified release, gliclazide 60 mg tablet: modified release, mebeverine hydrochloride 200 mg capsule: modified release, gliclazide 60 mg tablet: modified release, mebeverine hydrochloride 200 mg capsule: modified release, gliclazide 60 mg tablet: modified release, amLODIPine 5 mg tablet, empagliflozin 25 mg tablet, metFORMIN hydrochloride 500 mg tablet, amLODIPine 5 mg tablet, empagliflozin 25 mg tablet, metFORMIN hydrochloride 500 mg tablet, amLODIPine 5 mg tablet, empagliflozin 25 mg tablet, metFORMIN hydrochloride 500 mg tablet, amLODIPine 5 mg tablet, empagliflozin 25 mg tablet, metFORMIN hydrochloride 500 mg tablet, acetylsalicylic acid 100 mg tablet: enteric coated, perindopril arginine 5 mg tablet, acetylsalicylic acid 100 mg tablet: enteric coated, perindopril arginine 5 mg tablet, acetylsalicylic acid 100 mg tablet: enteric coated, perindopril arginine 5 mg tablet, acetylsalicylic acid 100 mg tablet: enteric coated, perindopril arginine 5 mg tablet</t>
  </si>
  <si>
    <t>Antiplatelet, Diabetes, Hypertension, Vitamins/Supplements</t>
  </si>
  <si>
    <t>نوال محمد مسفر الحارثي</t>
  </si>
  <si>
    <t>sodium chloride, diphenhydrAMINE hydrochloride, pseudoephedrine hydrochloride, paracetamol, mebeverine hydrochloride</t>
  </si>
  <si>
    <t>sodium chloride 0.9% (9 mg/mL) nasal spray, sodium chloride 0.9% (9 mg/mL) nasal spray, sodium chloride 0.9% (9 mg/mL) nasal spray, sodium chloride 0.9% (9 mg/mL) nasal spray, sodium chloride 0.9% (9 mg/mL) nasal spray, sodium chloride 0.9% (9 mg/mL) nasal spray, diphenhydrAMINE hydrochloride 7 mg/5 mL + menthol 550 microgram/5 mL + sodium citrate 28.5 mg/5 mL oral liquid, pseudoephedrine hydrochloride 60 mg + triprolidine hydrochloride 2.5 mg tablet, diphenhydrAMINE hydrochloride 7 mg/5 mL + menthol 550 microgram/5 mL + sodium citrate 28.5 mg/5 mL oral liquid, pseudoephedrine hydrochloride 60 mg + triprolidine hydrochloride 2.5 mg tablet, diphenhydrAMINE hydrochloride 7 mg/5 mL + menthol 550 microgram/5 mL + sodium citrate 28.5 mg/5 mL oral liquid, pseudoephedrine hydrochloride 60 mg + triprolidine hydrochloride 2.5 mg tablet, diphenhydrAMINE hydrochloride 7 mg/5 mL + menthol 550 microgram/5 mL + sodium citrate 28.5 mg/5 mL oral liquid, pseudoephedrine hydrochloride 60 mg + triprolidine hydrochloride 2.5 mg tablet, diphenhydrAMINE hydrochloride 7 mg/5 mL + menthol 550 microgram/5 mL + sodium citrate 28.5 mg/5 mL oral liquid, pseudoephedrine hydrochloride 60 mg + triprolidine hydrochloride 2.5 mg tablet, diphenhydrAMINE hydrochloride 7 mg/5 mL + menthol 550 microgram/5 mL + sodium citrate 28.5 mg/5 mL oral liquid, pseudoephedrine hydrochloride 60 mg + triprolidine hydrochloride 2.5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diphenhydrAMINE hydrochloride 7 mg/5 mL + menthol 550 microgram/5 mL + sodium citrate 28.5 mg/5 mL oral liquid, diphenhydrAMINE hydrochloride 7 mg/5 mL + menthol 550 microgram/5 mL + sodium citrate 28.5 mg/5 mL oral liquid, diphenhydrAMINE hydrochloride 7 mg/5 mL + menthol 550 microgram/5 mL + sodium citrate 28.5 mg/5 mL oral liquid, diphenhydrAMINE hydrochloride 7 mg/5 mL + menthol 550 microgram/5 mL + sodium citrate 28.5 mg/5 mL oral liquid, diphenhydrAMINE hydrochloride 7 mg/5 mL + menthol 550 microgram/5 mL + sodium citrate 28.5 mg/5 mL oral liquid, diphenhydrAMINE hydrochloride 7 mg/5 mL + menthol 550 microgram/5 mL + sodium citrate 28.5 mg/5 mL oral liquid, pseudoephedrine hydrochloride 60 mg + triprolidine hydrochloride 2.5 mg tablet, pseudoephedrine hydrochloride 60 mg + triprolidine hydrochloride 2.5 mg tablet, pseudoephedrine hydrochloride 60 mg + triprolidine hydrochloride 2.5 mg tablet, pseudoephedrine hydrochloride 60 mg + triprolidine hydrochloride 2.5 mg tablet, pseudoephedrine hydrochloride 60 mg + triprolidine hydrochloride 2.5 mg tablet, pseudoephedrine hydrochloride 60 mg + triprolidine hydrochloride 2.5 mg tablet, paracetamol 500 mg + codeine phosphate 8 mg + caffeine 30 mg tablet, mebeverine hydrochloride 200 mg capsule: modified release, paracetamol 500 mg + codeine phosphate 8 mg + caffeine 30 mg tablet, mebeverine hydrochloride 200 mg capsule: modified release, paracetamol 500 mg + codeine phosphate 8 mg + caffeine 30 mg tablet, mebeverine hydrochloride 200 mg capsule: modified release, paracetamol 500 mg + codeine phosphate 8 mg + caffeine 30 mg tablet, mebeverine hydrochloride 200 mg capsule: modified release, paracetamol 500 mg + codeine phosphate 8 mg + caffeine 30 mg tablet, mebeverine hydrochloride 200 mg capsule: modified release, paracetamol 500 mg + codeine phosphate 8 mg + caffeine 30 mg tablet, mebeverine hydrochloride 200 mg capsule: modified release, mebeverine hydrochloride 200 mg capsule: modified release, sodium chloride 0.9% (9 mg/mL) nasal spray, mebeverine hydrochloride 200 mg capsule: modified release, sodium chloride 0.9% (9 mg/mL) nasal spray, mebeverine hydrochloride 200 mg capsule: modified release, sodium chloride 0.9% (9 mg/mL) nasal spray, mebeverine hydrochloride 200 mg capsule: modified release, sodium chloride 0.9% (9 mg/mL) nasal spray, mebeverine hydrochloride 200 mg capsule: modified release, sodium chloride 0.9% (9 mg/mL) nasal spray, mebeverine hydrochloride 200 mg capsule: modified release, sodium chloride 0.9% (9 mg/mL) nasal spray, diphenhydrAMINE hydrochloride 7 mg/5 mL + menthol 550 microgram/5 mL + sodium citrate 28.5 mg/5 mL oral liquid, sodium chloride 0.9% (9 mg/mL) nasal spray, pseudoephedrine hydrochloride 60 mg + triprolidine hydrochloride 2.5 mg tablet, diphenhydrAMINE hydrochloride 7 mg/5 mL + menthol 550 microgram/5 mL + sodium citrate 28.5 mg/5 mL oral liquid, sodium chloride 0.9% (9 mg/mL) nasal spray, pseudoephedrine hydrochloride 60 mg + triprolidine hydrochloride 2.5 mg tablet, diphenhydrAMINE hydrochloride 7 mg/5 mL + menthol 550 microgram/5 mL + sodium citrate 28.5 mg/5 mL oral liquid, sodium chloride 0.9% (9 mg/mL) nasal spray, pseudoephedrine hydrochloride 60 mg + triprolidine hydrochloride 2.5 mg tablet, diphenhydrAMINE hydrochloride 7 mg/5 mL + menthol 550 microgram/5 mL + sodium citrate 28.5 mg/5 mL oral liquid, sodium chloride 0.9% (9 mg/mL) nasal spray, pseudoephedrine hydrochloride 60 mg + triprolidine hydrochloride 2.5 mg tablet, diphenhydrAMINE hydrochloride 7 mg/5 mL + menthol 550 microgram/5 mL + sodium citrate 28.5 mg/5 mL oral liquid, sodium chloride 0.9% (9 mg/mL) nasal spray, pseudoephedrine hydrochloride 60 mg + triprolidine hydrochloride 2.5 mg tablet, diphenhydrAMINE hydrochloride 7 mg/5 mL + menthol 550 microgram/5 mL + sodium citrate 28.5 mg/5 mL oral liquid, sodium chloride 0.9% (9 mg/mL) nasal spray, pseudoephedrine hydrochloride 60 mg + triprolidine hydrochloride 2.5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t>
  </si>
  <si>
    <t>رايه عبيد علي العسافي</t>
  </si>
  <si>
    <t>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t>
  </si>
  <si>
    <t>مفرح سعيد محمد القحطاني</t>
  </si>
  <si>
    <t>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t>
  </si>
  <si>
    <t>ليلي عمر محمد المعشي</t>
  </si>
  <si>
    <t>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t>
  </si>
  <si>
    <t>هيا يوسف عبدالرحمن العبيسي</t>
  </si>
  <si>
    <t>atorvastatin 10 mg tablet, metFORMIN hydrochloride 500 mg tablet, atorvastatin 10 mg tablet, metFORMIN hydrochloride 500 mg tablet, atorvastatin 10 mg tablet, metFORMIN hydrochloride 500 mg tablet, atorvastatin 10 mg tablet, metFORMIN hydrochloride 500 mg tablet, metFORMIN hydrochloride 500 mg tablet, metFORMIN hydrochloride 500 mg tablet, metFORMIN hydrochloride 500 mg tablet, metFORMIN hydrochloride 500 mg tablet, atorvastatin 10 mg tablet, atorvastatin 10 mg tablet, atorvastatin 10 mg tablet, atorvastatin 10 mg tablet, atorvastatin 10 mg tablet, metFORMIN hydrochloride 500 mg tablet, atorvastatin 10 mg tablet, metFORMIN hydrochloride 500 mg tablet, atorvastatin 10 mg tablet, metFORMIN hydrochloride 500 mg tablet, atorvastatin 10 mg tablet, metFORMIN hydrochloride 500 mg tablet</t>
  </si>
  <si>
    <t>عبدالله عطية الله مسلم الصحفي</t>
  </si>
  <si>
    <t>valsartan, SITagliptin, insulin glargine, Insulin Pen Needle, bisoprolol fumarate, furosemide, vitamin B complex (B, B, metFORMIN hydrochloride, insulin aspart</t>
  </si>
  <si>
    <t>valsartan 80 mg tablet, SITagliptin 100 mg tablet, valsartan 80 mg tablet, SITagliptin 100 mg tablet, valsartan 80 mg tablet, SITagliptin 100 mg tablet, valsartan 80 mg tablet, SITagliptin 100 mg tablet, valsartan 80 mg tablet, SITagliptin 100 mg tablet, insulin glargine 300 international units/mL injection, 1.5 mL prefilled pen, Insulin Pen Needle 4mm Needle [sc], bisoprolol fumarate 5 mg tablet, insulin glargine 300 international units/mL injection, 1.5 mL prefilled pen, Insulin Pen Needle 4mm Needle [sc], bisoprolol fumarate 5 mg tablet, insulin glargine 300 international units/mL injection, 1.5 mL prefilled pen, Insulin Pen Needle 4mm Needle [sc], bisoprolol fumarate 5 mg tablet, insulin glargine 300 international units/mL injection, 1.5 mL prefilled pen, Insulin Pen Needle 4mm Needle [sc], bisoprolol fumarate 5 mg tablet, insulin glargine 300 international units/mL injection, 1.5 mL prefilled pen, Insulin Pen Needle 4mm Needle [sc], bisoprolol fumarate 5 mg tablet, furosemide 40 mg tablet, vitamin B complex (B1,B6,B12) 100,200,0.2 mg Film coated tablets [oral], metFORMIN hydrochloride 500 mg tablet, furosemide 40 mg tablet, vitamin B complex (B1,B6,B12) 100,200,0.2 mg Film coated tablets [oral], metFORMIN hydrochloride 500 mg tablet, furosemide 40 mg tablet, vitamin B complex (B1,B6,B12) 100,200,0.2 mg Film coated tablets [oral], metFORMIN hydrochloride 500 mg tablet, furosemide 40 mg tablet, vitamin B complex (B1,B6,B12) 100,200,0.2 mg Film coated tablets [oral], metFORMIN hydrochloride 500 mg tablet, furosemide 40 mg tablet, vitamin B complex (B1,B6,B12) 100,200,0.2 mg Film coated tablets [oral], metFORMIN hydrochloride 500 mg tablet, insulin aspart 100 international units/mL injection, 3 mL prefilled pen, apixaban 5 mg tablet, insulin aspart 100 international units/mL injection, 3 mL prefilled pen, apixaban 5 mg tablet, insulin aspart 100 international units/mL injection, 3 mL prefilled pen, apixaban 5 mg tablet, insulin aspart 100 international units/mL injection, 3 mL prefilled pen, apixaban 5 mg tablet, insulin aspart 100 international units/mL injection, 3 mL prefilled pen, apixaban 5 mg tablet, valsartan 80 mg tablet, bisoprolol fumarate 5 mg tablet, valsartan 80 mg tablet, bisoprolol fumarate 5 mg tablet, valsartan 80 mg tablet, bisoprolol fumarate 5 mg tablet, valsartan 80 mg tablet, bisoprolol fumarate 5 mg tablet, valsartan 80 mg tablet, bisoprolol fumarate 5 mg tablet, apixaban 5 mg tablet, apixaban 5 mg tablet, apixaban 5 mg tablet, apixaban 5 mg tablet, apixaban 5 mg tablet, SITagliptin 100 mg tablet, SITagliptin 100 mg tablet, SITagliptin 100 mg tablet, SITagliptin 100 mg tablet, SITagliptin 100 mg tablet,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vitamin B complex (B1,B6,B12) 100,200,0.2 mg Film coated tablets [oral], furosemide 40 mg tablet, insulin aspart 100 international units/mL injection, 3 mL prefilled pen, vitamin B complex (B1,B6,B12) 100,200,0.2 mg Film coated tablets [oral], furosemide 40 mg tablet, insulin aspart 100 international units/mL injection, 3 mL prefilled pen, vitamin B complex (B1,B6,B12) 100,200,0.2 mg Film coated tablets [oral], furosemide 40 mg tablet, insulin aspart 100 international units/mL injection, 3 mL prefilled pen, vitamin B complex (B1,B6,B12) 100,200,0.2 mg Film coated tablets [oral], furosemide 40 mg tablet, insulin aspart 100 international units/mL injection, 3 mL prefilled pen, vitamin B complex (B1,B6,B12) 100,200,0.2 mg Film coated tablets [oral], furosemide 40 mg tablet, insulin aspart 100 international units/mL injection, 3 mL prefilled pen, Insulin Pen Needle 4mm Needle [sc], metFORMIN hydrochloride 500 mg tablet, Insulin Pen Needle 4mm Needle [sc], metFORMIN hydrochloride 500 mg tablet, Insulin Pen Needle 4mm Needle [sc], metFORMIN hydrochloride 500 mg tablet, Insulin Pen Needle 4mm Needle [sc], metFORMIN hydrochloride 500 mg tablet, Insulin Pen Needle 4mm Needle [sc], metFORMIN hydrochloride 500 mg tablet, furosemide 40 mg tablet, furosemide 40 mg tablet, furosemide 40 mg tablet, furosemide 40 mg tablet, furosemide 40 mg tablet,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SITagliptin 100 mg tablet, SITagliptin 100 mg tablet, SITagliptin 100 mg tablet, SITagliptin 100 mg tablet, SITagliptin 100 mg tablet, vitamin B complex (B1,B6,B12) 100,200,0.2 mg Film coated tablets [oral], bisoprolol fumarate 5 mg tablet, vitamin B complex (B1,B6,B12) 100,200,0.2 mg Film coated tablets [oral], bisoprolol fumarate 5 mg tablet, vitamin B complex (B1,B6,B12) 100,200,0.2 mg Film coated tablets [oral], bisoprolol fumarate 5 mg tablet, vitamin B complex (B1,B6,B12) 100,200,0.2 mg Film coated tablets [oral], bisoprolol fumarate 5 mg tablet, vitamin B complex (B1,B6,B12) 100,200,0.2 mg Film coated tablets [oral], bisoprolol fumarate 5 mg tablet, Insulin Pen Needle 4mm Needle [sc], bisoprolol fumarate 5 mg tablet, vitamin B complex (B1,B6,B12) 100,200,0.2 mg Film coated tablets [oral], SITagliptin 100 mg tablet, insulin aspart 100 international units/mL injection, 3 mL prefilled pen, apixaban 5 mg tablet, metFORMIN hydrochloride 500 mg tablet, furosemide 40 mg tablet, insulin glargine 300 international units/mL injection, 1.5 mL prefilled pen, valsartan 80 mg tablet, Insulin Pen Needle 4mm Needle [sc], bisoprolol fumarate 5 mg tablet, vitamin B complex (B1,B6,B12) 100,200,0.2 mg Film coated tablets [oral], SITagliptin 100 mg tablet, insulin aspart 100 international units/mL injection, 3 mL prefilled pen, apixaban 5 mg tablet, metFORMIN hydrochloride 500 mg tablet, furosemide 40 mg tablet, insulin glargine 300 international units/mL injection, 1.5 mL prefilled pen, valsartan 80 mg tablet, Insulin Pen Needle 4mm Needle [sc], bisoprolol fumarate 5 mg tablet, vitamin B complex (B1,B6,B12) 100,200,0.2 mg Film coated tablets [oral], SITagliptin 100 mg tablet, insulin aspart 100 international units/mL injection, 3 mL prefilled pen, apixaban 5 mg tablet, metFORMIN hydrochloride 500 mg tablet, furosemide 40 mg tablet, insulin glargine 300 international units/mL injection, 1.5 mL prefilled pen, valsartan 80 mg tablet, Insulin Pen Needle 4mm Needle [sc], bisoprolol fumarate 5 mg tablet, vitamin B complex (B1,B6,B12) 100,200,0.2 mg Film coated tablets [oral], SITagliptin 100 mg tablet, insulin aspart 100 international units/mL injection, 3 mL prefilled pen, apixaban 5 mg tablet, metFORMIN hydrochloride 500 mg tablet, furosemide 40 mg tablet, insulin glargine 300 international units/mL injection, 1.5 mL prefilled pen, valsartan 80 mg tablet, Insulin Pen Needle 4mm Needle [sc], bisoprolol fumarate 5 mg tablet, vitamin B complex (B1,B6,B12) 100,200,0.2 mg Film coated tablets [oral], SITagliptin 100 mg tablet, insulin aspart 100 international units/mL injection, 3 mL prefilled pen, apixaban 5 mg tablet, metFORMIN hydrochloride 500 mg tablet, furosemide 40 mg tablet, insulin glargine 300 international units/mL injection, 1.5 mL prefilled pen, valsartan 80 mg tablet, metFORMIN hydrochloride 500 mg tablet, metFORMIN hydrochloride 500 mg tablet, metFORMIN hydrochloride 500 mg tablet, metFORMIN hydrochloride 500 mg tablet, metFORMIN hydrochloride 500 mg tablet</t>
  </si>
  <si>
    <t>عبدالمحسن علي حامد الشريف</t>
  </si>
  <si>
    <t>Strips (Accu-Check) 1 box Strip [n/a], Strips (Accu-Check) 1 box Strip [n/a], Strips (Accu-Check) 1 box Strip [n/a], Strips (Accu-Check) 1 box Strip [n/a], Strips (Accu-Check) 1 box Strip [n/a], Strips (Accu-Check) 1 box Strip [n/a]</t>
  </si>
  <si>
    <t>سعد سعيد صافي العمري</t>
  </si>
  <si>
    <t>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t>
  </si>
  <si>
    <t>غزيه حمود هدايه المطيري</t>
  </si>
  <si>
    <t>levothyroxine sodium, colecalciferol, calcium carbonate, amLODIPine, rosuvastatin</t>
  </si>
  <si>
    <t>levothyroxine sodium 50 microgram tablet, colecalciferol 50 000 international units tablet, calcium carbonate 600 mg - colecalciferol 200 international units Film coated tablets [oral], levothyroxine sodium 50 microgram tablet, colecalciferol 50 000 international units tablet, calcium carbonate 600 mg - colecalciferol 200 international units Film coated tablets [oral], levothyroxine sodium 50 microgram tablet, colecalciferol 50 000 international units tablet, calcium carbonate 600 mg - colecalciferol 200 international units Film coated tablets [oral], levothyroxine sodium 50 microgram tablet, colecalciferol 50 000 international units tablet, calcium carbonate 600 mg - colecalciferol 200 international units Film coated tablets [oral], levothyroxine sodium 50 microgram tablet, colecalciferol 50 000 international units tablet, calcium carbonate 600 mg - colecalciferol 200 international units Film coated tablets [oral], levothyroxine sodium 50 microgram tablet, colecalciferol 50 000 international units tablet, calcium carbonate 600 mg - colecalciferol 200 international units Film coated tablets [oral], amLODIPine 5 mg tablet, rosuvastatin 10 mg tablet, amLODIPine 5 mg tablet, rosuvastatin 10 mg tablet, amLODIPine 5 mg tablet, rosuvastatin 10 mg tablet, amLODIPine 5 mg tablet, rosuvastatin 10 mg tablet, amLODIPine 5 mg tablet, rosuvastatin 10 mg tablet, amLODIPine 5 mg tablet, rosuvastatin 10 mg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rosuvastatin 10 mg tablet, levothyroxine sodium 50 microgram tablet, rosuvastatin 10 mg tablet, levothyroxine sodium 50 microgram tablet, rosuvastatin 10 mg tablet, levothyroxine sodium 50 microgram tablet, rosuvastatin 10 mg tablet, levothyroxine sodium 50 microgram tablet, rosuvastatin 10 mg tablet, levothyroxine sodium 50 microgram tablet, rosuvastatin 10 mg tablet, levothyroxine sodium 50 microgram tablet, amLODIPine 5 mg tablet, amLODIPine 5 mg tablet, amLODIPine 5 mg tablet, amLODIPine 5 mg tablet, amLODIPine 5 mg tablet, amLODIPine 5 mg tablet,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rosuvastatin 10 mg tablet, calcium carbonate 600 mg - colecalciferol 200 international units Film coated tablets [oral], amLODIPine 5 mg tablet, colecalciferol 50 000 international units tablet, levothyroxine sodium 50 microgram tablet, rosuvastatin 10 mg tablet, calcium carbonate 600 mg - colecalciferol 200 international units Film coated tablets [oral], amLODIPine 5 mg tablet, colecalciferol 50 000 international units tablet, levothyroxine sodium 50 microgram tablet, rosuvastatin 10 mg tablet, calcium carbonate 600 mg - colecalciferol 200 international units Film coated tablets [oral], amLODIPine 5 mg tablet, colecalciferol 50 000 international units tablet, levothyroxine sodium 50 microgram tablet, rosuvastatin 10 mg tablet, calcium carbonate 600 mg - colecalciferol 200 international units Film coated tablets [oral], amLODIPine 5 mg tablet, colecalciferol 50 000 international units tablet, levothyroxine sodium 50 microgram tablet, rosuvastatin 10 mg tablet, calcium carbonate 600 mg - colecalciferol 200 international units Film coated tablets [oral], amLODIPine 5 mg tablet, colecalciferol 50 000 international units tablet, levothyroxine sodium 50 microgram tablet, rosuvastatin 10 mg tablet, calcium carbonate 600 mg - colecalciferol 200 international units Film coated tablets [oral], amLODIPine 5 mg tablet, colecalciferol 50 000 international units tablet, levothyroxine sodium 50 microgram tablet, amLODIPine 5 mg tablet, levothyroxine sodium 50 microgram tablet, rosuvastatin 10 mg tablet, colecalciferol 50 000 international units tablet, calcium carbonate 600 mg - colecalciferol 200 international units Film coated tablets [oral], amLODIPine 5 mg tablet, levothyroxine sodium 50 microgram tablet, rosuvastatin 10 mg tablet, colecalciferol 50 000 international units tablet, calcium carbonate 600 mg - colecalciferol 200 international units Film coated tablets [oral], amLODIPine 5 mg tablet, levothyroxine sodium 50 microgram tablet, rosuvastatin 10 mg tablet, colecalciferol 50 000 international units tablet, calcium carbonate 600 mg - colecalciferol 200 international units Film coated tablets [oral], amLODIPine 5 mg tablet, levothyroxine sodium 50 microgram tablet, rosuvastatin 10 mg tablet, colecalciferol 50 000 international units tablet, calcium carbonate 600 mg - colecalciferol 200 international units Film coated tablets [oral], amLODIPine 5 mg tablet, levothyroxine sodium 50 microgram tablet, rosuvastatin 10 mg tablet, colecalciferol 50 000 international units tablet, calcium carbonate 600 mg - colecalciferol 200 international units Film coated tablets [oral], amLODIPine 5 mg tablet, levothyroxine sodium 50 microgram tablet, rosuvastatin 10 mg tablet, colecalciferol 50 000 international units tablet, calcium carbonate 600 mg - colecalciferol 200 international units Film coated tablets [oral], colecalciferol 50 000 international units tablet, levothyroxine sodium 50 microgram tablet, colecalciferol 50 000 international units tablet, levothyroxine sodium 50 microgram tablet, colecalciferol 50 000 international units tablet, levothyroxine sodium 50 microgram tablet, colecalciferol 50 000 international units tablet, levothyroxine sodium 50 microgram tablet, colecalciferol 50 000 international units tablet, levothyroxine sodium 50 microgram tablet, colecalciferol 50 000 international units tablet, levothyroxine sodium 50 microgram tablet, calcium carbonate 600 mg - colecalciferol 200 international units Film coated tablets [oral], amLODIPine 5 mg tablet, calcium carbonate 600 mg - colecalciferol 200 international units Film coated tablets [oral], amLODIPine 5 mg tablet, calcium carbonate 600 mg - colecalciferol 200 international units Film coated tablets [oral], amLODIPine 5 mg tablet, calcium carbonate 600 mg - colecalciferol 200 international units Film coated tablets [oral], amLODIPine 5 mg tablet, calcium carbonate 600 mg - colecalciferol 200 international units Film coated tablets [oral], amLODIPine 5 mg tablet, calcium carbonate 600 mg - colecalciferol 200 international units Film coated tablets [oral], amLODIPine 5 mg tablet, rosuvastatin 10 mg tablet, rosuvastatin 10 mg tablet, rosuvastatin 10 mg tablet, rosuvastatin 10 mg tablet, rosuvastatin 10 mg tablet, rosuvastatin 10 mg tablet</t>
  </si>
  <si>
    <t>احمد وفاء عبدالعزيز سرتي</t>
  </si>
  <si>
    <t>باخته غازي شتيان العصلاني</t>
  </si>
  <si>
    <t>ferrous sulfate 190 mg Tablets [oral], ferrous sulfate 190 mg Tablets [oral], ferrous sulfate 190 mg Tablets [oral], ferrous sulfate 190 mg Tablets [oral], ferrous sulfate 190 mg Tablets [oral], ferrous sulfate 190 mg Tablets [oral]</t>
  </si>
  <si>
    <t>ابراهيم بن غانم بن ابراهيم الحقوي</t>
  </si>
  <si>
    <t>valsartan, metFORMIN hydrochloride</t>
  </si>
  <si>
    <t>valsartan 80 mg tablet, valsartan 80 mg tablet, valsartan 80 mg tablet, valsartan 80 mg tablet, valsartan 80 mg tablet, valsartan 80 mg tablet, valsartan 80 mg tablet, valsartan 80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valsartan 80 mg tablet, valsartan 80 mg tablet, valsartan 80 mg tablet, valsartan 80 mg tablet, valsartan 80 mg tablet, valsartan 80 mg tablet, valsartan 80 mg tablet, valsartan 80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valsartan 80 mg tablet, valsartan 80 mg tablet, valsartan 80 mg tablet, valsartan 80 mg tablet, valsartan 80 mg tablet, valsartan 80 mg tablet, valsartan 80 mg tablet, valsartan 80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t>
  </si>
  <si>
    <t>ليلى محمد عبدالحميد سلامه</t>
  </si>
  <si>
    <t>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t>
  </si>
  <si>
    <t>معيضه عطيه رشيد الصبحي</t>
  </si>
  <si>
    <t>Strips (Accu-Check), valsartan, Lancets (Accu-Check), levothyroxine sodium, colecalciferol</t>
  </si>
  <si>
    <t>Strips (Accu-Check) 1 box Strip [n/a], valsartan 80 mg tablet, Strips (Accu-Check) 1 box Strip [n/a], valsartan 80 mg tablet, Strips (Accu-Check) 1 box Strip [n/a], valsartan 80 mg tablet, Strips (Accu-Check) 1 box Strip [n/a], valsartan 80 mg tablet, Lancets (Accu-Check) 1 box Lancets [n/a], levothyroxine sodium 100 microgram tablet, Lancets (Accu-Check) 1 box Lancets [n/a], levothyroxine sodium 100 microgram tablet, Lancets (Accu-Check) 1 box Lancets [n/a], levothyroxine sodium 100 microgram tablet, Lancets (Accu-Check) 1 box Lancets [n/a], levothyroxine sodium 100 microgram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Lancets (Accu-Check) 1 box Lancets [n/a], Lancets (Accu-Check) 1 box Lancets [n/a], Lancets (Accu-Check) 1 box Lancets [n/a], Lancets (Accu-Check) 1 box Lancets [n/a], levothyroxine sodium 100 microgram tablet, levothyroxine sodium 100 microgram tablet, levothyroxine sodium 100 microgram tablet, levothyroxine sodium 100 microgram tablet, valsartan 80 mg tablet, Strips (Accu-Check) 1 box Strip [n/a], valsartan 80 mg tablet, Strips (Accu-Check) 1 box Strip [n/a], valsartan 80 mg tablet, Strips (Accu-Check) 1 box Strip [n/a], valsartan 80 mg tablet, Strips (Accu-Check) 1 box Strip [n/a], valsartan 80 mg tablet, levothyroxine sodium 100 microgram tablet, Lancets (Accu-Check) 1 box Lancets [n/a], valsartan 80 mg tablet, levothyroxine sodium 100 microgram tablet, Lancets (Accu-Check) 1 box Lancets [n/a], valsartan 80 mg tablet, levothyroxine sodium 100 microgram tablet, Lancets (Accu-Check) 1 box Lancets [n/a], valsartan 80 mg tablet, levothyroxine sodium 100 microgram tablet, Lancets (Accu-Check) 1 box Lancets [n/a], Strips (Accu-Check) 1 box Strip [n/a], colecalciferol 50 000 international units tablet, Strips (Accu-Check) 1 box Strip [n/a], colecalciferol 50 000 international units tablet, Strips (Accu-Check) 1 box Strip [n/a], colecalciferol 50 000 international units tablet, Strips (Accu-Check) 1 box Strip [n/a], colecalciferol 50 000 international units tablet</t>
  </si>
  <si>
    <t>مريم عبدالله سعيد الغامدي</t>
  </si>
  <si>
    <t>mebeverine hydrochloride, colecalciferol, omeprazole, bisoprolol fumarate</t>
  </si>
  <si>
    <t>mebeverine hydrochloride 200 mg capsule: modified release, mebeverine hydrochloride 200 mg capsule: modified release, colecalciferol 1 000 international units capsule, omeprazole 20 mg tablet: enteric coated, bisoprolol fumarate 5 mg tablet, colecalciferol 1 000 international units capsule, omeprazole 20 mg tablet: enteric coated, bisoprolol fumarate 5 mg tablet, mebeverine hydrochloride 200 mg capsule: modified release, mebeverine hydrochloride 200 mg capsule: modified release, bisoprolol fumarate 5 mg tablet, bisoprolol fumarate 5 mg tablet, omeprazole 20 mg tablet: enteric coated, omeprazole 20 mg tablet: enteric coated, colecalciferol 1 000 international units capsule, colecalciferol 1 000 international units capsule</t>
  </si>
  <si>
    <t>GI/PPI, Hypertension, Vitamins/Supplements</t>
  </si>
  <si>
    <t>نوره عبدالعزيز عبدالكريم المصباحي</t>
  </si>
  <si>
    <t>metFORMIN hydrochloride 500 mg tablet, vitamin B complex (B1,B6,B12) 100,200,0.2 mg Film coated tablets [oral], metFORMIN hydrochloride 500 mg tablet, vitamin B complex (B1,B6,B12) 100,200,0.2 mg Film coated tablets [oral], metFORMIN hydrochloride 500 mg tablet, metFORMIN hydrochloride 500 mg tablet, metFORMIN hydrochloride 500 mg tablet, vitamin B complex (B1,B6,B12) 100,200,0.2 mg Film coated tablets [oral], metFORMIN hydrochloride 500 mg tablet, vitamin B complex (B1,B6,B12) 100,200,0.2 mg Film coated tablets [oral], vitamin B complex (B1,B6,B12) 100,200,0.2 mg Film coated tablets [oral], vitamin B complex (B1,B6,B12) 100,200,0.2 mg Film coated tablets [oral]</t>
  </si>
  <si>
    <t>راضيه عطيه الله سفر السلمي</t>
  </si>
  <si>
    <t>valsartan, SITagliptin, bisoprolol fumarate, vitamin B complex (B, B, calcium carbonate, atorvastatin, Insulin Pen Needle, insulin aspart, metFORMIN hydrochloride</t>
  </si>
  <si>
    <t>valsartan 80 mg tablet, SITagliptin 100 mg tablet, valsartan 80 mg tablet, SITagliptin 100 mg tablet, valsartan 80 mg tablet, SITagliptin 100 mg tablet, valsartan 80 mg tablet, SITagliptin 100 mg tablet, valsartan 80 mg tablet, SITagliptin 100 mg tablet, bisoprolol fumarate 5 mg tablet, vitamin B complex (B1,B6,B12) 100,100,0.15 mg Film coated tablets [oral], bisoprolol fumarate 5 mg tablet, vitamin B complex (B1,B6,B12) 100,100,0.15 mg Film coated tablets [oral], bisoprolol fumarate 5 mg tablet, vitamin B complex (B1,B6,B12) 100,100,0.15 mg Film coated tablets [oral], bisoprolol fumarate 5 mg tablet, vitamin B complex (B1,B6,B12) 100,100,0.15 mg Film coated tablets [oral], bisoprolol fumarate 5 mg tablet, vitamin B complex (B1,B6,B12) 100,100,0.15 mg Film coated tablets [oral], calcium carbonate 600 mg - colecalciferol 200 international units Film coated tablets [oral], atorvastatin 20 mg tablet, Insulin Pen Needle 4mm Needle [sc], insulin aspart 100 international units/mL injection, 3 mL prefilled pen, calcium carbonate 600 mg - colecalciferol 200 international units Film coated tablets [oral], atorvastatin 20 mg tablet, Insulin Pen Needle 4mm Needle [sc], insulin aspart 100 international units/mL injection, 3 mL prefilled pen, calcium carbonate 600 mg - colecalciferol 200 international units Film coated tablets [oral], atorvastatin 20 mg tablet, Insulin Pen Needle 4mm Needle [sc], insulin aspart 100 international units/mL injection, 3 mL prefilled pen, calcium carbonate 600 mg - colecalciferol 200 international units Film coated tablets [oral], atorvastatin 20 mg tablet, Insulin Pen Needle 4mm Needle [sc], insulin aspart 100 international units/mL injection, 3 mL prefilled pen, calcium carbonate 600 mg - colecalciferol 200 international units Film coated tablets [oral], atorvastatin 20 mg tablet, Insulin Pen Needle 4mm Needle [sc], insulin aspart 100 international units/mL injection, 3 mL prefilled pen, vitamin B complex (B1,B6,B12) 100,100,0.15 mg Film coated tablets [oral], metFORMIN hydrochloride 750 mg tablet: modified release, SITagliptin 100 mg tablet, vitamin B complex (B1,B6,B12) 100,100,0.15 mg Film coated tablets [oral], metFORMIN hydrochloride 750 mg tablet: modified release, SITagliptin 100 mg tablet, vitamin B complex (B1,B6,B12) 100,100,0.15 mg Film coated tablets [oral], metFORMIN hydrochloride 750 mg tablet: modified release, SITagliptin 100 mg tablet, vitamin B complex (B1,B6,B12) 100,100,0.15 mg Film coated tablets [oral], metFORMIN hydrochloride 750 mg tablet: modified release, SITagliptin 100 mg tablet, vitamin B complex (B1,B6,B12) 100,100,0.15 mg Film coated tablets [oral], metFORMIN hydrochloride 750 mg tablet: modified release, SITagliptin 100 mg tablet, calcium carbonate 600 mg - colecalciferol 200 international units Film coated tablets [oral], valsartan 80 mg tablet, calcium carbonate 600 mg - colecalciferol 200 international units Film coated tablets [oral], valsartan 80 mg tablet, calcium carbonate 600 mg - colecalciferol 200 international units Film coated tablets [oral], valsartan 80 mg tablet, calcium carbonate 600 mg - colecalciferol 200 international units Film coated tablets [oral], valsartan 80 mg tablet, calcium carbonate 600 mg - colecalciferol 200 international units Film coated tablets [oral], valsartan 80 mg tablet, bisoprolol fumarate 5 mg tablet, Insulin Pen Needle 4mm Needle [sc], bisoprolol fumarate 5 mg tablet, Insulin Pen Needle 4mm Needle [sc], bisoprolol fumarate 5 mg tablet, Insulin Pen Needle 4mm Needle [sc], bisoprolol fumarate 5 mg tablet, Insulin Pen Needle 4mm Needle [sc], bisoprolol fumarate 5 mg tablet, Insulin Pen Needle 4mm Needle [sc], atorvastatin 20 mg tablet, insulin aspart 100 international units/mL injection, 3 mL prefilled pen, insulin glargine 300 international units/mL injection, 1.5 mL prefilled pen, atorvastatin 20 mg tablet, insulin aspart 100 international units/mL injection, 3 mL prefilled pen, insulin glargine 300 international units/mL injection, 1.5 mL prefilled pen, atorvastatin 20 mg tablet, insulin aspart 100 international units/mL injection, 3 mL prefilled pen, insulin glargine 300 international units/mL injection, 1.5 mL prefilled pen, atorvastatin 20 mg tablet, insulin aspart 100 international units/mL injection, 3 mL prefilled pen, insulin glargine 300 international units/mL injection, 1.5 mL prefilled pen, atorvastatin 20 mg tablet, insulin aspart 100 international units/mL injection, 3 mL prefilled pen, insulin glargine 300 international units/mL injection, 1.5 mL prefilled pen, valsartan 80 mg tablet, insulin glargine 300 international units/mL injection, 1.5 mL prefilled pen, Insulin Pen Needle 4mm Needle [sc], calcium carbonate 600 mg - colecalciferol 200 international units Film coated tablets [oral], vitamin B complex (B1,B6,B12) 100,100,0.15 mg Film coated tablets [oral], metFORMIN hydrochloride 750 mg tablet: modified release, insulin aspart 100 international units/mL injection, 3 mL prefilled pen, SITagliptin 100 mg tablet, bisoprolol fumarate 5 mg tablet, atorvastatin 20 mg tablet, valsartan 80 mg tablet, insulin glargine 300 international units/mL injection, 1.5 mL prefilled pen, Insulin Pen Needle 4mm Needle [sc], calcium carbonate 600 mg - colecalciferol 200 international units Film coated tablets [oral], vitamin B complex (B1,B6,B12) 100,100,0.15 mg Film coated tablets [oral], metFORMIN hydrochloride 750 mg tablet: modified release, insulin aspart 100 international units/mL injection, 3 mL prefilled pen, SITagliptin 100 mg tablet, bisoprolol fumarate 5 mg tablet, atorvastatin 20 mg tablet, valsartan 80 mg tablet, insulin glargine 300 international units/mL injection, 1.5 mL prefilled pen, Insulin Pen Needle 4mm Needle [sc], calcium carbonate 600 mg - colecalciferol 200 international units Film coated tablets [oral], vitamin B complex (B1,B6,B12) 100,100,0.15 mg Film coated tablets [oral], metFORMIN hydrochloride 750 mg tablet: modified release, insulin aspart 100 international units/mL injection, 3 mL prefilled pen, SITagliptin 100 mg tablet, bisoprolol fumarate 5 mg tablet, atorvastatin 20 mg tablet, valsartan 80 mg tablet, insulin glargine 300 international units/mL injection, 1.5 mL prefilled pen, Insulin Pen Needle 4mm Needle [sc], calcium carbonate 600 mg - colecalciferol 200 international units Film coated tablets [oral], vitamin B complex (B1,B6,B12) 100,100,0.15 mg Film coated tablets [oral], metFORMIN hydrochloride 750 mg tablet: modified release, insulin aspart 100 international units/mL injection, 3 mL prefilled pen, SITagliptin 100 mg tablet, bisoprolol fumarate 5 mg tablet, atorvastatin 20 mg tablet, valsartan 80 mg tablet, insulin glargine 300 international units/mL injection, 1.5 mL prefilled pen, Insulin Pen Needle 4mm Needle [sc], calcium carbonate 600 mg - colecalciferol 200 international units Film coated tablets [oral], vitamin B complex (B1,B6,B12) 100,100,0.15 mg Film coated tablets [oral], metFORMIN hydrochloride 750 mg tablet: modified release, insulin aspart 100 international units/mL injection, 3 mL prefilled pen, SITagliptin 100 mg tablet, bisoprolol fumarate 5 mg tablet, atorvastatin 20 mg tablet, metFORMIN hydrochloride 750 mg tablet: modified release, metFORMIN hydrochloride 750 mg tablet: modified release, metFORMIN hydrochloride 750 mg tablet: modified release, metFORMIN hydrochloride 750 mg tablet: modified release, metFORMIN hydrochloride 750 mg tablet: modified release, Insulin Pen Needle 4mm Needle [sc], vitamin B complex (B1,B6,B12) 100,100,0.15 mg Film coated tablets [oral], bisoprolol fumarate 5 mg tablet, Insulin Pen Needle 4mm Needle [sc], vitamin B complex (B1,B6,B12) 100,100,0.15 mg Film coated tablets [oral], bisoprolol fumarate 5 mg tablet, Insulin Pen Needle 4mm Needle [sc], vitamin B complex (B1,B6,B12) 100,100,0.15 mg Film coated tablets [oral], bisoprolol fumarate 5 mg tablet, Insulin Pen Needle 4mm Needle [sc], vitamin B complex (B1,B6,B12) 100,100,0.15 mg Film coated tablets [oral], bisoprolol fumarate 5 mg tablet, Insulin Pen Needle 4mm Needle [sc], vitamin B complex (B1,B6,B12) 100,100,0.15 mg Film coated tablets [oral], bisoprolol fumarate 5 mg tablet, insulin aspart 100 international units/mL injection, 3 mL prefilled pen, SITagliptin 100 mg tablet, valsartan 80 mg tablet, insulin aspart 100 international units/mL injection, 3 mL prefilled pen, SITagliptin 100 mg tablet, valsartan 80 mg tablet, insulin aspart 100 international units/mL injection, 3 mL prefilled pen, SITagliptin 100 mg tablet, valsartan 80 mg tablet, insulin aspart 100 international units/mL injection, 3 mL prefilled pen, SITagliptin 100 mg tablet, valsartan 80 mg tablet, insulin aspart 100 international units/mL injection, 3 mL prefilled pen, SITagliptin 100 mg tablet, valsartan 80 mg tablet, calcium carbonate 600 mg - colecalciferol 200 international units Film coated tablets [oral], insulin glargine 300 international units/mL injection, 1.5 mL prefilled pen, atorvastatin 20 mg tablet, calcium carbonate 600 mg - colecalciferol 200 international units Film coated tablets [oral], insulin glargine 300 international units/mL injection, 1.5 mL prefilled pen, atorvastatin 20 mg tablet, calcium carbonate 600 mg - colecalciferol 200 international units Film coated tablets [oral], insulin glargine 300 international units/mL injection, 1.5 mL prefilled pen, atorvastatin 20 mg tablet, calcium carbonate 600 mg - colecalciferol 200 international units Film coated tablets [oral], insulin glargine 300 international units/mL injection, 1.5 mL prefilled pen, atorvastatin 20 mg tablet, calcium carbonate 600 mg - colecalciferol 200 international units Film coated tablets [oral], insulin glargine 300 international units/mL injection, 1.5 mL prefilled pen, atorvastatin 20 mg tablet, valsartan 80 mg tablet, vitamin B complex (B1,B6,B12) 100,100,0.15 mg Film coated tablets [oral], valsartan 80 mg tablet, vitamin B complex (B1,B6,B12) 100,100,0.15 mg Film coated tablets [oral], valsartan 80 mg tablet, vitamin B complex (B1,B6,B12) 100,100,0.15 mg Film coated tablets [oral], valsartan 80 mg tablet, vitamin B complex (B1,B6,B12) 100,100,0.15 mg Film coated tablets [oral], valsartan 80 mg tablet, vitamin B complex (B1,B6,B12) 100,100,0.15 mg Film coated tablets [oral], calcium carbonate 600 mg - colecalciferol 200 international units Film coated tablets [oral], Insulin Pen Needle 4mm Needle [sc], SITagliptin 100 mg tablet, calcium carbonate 600 mg - colecalciferol 200 international units Film coated tablets [oral], Insulin Pen Needle 4mm Needle [sc], SITagliptin 100 mg tablet, calcium carbonate 600 mg - colecalciferol 200 international units Film coated tablets [oral], Insulin Pen Needle 4mm Needle [sc], SITagliptin 100 mg tablet, calcium carbonate 600 mg - colecalciferol 200 international units Film coated tablets [oral], Insulin Pen Needle 4mm Needle [sc], SITagliptin 100 mg tablet, calcium carbonate 600 mg - colecalciferol 200 international units Film coated tablets [oral], Insulin Pen Needle 4mm Needle [sc], SITagliptin 100 mg tablet</t>
  </si>
  <si>
    <t>عبدالعالي عبيد مفلح السلمي</t>
  </si>
  <si>
    <t>Strips (Accu-Check), Lancets (Accu-Check), SITagliptin, empagliflozin, insulin glargine, Insulin Pen Needle, atorvastatin, metFORMIN hydrochloride</t>
  </si>
  <si>
    <t>Strips (Accu-Check) 1 box Strip [n/a], Lancets (Accu-Check) 1 box Lancets [n/a], Strips (Accu-Check) 1 box Strip [n/a], Lancets (Accu-Check) 1 box Lancets [n/a], Strips (Accu-Check) 1 box Strip [n/a], Lancets (Accu-Check) 1 box Lancets [n/a], Strips (Accu-Check) 1 box Strip [n/a], Lancets (Accu-Check) 1 box Lancets [n/a], SITagliptin 100 mg tablet, empagliflozin 25 mg tablet, SITagliptin 100 mg tablet, empagliflozin 25 mg tablet, SITagliptin 100 mg tablet, empagliflozin 25 mg tablet, SITagliptin 100 mg tablet, empagliflozin 25 mg tablet,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Insulin Pen Needle 4mm Needle [sc], atorvastatin 20 mg tablet, metFORMIN hydrochloride 750 mg tablet: modified release, atorvastatin 20 mg tablet, metFORMIN hydrochloride 750 mg tablet: modified release, atorvastatin 20 mg tablet, metFORMIN hydrochloride 750 mg tablet: modified release, atorvastatin 20 mg tablet, metFORMIN hydrochloride 750 mg tablet: modified release, SITagliptin 100 mg tablet, Insulin Pen Needle 4mm Needle [sc], metFORMIN hydrochloride 750 mg tablet: modified release, Lancets (Accu-Check) 1 box Lancets [n/a], SITagliptin 100 mg tablet, Insulin Pen Needle 4mm Needle [sc], metFORMIN hydrochloride 750 mg tablet: modified release, Lancets (Accu-Check) 1 box Lancets [n/a], SITagliptin 100 mg tablet, Insulin Pen Needle 4mm Needle [sc], metFORMIN hydrochloride 750 mg tablet: modified release, Lancets (Accu-Check) 1 box Lancets [n/a], SITagliptin 100 mg tablet, Insulin Pen Needle 4mm Needle [sc], metFORMIN hydrochloride 750 mg tablet: modified release, Lancets (Accu-Check) 1 box Lancets [n/a], atorvastatin 20 mg tablet, Strips (Accu-Check) 1 box Strip [n/a], insulin glargine 300 international units/mL injection, 1.5 mL prefilled pen, empagliflozin 25 mg tablet, atorvastatin 20 mg tablet, Strips (Accu-Check) 1 box Strip [n/a], insulin glargine 300 international units/mL injection, 1.5 mL prefilled pen, empagliflozin 25 mg tablet, atorvastatin 20 mg tablet, Strips (Accu-Check) 1 box Strip [n/a], insulin glargine 300 international units/mL injection, 1.5 mL prefilled pen, empagliflozin 25 mg tablet, atorvastatin 20 mg tablet, Strips (Accu-Check) 1 box Strip [n/a], insulin glargine 300 international units/mL injection, 1.5 mL prefilled pen, empagliflozin 25 mg tablet,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Strips (Accu-Check) 1 box Strip [n/a], Strips (Accu-Check) 1 box Strip [n/a], Strips (Accu-Check) 1 box Strip [n/a], Strips (Accu-Check) 1 box Strip [n/a], metFORMIN hydrochloride 750 mg tablet: modified release, metFORMIN hydrochloride 750 mg tablet: modified release, metFORMIN hydrochloride 750 mg tablet: modified release, metFORMIN hydrochloride 750 mg tablet: modified release, atorvastatin 20 mg tablet, atorvastatin 20 mg tablet, atorvastatin 20 mg tablet, atorvastatin 20 mg tablet, Insulin Pen Needle 4mm Needle [sc], empagliflozin 25 mg tablet, Insulin Pen Needle 4mm Needle [sc], empagliflozin 25 mg tablet, Insulin Pen Needle 4mm Needle [sc], empagliflozin 25 mg tablet, Insulin Pen Needle 4mm Needle [sc], empagliflozin 25 mg tablet, metFORMIN hydrochloride 750 mg tablet: modified release, Strips (Accu-Check) 1 box Strip [n/a], metFORMIN hydrochloride 750 mg tablet: modified release, Strips (Accu-Check) 1 box Strip [n/a], metFORMIN hydrochloride 750 mg tablet: modified release, Strips (Accu-Check) 1 box Strip [n/a], metFORMIN hydrochloride 750 mg tablet: modified release, Strips (Accu-Check) 1 box Strip [n/a], atorvastatin 20 mg tablet, Insulin Pen Needle 4mm Needle [sc], atorvastatin 20 mg tablet, Insulin Pen Needle 4mm Needle [sc], atorvastatin 20 mg tablet, Insulin Pen Needle 4mm Needle [sc], atorvastatin 20 mg tablet, Insulin Pen Needle 4mm Needle [sc], empagliflozin 25 mg tablet, empagliflozin 25 mg tablet, empagliflozin 25 mg tablet, empagliflozin 25 mg tablet, metFORMIN hydrochloride 750 mg tablet: modified release, Strips (Accu-Check) 1 box Strip [n/a], metFORMIN hydrochloride 750 mg tablet: modified release, Strips (Accu-Check) 1 box Strip [n/a], metFORMIN hydrochloride 750 mg tablet: modified release, Strips (Accu-Check) 1 box Strip [n/a], metFORMIN hydrochloride 750 mg tablet: modified release, Strips (Accu-Check) 1 box Strip [n/a]</t>
  </si>
  <si>
    <t>وداد احمد صغير المسرحي</t>
  </si>
  <si>
    <t>hydroCHLOROthiazide, carbomer, paracetamol, ofloxacin</t>
  </si>
  <si>
    <t>hydroCHLOROthiazide 25 mg tablet: scored, hydroCHLOROthiazide 25 mg tablet: scored, hydroCHLOROthiazide 25 mg tablet: scored, hydroCHLOROthiazide 25 mg tablet: scored, carbomer 0.2% (2 mg/g) eye gel, carbomer 0.2% (2 mg/g) eye gel, carbomer 0.2% (2 mg/g) eye gel, carbomer 0.2% (2 mg/g) eye gel, paracetamol 500 mg tablet, ofloxacin 0.3% (3 mg/mL) eye drops, paracetamol 500 mg tablet, ofloxacin 0.3% (3 mg/mL) eye drops, paracetamol 500 mg tablet, ofloxacin 0.3% (3 mg/mL) eye drops, paracetamol 500 mg tablet, ofloxacin 0.3% (3 mg/mL) eye drops, hydroCHLOROthiazide 25 mg tablet: scored, paracetamol 500 mg tablet, hydroCHLOROthiazide 25 mg tablet: scored, paracetamol 500 mg tablet, hydroCHLOROthiazide 25 mg tablet: scored, paracetamol 500 mg tablet, hydroCHLOROthiazide 25 mg tablet: scored, paracetamol 500 mg tablet, carbomer 0.2% (2 mg/g) eye gel, carbomer 0.2% (2 mg/g) eye gel, carbomer 0.2% (2 mg/g) eye gel, carbomer 0.2% (2 mg/g) eye gel, ofloxacin 0.3% (3 mg/mL) eye drops, ofloxacin 0.3% (3 mg/mL) eye drops, ofloxacin 0.3% (3 mg/mL) eye drops, ofloxacin 0.3% (3 mg/mL) eye drops, carbomer 0.2% (2 mg/g) eye gel, carbomer 0.2% (2 mg/g) eye gel, carbomer 0.2% (2 mg/g) eye gel, carbomer 0.2% (2 mg/g) eye gel, ofloxacin 0.3% (3 mg/mL) eye drops, ofloxacin 0.3% (3 mg/mL) eye drops, ofloxacin 0.3% (3 mg/mL) eye drops, ofloxacin 0.3% (3 mg/mL) eye drops, paracetamol 500 mg tablet, hydroCHLOROthiazide 25 mg tablet: scored, paracetamol 500 mg tablet, hydroCHLOROthiazide 25 mg tablet: scored, paracetamol 500 mg tablet, hydroCHLOROthiazide 25 mg tablet: scored, paracetamol 500 mg tablet, hydroCHLOROthiazide 25 mg tablet: scored</t>
  </si>
  <si>
    <t>زينة منصور محمد الشمري</t>
  </si>
  <si>
    <t>عطيه عبدالله عابد المالكي</t>
  </si>
  <si>
    <t>lidocaine hydrochloride, vitamins (A, B, C, D, paracetamol, fusidic acid</t>
  </si>
  <si>
    <t>lidocaine hydrochloride 2% (20 mg/g) + tribenoside 5% (50 mg/g) rectal ointment, lidocaine hydrochloride 2% (20 mg/g) + tribenoside 5% (50 mg/g) rectal ointment, lidocaine hydrochloride 2% (20 mg/g) + tribenoside 5% (50 mg/g) rectal ointment, lidocaine hydrochloride 2% (20 mg/g) + tribenoside 5% (50 mg/g) rectal ointment, vitamins (A, B1, B2, B3, C, D3) tablet, vitamins (A, B1, B2, B3, C, D3) tablet, vitamins (A, B1, B2, B3, C, D3) tablet, vitamins (A, B1, B2, B3, C, D3) tablet, paracetamol 500 mg tablet, paracetamol 500 mg tablet, paracetamol 500 mg tablet, paracetamol 500 mg tablet, fusidic acid 2% (20 mg/g) cream, fusidic acid 2% (20 mg/g) cream, fusidic acid 2% (20 mg/g) cream, fusidic acid 2% (20 mg/g) cream, lidocaine hydrochloride 2% (20 mg/g) + tribenoside 5% (50 mg/g) rectal ointment, lidocaine hydrochloride 2% (20 mg/g) + tribenoside 5% (50 mg/g) rectal ointment, lidocaine hydrochloride 2% (20 mg/g) + tribenoside 5% (50 mg/g) rectal ointment, lidocaine hydrochloride 2% (20 mg/g) + tribenoside 5% (50 mg/g) rectal ointment, vitamins (A, B1, B2, B3, C, D3) tablet, vitamins (A, B1, B2, B3, C, D3) tablet, vitamins (A, B1, B2, B3, C, D3) tablet, vitamins (A, B1, B2, B3, C, D3) tablet, paracetamol 500 mg tablet, fusidic acid 2% (20 mg/g) cream, paracetamol 500 mg tablet, fusidic acid 2% (20 mg/g) cream, paracetamol 500 mg tablet, fusidic acid 2% (20 mg/g) cream, paracetamol 500 mg tablet, fusidic acid 2% (20 mg/g) cream, fusidic acid 2% (20 mg/g) cream, fusidic acid 2% (20 mg/g) cream, fusidic acid 2% (20 mg/g) cream, fusidic acid 2% (20 mg/g) cream, paracetamol 500 mg tablet, paracetamol 500 mg tablet, paracetamol 500 mg tablet, paracetamol 500 mg tablet, lidocaine hydrochloride 2% (20 mg/g) + tribenoside 5% (50 mg/g) rectal ointment, vitamins (A, B1, B2, B3, C, D3) tablet, lidocaine hydrochloride 2% (20 mg/g) + tribenoside 5% (50 mg/g) rectal ointment, vitamins (A, B1, B2, B3, C, D3) tablet, lidocaine hydrochloride 2% (20 mg/g) + tribenoside 5% (50 mg/g) rectal ointment, vitamins (A, B1, B2, B3, C, D3) tablet, lidocaine hydrochloride 2% (20 mg/g) + tribenoside 5% (50 mg/g) rectal ointment, vitamins (A, B1, B2, B3, C, D3) tablet, paracetamol 500 mg tablet, fusidic acid 2% (20 mg/g) cream, lidocaine hydrochloride 2% (20 mg/g) + tribenoside 5% (50 mg/g) rectal ointment, vitamins (A, B1, B2, B3, C, D3) tablet, paracetamol 500 mg tablet, fusidic acid 2% (20 mg/g) cream, lidocaine hydrochloride 2% (20 mg/g) + tribenoside 5% (50 mg/g) rectal ointment, vitamins (A, B1, B2, B3, C, D3) tablet, paracetamol 500 mg tablet, fusidic acid 2% (20 mg/g) cream, lidocaine hydrochloride 2% (20 mg/g) + tribenoside 5% (50 mg/g) rectal ointment, vitamins (A, B1, B2, B3, C, D3) tablet, paracetamol 500 mg tablet, fusidic acid 2% (20 mg/g) cream, lidocaine hydrochloride 2% (20 mg/g) + tribenoside 5% (50 mg/g) rectal ointment, vitamins (A, B1, B2, B3, C, D3) tablet, paracetamol 500 mg tablet, paracetamol 500 mg tablet, paracetamol 500 mg tablet, paracetamol 500 mg tablet, fusidic acid 2% (20 mg/g) cream, paracetamol 500 mg tablet, fusidic acid 2% (20 mg/g) cream, paracetamol 500 mg tablet, fusidic acid 2% (20 mg/g) cream, paracetamol 500 mg tablet, fusidic acid 2% (20 mg/g) cream, paracetamol 500 mg tablet, vitamins (A, B1, B2, B3, C, D3) tablet, lidocaine hydrochloride 2% (20 mg/g) + tribenoside 5% (50 mg/g) rectal ointment, vitamins (A, B1, B2, B3, C, D3) tablet, lidocaine hydrochloride 2% (20 mg/g) + tribenoside 5% (50 mg/g) rectal ointment, vitamins (A, B1, B2, B3, C, D3) tablet, lidocaine hydrochloride 2% (20 mg/g) + tribenoside 5% (50 mg/g) rectal ointment, vitamins (A, B1, B2, B3, C, D3) tablet, lidocaine hydrochloride 2% (20 mg/g) + tribenoside 5% (50 mg/g) rectal ointment</t>
  </si>
  <si>
    <t>هنادي عيد عواد الحربي</t>
  </si>
  <si>
    <t>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t>
  </si>
  <si>
    <t>حنان عبدالله علي الغامدي</t>
  </si>
  <si>
    <t>empagliflozin, vitamin B complex (B, B, atorvastatin, fenofibrate, metFORMIN hydrochloride</t>
  </si>
  <si>
    <t>empagliflozin 10 mg tablet, empagliflozin 10 mg tablet, empagliflozin 10 mg tablet, empagliflozin 10 mg tablet, empagliflozin 10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atorvastatin 10 mg tablet, fenofibrate 145 mg tablet, atorvastatin 10 mg tablet, fenofibrate 145 mg tablet, atorvastatin 10 mg tablet, fenofibrate 145 mg tablet, atorvastatin 10 mg tablet, fenofibrate 145 mg tablet, atorvastatin 10 mg tablet, fenofibrate 145 mg tablet, metFORMIN hydrochloride 500 mg tablet, metFORMIN hydrochloride 500 mg tablet, metFORMIN hydrochloride 500 mg tablet, metFORMIN hydrochloride 500 mg tablet, metFORMIN hydrochloride 500 mg tablet, atorvastatin 10 mg tablet, empagliflozin 10 mg tablet, fenofibrate 145 mg tablet, atorvastatin 10 mg tablet, empagliflozin 10 mg tablet, fenofibrate 145 mg tablet, atorvastatin 10 mg tablet, empagliflozin 10 mg tablet, fenofibrate 145 mg tablet, atorvastatin 10 mg tablet, empagliflozin 10 mg tablet, fenofibrate 145 mg tablet, atorvastatin 10 mg tablet, empagliflozin 10 mg tablet, fenofibrate 145 mg tablet, metFORMIN hydrochloride 500 mg tablet, metFORMIN hydrochloride 500 mg tablet, metFORMIN hydrochloride 500 mg tablet, metFORMIN hydrochloride 500 mg tablet, metFORMIN hydrochloride 500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fenofibrate 145 mg tablet, fenofibrate 145 mg tablet, fenofibrate 145 mg tablet, fenofibrate 145 mg tablet, fenofibrate 145 mg tablet, empagliflozin 10 mg tablet, vitamin B complex (B1,B6,B12) 100,200,0.2 mg Film coated tablets [oral], atorvastatin 10 mg tablet, metFORMIN hydrochloride 500 mg tablet, empagliflozin 10 mg tablet, vitamin B complex (B1,B6,B12) 100,200,0.2 mg Film coated tablets [oral], atorvastatin 10 mg tablet, metFORMIN hydrochloride 500 mg tablet, empagliflozin 10 mg tablet, vitamin B complex (B1,B6,B12) 100,200,0.2 mg Film coated tablets [oral], atorvastatin 10 mg tablet, metFORMIN hydrochloride 500 mg tablet, empagliflozin 10 mg tablet, vitamin B complex (B1,B6,B12) 100,200,0.2 mg Film coated tablets [oral], atorvastatin 10 mg tablet, metFORMIN hydrochloride 500 mg tablet, empagliflozin 10 mg tablet, vitamin B complex (B1,B6,B12) 100,200,0.2 mg Film coated tablets [oral], atorvastatin 10 mg tablet, metFORMIN hydrochloride 500 mg tablet, atorvastatin 10 mg tablet, atorvastatin 10 mg tablet, atorvastatin 10 mg tablet, atorvastatin 10 mg tablet, atorvastatin 10 mg tablet, metFORMIN hydrochloride 500 mg tablet, metFORMIN hydrochloride 500 mg tablet, metFORMIN hydrochloride 500 mg tablet, metFORMIN hydrochloride 500 mg tablet, metFORMIN hydrochloride 500 mg tablet, empagliflozin 10 mg tablet, vitamin B complex (B1,B6,B12) 100,200,0.2 mg Film coated tablets [oral], empagliflozin 10 mg tablet, vitamin B complex (B1,B6,B12) 100,200,0.2 mg Film coated tablets [oral], empagliflozin 10 mg tablet, vitamin B complex (B1,B6,B12) 100,200,0.2 mg Film coated tablets [oral], empagliflozin 10 mg tablet, vitamin B complex (B1,B6,B12) 100,200,0.2 mg Film coated tablets [oral], empagliflozin 10 mg tablet, vitamin B complex (B1,B6,B12) 100,200,0.2 mg Film coated tablets [oral], fenofibrate 145 mg tablet, fenofibrate 145 mg tablet, fenofibrate 145 mg tablet, fenofibrate 145 mg tablet, fenofibrate 145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empagliflozin 10 mg tablet, empagliflozin 10 mg tablet, empagliflozin 10 mg tablet, empagliflozin 10 mg tablet, empagliflozin 10 mg tablet, metFORMIN hydrochloride 500 mg tablet, metFORMIN hydrochloride 500 mg tablet, metFORMIN hydrochloride 500 mg tablet, metFORMIN hydrochloride 500 mg tablet, metFORMIN hydrochloride 500 mg tablet, fenofibrate 145 mg tablet, fenofibrate 145 mg tablet, fenofibrate 145 mg tablet, fenofibrate 145 mg tablet, fenofibrate 145 mg tablet, empagliflozin 10 mg tablet, empagliflozin 10 mg tablet, empagliflozin 10 mg tablet, empagliflozin 10 mg tablet, empagliflozin 10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atorvastatin 10 mg tablet, fenofibrate 145 mg tablet, atorvastatin 10 mg tablet, fenofibrate 145 mg tablet, atorvastatin 10 mg tablet, fenofibrate 145 mg tablet, atorvastatin 10 mg tablet, fenofibrate 145 mg tablet, atorvastatin 10 mg tablet, fenofibrate 145 mg tablet, metFORMIN hydrochloride 500 mg tablet, metFORMIN hydrochloride 500 mg tablet, metFORMIN hydrochloride 500 mg tablet, metFORMIN hydrochloride 500 mg tablet, metFORMIN hydrochloride 500 mg tablet, vitamin B complex (B1,B6,B12) 100,200,0.2 mg Film coated tablets [oral], fenofibrate 145 mg tablet, vitamin B complex (B1,B6,B12) 100,200,0.2 mg Film coated tablets [oral], fenofibrate 145 mg tablet, vitamin B complex (B1,B6,B12) 100,200,0.2 mg Film coated tablets [oral], fenofibrate 145 mg tablet, vitamin B complex (B1,B6,B12) 100,200,0.2 mg Film coated tablets [oral], fenofibrate 145 mg tablet, vitamin B complex (B1,B6,B12) 100,200,0.2 mg Film coated tablets [oral], fenofibrate 145 mg tablet, metFORMIN hydrochloride 500 mg tablet, metFORMIN hydrochloride 500 mg tablet, metFORMIN hydrochloride 500 mg tablet, metFORMIN hydrochloride 500 mg tablet, metFORMIN hydrochloride 500 mg tablet</t>
  </si>
  <si>
    <t>سويعد بن معيتق بن مزبن السلمي</t>
  </si>
  <si>
    <t>acetylsalicylic acid, amLODIPine</t>
  </si>
  <si>
    <t>acetylsalicylic acid 100 mg tablet: enteric coated, amLODIPine 10 mg capsule, acetylsalicylic acid 100 mg tablet: enteric coated, amLODIPine 10 mg capsule, acetylsalicylic acid 100 mg tablet: enteric coated, amLODIPine 10 mg capsule, acetylsalicylic acid 100 mg tablet: enteric coated, amLODIPine 10 mg capsule, acetylsalicylic acid 100 mg tablet: enteric coated, acetylsalicylic acid 100 mg tablet: enteric coated, acetylsalicylic acid 100 mg tablet: enteric coated, acetylsalicylic acid 100 mg tablet: enteric coated, amLODIPine 10 mg capsule, amLODIPine 10 mg capsule, amLODIPine 10 mg capsule, amLODIPine 10 mg capsule, acetylsalicylic acid 100 mg tablet: enteric coated, acetylsalicylic acid 100 mg tablet: enteric coated, acetylsalicylic acid 100 mg tablet: enteric coated, acetylsalicylic acid 100 mg tablet: enteric coated, amLODIPine 10 mg capsule, amLODIPine 10 mg capsule, amLODIPine 10 mg capsule, amLODIPine 10 mg capsule</t>
  </si>
  <si>
    <t>Antiplatelet, Hypertension</t>
  </si>
  <si>
    <t>خالد ابراهيم عبدالله الطريف</t>
  </si>
  <si>
    <t>hydroCHLOROthiazide, valsartan</t>
  </si>
  <si>
    <t>hydroCHLOROthiazide 25 mg tablet: scored, hydroCHLOROthiazide 25 mg tablet: scored, hydroCHLOROthiazide 25 mg tablet: scored, hydroCHLOROthiazide 25 mg tablet: scored, valsartan 80 mg tablet, valsartan 80 mg tablet, valsartan 80 mg tablet, valsartan 80 mg tablet, valsartan 80 mg tablet, hydroCHLOROthiazide 25 mg tablet: scored, valsartan 80 mg tablet, hydroCHLOROthiazide 25 mg tablet: scored, valsartan 80 mg tablet, hydroCHLOROthiazide 25 mg tablet: scored, valsartan 80 mg tablet, hydroCHLOROthiazide 25 mg tablet: scored, valsartan 80 mg tablet, valsartan 80 mg tablet, valsartan 80 mg tablet, valsartan 80 mg tablet, hydroCHLOROthiazide 25 mg tablet: scored, hydroCHLOROthiazide 25 mg tablet: scored, hydroCHLOROthiazide 25 mg tablet: scored, hydroCHLOROthiazide 25 mg tablet: scored, hydroCHLOROthiazide 25 mg tablet: scored, hydroCHLOROthiazide 25 mg tablet: scored, hydroCHLOROthiazide 25 mg tablet: scored, hydroCHLOROthiazide 25 mg tablet: scored, valsartan 80 mg tablet, valsartan 80 mg tablet, valsartan 80 mg tablet, valsartan 80 mg tablet, valsartan 80 mg tablet, valsartan 80 mg tablet, valsartan 80 mg tablet, valsartan 80 mg tablet, hydroCHLOROthiazide 25 mg tablet: scored, hydroCHLOROthiazide 25 mg tablet: scored, hydroCHLOROthiazide 25 mg tablet: scored, hydroCHLOROthiazide 25 mg tablet: scored</t>
  </si>
  <si>
    <t>خيرو محمد خيرو الحافي</t>
  </si>
  <si>
    <t>SITagliptin 100 mg tablet, SITagliptin 100 mg tablet, SITagliptin 100 mg tablet, SITagliptin 100 mg tablet, SITagliptin 100 mg tablet, SITagliptin 100 mg tablet, SITagliptin 100 mg tablet, SITagliptin 100 mg tablet, SITagliptin 100 mg tablet, SITagliptin 100 mg tablet, SITagliptin 100 mg tablet, SITagliptin 100 mg tablet, SITagliptin 100 mg tablet, SITagliptin 100 mg tablet, SITagliptin 100 mg tablet</t>
  </si>
  <si>
    <t>رافعه حسن صالح العمري</t>
  </si>
  <si>
    <t>colecalciferol, vitamins (A, B, C, D, paracetamol, rosuvastatin</t>
  </si>
  <si>
    <t>colecalciferol 50 000 international units tablet, vitamins (A, B1, B2, B3, C, D3) tablet, colecalciferol 50 000 international units tablet, vitamins (A, B1, B2, B3, C, D3) tablet, colecalciferol 50 000 international units tablet, vitamins (A, B1, B2, B3, C, D3) tablet, colecalciferol 50 000 international units tablet, vitamins (A, B1, B2, B3, C, D3) tablet, paracetamol 500 mg tablet, paracetamol 500 mg tablet, paracetamol 500 mg tablet, paracetamol 500 mg tablet, rosuvastatin 10 mg tablet, rosuvastatin 10 mg tablet, rosuvastatin 10 mg tablet, rosuvastatin 10 mg tablet, colecalciferol 50 000 international units tablet, colecalciferol 50 000 international units tablet, colecalciferol 50 000 international units tablet, colecalciferol 50 000 international units tablet, rosuvastatin 10 mg tablet, paracetamol 500 mg tablet, rosuvastatin 10 mg tablet, paracetamol 500 mg tablet, rosuvastatin 10 mg tablet, paracetamol 500 mg tablet, rosuvastatin 10 mg tablet, paracetamol 500 mg tablet, vitamins (A, B1, B2, B3, C, D3) tablet, vitamins (A, B1, B2, B3, C, D3) tablet, vitamins (A, B1, B2, B3, C, D3) tablet, vitamins (A, B1, B2, B3, C, D3) tablet</t>
  </si>
  <si>
    <t>اسماعيل احمد اسماعيل كنداسه</t>
  </si>
  <si>
    <t>SITagliptin, perindopril arginine, omeprazole, gliclazide, metFORMIN hydrochloride, tamsulosin hydrochloride, vitamin B complex (B, B, insulin glargine (lantus), empagliflozin</t>
  </si>
  <si>
    <t>SITagliptin 100 mg tablet, perindopril arginine 5 mg tablet, SITagliptin 100 mg tablet, perindopril arginine 5 mg tablet, omeprazole 20 mg tablet: enteric coated, omeprazole 20 mg tablet: enteric coated, gliclazide 30 mg tablet: modified release, gliclazide 30 mg tablet: modified release, metFORMIN hydrochloride 500 mg tablet, tamsulosin hydrochloride 400 microgram tablet: modified release, vitamin B complex (B1,B6,B12) 100,200,0.2 mg Film coated tablets [oral], insulin glargine (lantus) 100 international units/mL injection, 3 mL prefilled pen, empagliflozin 25 mg tablet, metFORMIN hydrochloride 500 mg tablet, tamsulosin hydrochloride 400 microgram tablet: modified release, vitamin B complex (B1,B6,B12) 100,200,0.2 mg Film coated tablets [oral], insulin glargine (lantus) 100 international units/mL injection, 3 mL prefilled pen, empagliflozin 25 mg tablet, atorvastatin 20 mg tablet, atorvastatin 20 mg tablet, gliclazide 30 mg tablet: modified release, atorvastatin 20 mg tablet, insulin glargine (lantus) 100 international units/mL injection, 3 mL prefilled pen, gliclazide 30 mg tablet: modified release, atorvastatin 20 mg tablet, insulin glargine (lantus) 100 international units/mL injection, 3 mL prefilled pen, SITagliptin 100 mg tablet, tamsulosin hydrochloride 400 microgram tablet: modified release, omeprazole 20 mg tablet: enteric coated, perindopril arginine 5 mg tablet, SITagliptin 100 mg tablet, tamsulosin hydrochloride 400 microgram tablet: modified release, omeprazole 20 mg tablet: enteric coated, perindopril arginine 5 mg tablet, metFORMIN hydrochloride 500 mg tablet, empagliflozin 25 mg tablet, vitamin B complex (B1,B6,B12) 100,200,0.2 mg Film coated tablets [oral], metFORMIN hydrochloride 500 mg tablet, empagliflozin 25 mg tablet, vitamin B complex (B1,B6,B12) 100,200,0.2 mg Film coated tablets [oral], perindopril arginine 5 mg tablet, SITagliptin 100 mg tablet, perindopril arginine 5 mg tablet, SITagliptin 100 mg tablet, omeprazole 20 mg tablet: enteric coated, omeprazole 20 mg tablet: enteric coated, gliclazide 30 mg tablet: modified release, tamsulosin hydrochloride 400 microgram tablet: modified release, metFORMIN hydrochloride 500 mg tablet, gliclazide 30 mg tablet: modified release, tamsulosin hydrochloride 400 microgram tablet: modified release, metFORMIN hydrochloride 500 mg tablet, empagliflozin 25 mg tablet, insulin glargine (lantus) 100 international units/mL injection, 3 mL prefilled pen, empagliflozin 25 mg tablet, insulin glargine (lantus) 100 international units/mL injection, 3 mL prefilled pen, vitamin B complex (B1,B6,B12) 100,200,0.2 mg Film coated tablets [oral], atorvastatin 20 mg tablet, vitamin B complex (B1,B6,B12) 100,200,0.2 mg Film coated tablets [oral], atorvastatin 20 mg tablet</t>
  </si>
  <si>
    <t>فهد بن محمد بن سعد ال جمعان</t>
  </si>
  <si>
    <t>amLODIPine, chlorzoxazone, ibuprofen, diclofenac sodium</t>
  </si>
  <si>
    <t>amLODIPine 5 mg tablet, chlorzoxazone 250 mg + paracetamol 300 mg capsule, ibuprofen 400 mg tablet, diclofenac sodium 1% (10 mg/g) gel, amLODIPine 5 mg tablet, chlorzoxazone 250 mg + paracetamol 300 mg capsule, ibuprofen 400 mg tablet, diclofenac sodium 1% (10 mg/g) gel, amLODIPine 5 mg tablet, chlorzoxazone 250 mg + paracetamol 300 mg capsule, ibuprofen 400 mg tablet, diclofenac sodium 1% (10 mg/g) gel, amLODIPine 5 mg tablet, chlorzoxazone 250 mg + paracetamol 300 mg capsule, ibuprofen 400 mg tablet, diclofenac sodium 1% (10 mg/g) gel, amLODIPine 5 mg tablet, chlorzoxazone 250 mg + paracetamol 300 mg capsule, ibuprofen 400 mg tablet, diclofenac sodium 1% (10 mg/g) gel, amLODIPine 5 mg tablet, chlorzoxazone 250 mg + paracetamol 300 mg capsule, ibuprofen 400 mg tablet, diclofenac sodium 1% (10 mg/g) gel, amLODIPine 5 mg tablet, chlorzoxazone 250 mg + paracetamol 300 mg capsule, ibuprofen 400 mg tablet, diclofenac sodium 1% (10 mg/g) gel, amLODIPine 5 mg tablet, chlorzoxazone 250 mg + paracetamol 300 mg capsule, ibuprofen 400 mg tablet, diclofenac sodium 1% (10 mg/g) gel, amLODIPine 5 mg tablet, chlorzoxazone 250 mg + paracetamol 300 mg capsule, ibuprofen 400 mg tablet, diclofenac sodium 1% (10 mg/g) gel, ibuprofen 400 mg tablet, chlorzoxazone 250 mg + paracetamol 300 mg capsule, ibuprofen 400 mg tablet, chlorzoxazone 250 mg + paracetamol 300 mg capsule, ibuprofen 400 mg tablet, chlorzoxazone 250 mg + paracetamol 300 mg capsule, ibuprofen 400 mg tablet, chlorzoxazone 250 mg + paracetamol 300 mg capsule, ibuprofen 400 mg tablet, chlorzoxazone 250 mg + paracetamol 300 mg capsule, ibuprofen 400 mg tablet, chlorzoxazone 250 mg + paracetamol 300 mg capsule, ibuprofen 400 mg tablet, chlorzoxazone 250 mg + paracetamol 300 mg capsule, ibuprofen 400 mg tablet, chlorzoxazone 250 mg + paracetamol 300 mg capsule, ibuprofen 400 mg tablet, chlorzoxazone 250 mg + paracetamol 300 mg capsule, amLODIPine 5 mg tablet, amLODIPine 5 mg tablet, amLODIPine 5 mg tablet, amLODIPine 5 mg tablet, amLODIPine 5 mg tablet, amLODIPine 5 mg tablet, amLODIPine 5 mg tablet, amLODIPine 5 mg tablet, amLODIPine 5 mg tablet, ibuprofen 400 mg tablet, ibuprofen 400 mg tablet, ibuprofen 400 mg tablet, ibuprofen 400 mg tablet, ibuprofen 400 mg tablet, ibuprofen 400 mg tablet, ibuprofen 400 mg tablet, ibuprofen 400 mg tablet, ibuprofen 400 mg tablet, amLODIPine 5 mg tablet, chlorzoxazone 250 mg + paracetamol 300 mg capsule, amLODIPine 5 mg tablet, chlorzoxazone 250 mg + paracetamol 300 mg capsule, amLODIPine 5 mg tablet, chlorzoxazone 250 mg + paracetamol 300 mg capsule, amLODIPine 5 mg tablet, chlorzoxazone 250 mg + paracetamol 300 mg capsule, amLODIPine 5 mg tablet, chlorzoxazone 250 mg + paracetamol 300 mg capsule, amLODIPine 5 mg tablet, chlorzoxazone 250 mg + paracetamol 300 mg capsule, amLODIPine 5 mg tablet, chlorzoxazone 250 mg + paracetamol 300 mg capsule, amLODIPine 5 mg tablet, chlorzoxazone 250 mg + paracetamol 300 mg capsule, amLODIPine 5 mg tablet, chlorzoxazone 250 mg + paracetamol 300 mg capsule,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ibuprofen 400 mg tablet, diclofenac sodium 1% (10 mg/g) gel, ibuprofen 400 mg tablet, diclofenac sodium 1% (10 mg/g) gel, ibuprofen 400 mg tablet, diclofenac sodium 1% (10 mg/g) gel, ibuprofen 400 mg tablet, diclofenac sodium 1% (10 mg/g) gel, ibuprofen 400 mg tablet, diclofenac sodium 1% (10 mg/g) gel, ibuprofen 400 mg tablet, diclofenac sodium 1% (10 mg/g) gel, ibuprofen 400 mg tablet, diclofenac sodium 1% (10 mg/g) gel, ibuprofen 400 mg tablet, diclofenac sodium 1% (10 mg/g) gel, ibuprofen 400 mg tablet, amLODIPine 5 mg tablet, chlorzoxazone 250 mg + paracetamol 300 mg capsule, amLODIPine 5 mg tablet, chlorzoxazone 250 mg + paracetamol 300 mg capsule, amLODIPine 5 mg tablet, chlorzoxazone 250 mg + paracetamol 300 mg capsule, amLODIPine 5 mg tablet, chlorzoxazone 250 mg + paracetamol 300 mg capsule, amLODIPine 5 mg tablet, chlorzoxazone 250 mg + paracetamol 300 mg capsule, amLODIPine 5 mg tablet, chlorzoxazone 250 mg + paracetamol 300 mg capsule, amLODIPine 5 mg tablet, chlorzoxazone 250 mg + paracetamol 300 mg capsule, amLODIPine 5 mg tablet, chlorzoxazone 250 mg + paracetamol 300 mg capsule, amLODIPine 5 mg tablet, chlorzoxazone 250 mg + paracetamol 300 mg capsule</t>
  </si>
  <si>
    <t>عليه احمد مرضي الزهراني</t>
  </si>
  <si>
    <t>insulin glargine, atorvastatin, paracetamol, vitamin B complex (B, B, empagliflozin, gliclazide, cetirizine hydrochloride, Insulin Pen Needle, valsartan</t>
  </si>
  <si>
    <t>insulin glargine 300 international units/mL injection, 1.5 mL prefilled pen, insulin glargine 300 international units/mL injection, 1.5 mL prefilled pen, insulin glargine 300 international units/mL injection, 1.5 mL prefilled pen, atorvastatin 20 mg tablet, paracetamol 500 mg tablet, vitamin B complex (B1,B6,B12) 100,200,0.2 mg Film coated tablets [oral], empagliflozin 10 mg tablet, atorvastatin 20 mg tablet, paracetamol 500 mg tablet, vitamin B complex (B1,B6,B12) 100,200,0.2 mg Film coated tablets [oral], empagliflozin 10 mg tablet, atorvastatin 20 mg tablet, paracetamol 500 mg tablet, vitamin B complex (B1,B6,B12) 100,200,0.2 mg Film coated tablets [oral], empagliflozin 10 mg tablet, gliclazide 60 mg tablet: modified release, cetirizine hydrochloride 10 mg tablet, gliclazide 60 mg tablet: modified release, cetirizine hydrochloride 10 mg tablet, gliclazide 60 mg tablet: modified release, cetirizine hydrochloride 10 mg tablet, Insulin Pen Needle 4mm Needle [sc], valsartan 80 mg tablet, Insulin Pen Needle 4mm Needle [sc], valsartan 80 mg tablet, Insulin Pen Needle 4mm Needle [sc], valsartan 80 mg tablet, metFORMIN hydrochloride 750 mg tablet: modified release, metFORMIN hydrochloride 750 mg tablet: modified release, metFORMIN hydrochloride 750 mg tablet: modified release, vitamin B complex (B1,B6,B12) 100,200,0.2 mg Film coated tablets [oral], insulin glargine 300 international units/mL injection, 1.5 mL prefilled pen, vitamin B complex (B1,B6,B12) 100,200,0.2 mg Film coated tablets [oral], insulin glargine 300 international units/mL injection, 1.5 mL prefilled pen, vitamin B complex (B1,B6,B12) 100,200,0.2 mg Film coated tablets [oral], insulin glargine 300 international units/mL injection, 1.5 mL prefilled pen, paracetamol 500 mg tablet, gliclazide 60 mg tablet: modified release, paracetamol 500 mg tablet, gliclazide 60 mg tablet: modified release, paracetamol 500 mg tablet, gliclazide 60 mg tablet: modified release, Insulin Pen Needle 4mm Needle [sc], atorvastatin 20 mg tablet, metFORMIN hydrochloride 750 mg tablet: modified release, Insulin Pen Needle 4mm Needle [sc], atorvastatin 20 mg tablet, metFORMIN hydrochloride 750 mg tablet: modified release, Insulin Pen Needle 4mm Needle [sc], atorvastatin 20 mg tablet, metFORMIN hydrochloride 750 mg tablet: modified release, empagliflozin 10 mg tablet, valsartan 80 mg tablet, cetirizine hydrochloride 10 mg tablet, empagliflozin 10 mg tablet, valsartan 80 mg tablet, cetirizine hydrochloride 10 mg tablet, empagliflozin 10 mg tablet, valsartan 80 mg tablet, cetirizine hydrochloride 10 mg tablet</t>
  </si>
  <si>
    <t>عتيق الله محمدعلي سالم الجحدلي</t>
  </si>
  <si>
    <t>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t>
  </si>
  <si>
    <t>فاطمه جميعان صالح المطيري</t>
  </si>
  <si>
    <t>colecalciferol 5000 international units Capsules [oral], colecalciferol 5000 international units Capsules [oral], colecalciferol 5000 international units Capsules [oral]</t>
  </si>
  <si>
    <t>صفيه سعيد محمد الزهراني</t>
  </si>
  <si>
    <t>celecoxib, diclofenac sodium, valsartan, potassium chloride, SITagliptin, amLODIPine, paracetamol, indapamide</t>
  </si>
  <si>
    <t>celecoxib 200 mg capsule, diclofenac sodium 1% (10 mg/g) gel, valsartan 80 mg tablet, potassium chloride 0.0466 g - sodium chloride 0.3508 g - macrogol 13.125 g - sodium hydrogen carbonate 0.1786 g Powder for solution [oral], SITagliptin 100 mg tablet, amLODIPine 5 mg tablet, paracetamol 500 mg tablet, indapamide 1.5 mg tablet: modified release, celecoxib 200 mg capsule, diclofenac sodium 1% (10 mg/g) gel, valsartan 80 mg tablet, potassium chloride 0.0466 g - sodium chloride 0.3508 g - macrogol 13.125 g - sodium hydrogen carbonate 0.1786 g Powder for solution [oral], SITagliptin 100 mg tablet, amLODIPine 5 mg tablet, paracetamol 500 mg tablet, indapamide 1.5 mg tablet: modified release, celecoxib 200 mg capsule, diclofenac sodium 1% (10 mg/g) gel, valsartan 80 mg tablet, potassium chloride 0.0466 g - sodium chloride 0.3508 g - macrogol 13.125 g - sodium hydrogen carbonate 0.1786 g Powder for solution [oral], SITagliptin 100 mg tablet, amLODIPine 5 mg tablet, paracetamol 500 mg tablet, indapamide 1.5 mg tablet: modified release, celecoxib 200 mg capsule, diclofenac sodium 1% (10 mg/g) gel, valsartan 80 mg tablet, potassium chloride 0.0466 g - sodium chloride 0.3508 g - macrogol 13.125 g - sodium hydrogen carbonate 0.1786 g Powder for solution [oral], SITagliptin 100 mg tablet, amLODIPine 5 mg tablet, paracetamol 500 mg tablet, indapamide 1.5 mg tablet: modified release, indapamide 1.5 mg tablet: modified release, indapamide 1.5 mg tablet: modified release, indapamide 1.5 mg tablet: modified release, indapamide 1.5 mg tablet: modified release, paracetamol 500 mg tablet, paracetamol 500 mg tablet, paracetamol 500 mg tablet, paracetamol 500 mg tablet, potassium chloride 0.0466 g - sodium chloride 0.3508 g - macrogol 13.125 g - sodium hydrogen carbonate 0.1786 g Powder for solution [oral], SITagliptin 100 mg tablet, amLODIPine 5 mg tablet, celecoxib 200 mg capsule, potassium chloride 0.0466 g - sodium chloride 0.3508 g - macrogol 13.125 g - sodium hydrogen carbonate 0.1786 g Powder for solution [oral], SITagliptin 100 mg tablet, amLODIPine 5 mg tablet, celecoxib 200 mg capsule, potassium chloride 0.0466 g - sodium chloride 0.3508 g - macrogol 13.125 g - sodium hydrogen carbonate 0.1786 g Powder for solution [oral], SITagliptin 100 mg tablet, amLODIPine 5 mg tablet, celecoxib 200 mg capsule, potassium chloride 0.0466 g - sodium chloride 0.3508 g - macrogol 13.125 g - sodium hydrogen carbonate 0.1786 g Powder for solution [oral], SITagliptin 100 mg tablet, amLODIPine 5 mg tablet, celecoxib 200 mg capsule, diclofenac sodium 1% (10 mg/g) gel, valsartan 80 mg tablet, diclofenac sodium 1% (10 mg/g) gel, valsartan 80 mg tablet, diclofenac sodium 1% (10 mg/g) gel, valsartan 80 mg tablet, diclofenac sodium 1% (10 mg/g) gel, valsartan 80 mg tablet, amLODIPine 5 mg tablet, valsartan 80 mg tablet, SITagliptin 100 mg tablet, celecoxib 200 mg capsule, amLODIPine 5 mg tablet, valsartan 80 mg tablet, SITagliptin 100 mg tablet, celecoxib 200 mg capsule, amLODIPine 5 mg tablet, valsartan 80 mg tablet, SITagliptin 100 mg tablet, celecoxib 200 mg capsule, amLODIPine 5 mg tablet, valsartan 80 mg tablet, SITagliptin 100 mg tablet, celecoxib 200 mg capsule,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diclofenac sodium 1% (10 mg/g) gel, indapamide 1.5 mg tablet: modified release, diclofenac sodium 1% (10 mg/g) gel, indapamide 1.5 mg tablet: modified release, diclofenac sodium 1% (10 mg/g) gel, indapamide 1.5 mg tablet: modified release, diclofenac sodium 1% (10 mg/g) gel, indapamide 1.5 mg tablet: modified release, paracetamol 500 mg tablet, paracetamol 500 mg tablet, paracetamol 500 mg tablet, paracetamol 500 mg tablet, amLODIPine 5 mg tablet, amLODIPine 5 mg tablet, amLODIPine 5 mg tablet, amLODIPine 5 mg tablet, indapamide 1.5 mg tablet: modified release, celecoxib 200 mg capsule, indapamide 1.5 mg tablet: modified release, celecoxib 200 mg capsule, indapamide 1.5 mg tablet: modified release, celecoxib 200 mg capsule, indapamide 1.5 mg tablet: modified release, celecoxib 200 mg capsule, paracetamol 500 mg tablet, SITagliptin 100 mg tablet, paracetamol 500 mg tablet, SITagliptin 100 mg tablet, paracetamol 500 mg tablet, SITagliptin 100 mg tablet, paracetamol 500 mg tablet, SITagliptin 100 mg tablet, valsartan 80 mg tablet, diclofenac sodium 1% (10 mg/g) gel, valsartan 80 mg tablet, diclofenac sodium 1% (10 mg/g) gel, valsartan 80 mg tablet, diclofenac sodium 1% (10 mg/g) gel, valsartan 80 mg tablet, diclofenac sodium 1% (10 mg/g) gel,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amLODIPine 5 mg tablet, valsartan 80 mg tablet, SITagliptin 100 mg tablet, amLODIPine 5 mg tablet, valsartan 80 mg tablet, SITagliptin 100 mg tablet, amLODIPine 5 mg tablet, valsartan 80 mg tablet, SITagliptin 100 mg tablet, amLODIPine 5 mg tablet, valsartan 80 mg tablet, SITagliptin 100 mg tablet, celecoxib 200 mg capsule, celecoxib 200 mg capsule, celecoxib 200 mg capsule, celecoxib 200 mg capsule,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potassium chloride 0.0466 g - sodium chloride 0.3508 g - macrogol 13.125 g - sodium hydrogen carbonate 0.1786 g Powder for solution [oral], diclofenac sodium 1% (10 mg/g) gel, indapamide 1.5 mg tablet: modified release, diclofenac sodium 1% (10 mg/g) gel, indapamide 1.5 mg tablet: modified release, diclofenac sodium 1% (10 mg/g) gel, indapamide 1.5 mg tablet: modified release, diclofenac sodium 1% (10 mg/g) gel, indapamide 1.5 mg tablet: modified release, paracetamol 500 mg tablet, paracetamol 500 mg tablet, paracetamol 500 mg tablet, paracetamol 500 mg tablet</t>
  </si>
  <si>
    <t>خالد احمد سلمان الحميدي</t>
  </si>
  <si>
    <t>Lancets (Accu-Check), Glucometer Device (Accu-Chek), metFORMIN hydrochloride, empagliflozin, perindopril arginine, gliclazide, vitamin B complex (B, B, Strips (Accu-Check), SITagliptin</t>
  </si>
  <si>
    <t>Lancets (Accu-Check) 1 box Lancets [n/a], Glucometer Device (Accu-Chek) 1 device Device [n/a], metFORMIN hydrochloride 750 mg tablet: modified release, empagliflozin 25 mg tablet, perindopril arginine 5 mg tablet, Lancets (Accu-Check) 1 box Lancets [n/a], Glucometer Device (Accu-Chek) 1 device Device [n/a], metFORMIN hydrochloride 750 mg tablet: modified release, empagliflozin 25 mg tablet, perindopril arginine 5 mg tablet, Lancets (Accu-Check) 1 box Lancets [n/a], Glucometer Device (Accu-Chek) 1 device Device [n/a], metFORMIN hydrochloride 750 mg tablet: modified release, empagliflozin 25 mg tablet, perindopril arginine 5 mg tablet, Lancets (Accu-Check) 1 box Lancets [n/a], Glucometer Device (Accu-Chek) 1 device Device [n/a], metFORMIN hydrochloride 750 mg tablet: modified release, empagliflozin 25 mg tablet, perindopril arginine 5 mg tablet, gliclazide 60 mg tablet: modified release, gliclazide 60 mg tablet: modified release, gliclazide 60 mg tablet: modified release, gliclazide 60 mg tablet: modified release, vitamin B complex (B1,B6,B12) 100,100,0.15 mg Film coated tablets [oral], Strips (Accu-Check) 1 box Strip [n/a], SITagliptin 100 mg tablet, vitamin B complex (B1,B6,B12) 100,100,0.15 mg Film coated tablets [oral], Strips (Accu-Check) 1 box Strip [n/a], SITagliptin 100 mg tablet, vitamin B complex (B1,B6,B12) 100,100,0.15 mg Film coated tablets [oral], Strips (Accu-Check) 1 box Strip [n/a], SITagliptin 100 mg tablet, vitamin B complex (B1,B6,B12) 100,100,0.15 mg Film coated tablets [oral], Strips (Accu-Check) 1 box Strip [n/a], SITagliptin 100 mg tablet, Lancets (Accu-Check) 1 box Lancets [n/a], metFORMIN hydrochloride 750 mg tablet: modified release, vitamin B complex (B1,B6,B12) 100,100,0.15 mg Film coated tablets [oral], Lancets (Accu-Check) 1 box Lancets [n/a], metFORMIN hydrochloride 750 mg tablet: modified release, vitamin B complex (B1,B6,B12) 100,100,0.15 mg Film coated tablets [oral], Lancets (Accu-Check) 1 box Lancets [n/a], metFORMIN hydrochloride 750 mg tablet: modified release, vitamin B complex (B1,B6,B12) 100,100,0.15 mg Film coated tablets [oral], Lancets (Accu-Check) 1 box Lancets [n/a], metFORMIN hydrochloride 750 mg tablet: modified release, vitamin B complex (B1,B6,B12) 100,100,0.15 mg Film coated tablets [oral], gliclazide 60 mg tablet: modified release, Strips (Accu-Check) 1 box Strip [n/a], empagliflozin 25 mg tablet, Glucometer Device (Accu-Chek) 1 device Device [n/a], perindopril arginine 5 mg tablet, SITagliptin 100 mg tablet, gliclazide 60 mg tablet: modified release, Strips (Accu-Check) 1 box Strip [n/a], empagliflozin 25 mg tablet, Glucometer Device (Accu-Chek) 1 device Device [n/a], perindopril arginine 5 mg tablet, SITagliptin 100 mg tablet, gliclazide 60 mg tablet: modified release, Strips (Accu-Check) 1 box Strip [n/a], empagliflozin 25 mg tablet, Glucometer Device (Accu-Chek) 1 device Device [n/a], perindopril arginine 5 mg tablet, SITagliptin 100 mg tablet, gliclazide 60 mg tablet: modified release, Strips (Accu-Check) 1 box Strip [n/a], empagliflozin 25 mg tablet, Glucometer Device (Accu-Chek) 1 device Device [n/a], perindopril arginine 5 mg tablet, SITagliptin 100 mg tablet</t>
  </si>
  <si>
    <t>سلمان عويض سويعد المطيري</t>
  </si>
  <si>
    <t>allopurinol, atorvastatin</t>
  </si>
  <si>
    <t>allopurinol 100 mg tablet, allopurinol 100 mg tablet, allopurinol 100 mg tablet, allopurinol 100 mg tablet, allopurinol 100 mg tablet, atorvastatin 10 mg tablet, atorvastatin 10 mg tablet, atorvastatin 10 mg tablet, atorvastatin 10 mg tablet, atorvastatin 10 mg tablet, atorvastatin 10 mg tablet, atorvastatin 10 mg tablet, atorvastatin 10 mg tablet, atorvastatin 10 mg tablet, atorvastatin 10 mg tablet, allopurinol 100 mg tablet, allopurinol 100 mg tablet, allopurinol 100 mg tablet, allopurinol 100 mg tablet, allopurinol 100 mg tablet, atorvastatin 10 mg tablet, atorvastatin 10 mg tablet, atorvastatin 10 mg tablet, atorvastatin 10 mg tablet, atorvastatin 10 mg tablet, allopurinol 100 mg tablet, allopurinol 100 mg tablet, allopurinol 100 mg tablet, allopurinol 100 mg tablet, allopurinol 100 mg tablet</t>
  </si>
  <si>
    <t>محمد بن سالم بن محفوظ باخديد</t>
  </si>
  <si>
    <t>empagliflozin 10 mg tablet, empagliflozin 10 mg tablet, empagliflozin 10 mg tablet, metFORMIN hydrochloride 500 mg tablet, metFORMIN hydrochloride 500 mg tablet, metFORMIN hydrochloride 500 mg tablet, empagliflozin 10 mg tablet, empagliflozin 10 mg tablet, empagliflozin 10 mg tablet, empagliflozin 10 mg tablet, empagliflozin 10 mg tablet, empagliflozin 10 mg tablet, metFORMIN hydrochloride 500 mg tablet, metFORMIN hydrochloride 500 mg tablet, metFORMIN hydrochloride 500 mg tablet, metFORMIN hydrochloride 500 mg tablet, empagliflozin 10 mg tablet, metFORMIN hydrochloride 500 mg tablet, empagliflozin 10 mg tablet, metFORMIN hydrochloride 500 mg tablet, empagliflozin 10 mg tablet, empagliflozin 10 mg tablet, empagliflozin 10 mg tablet, empagliflozin 10 mg tablet, empagliflozin 10 mg tablet, empagliflozin 10 mg tablet, empagliflozin 10 mg tablet</t>
  </si>
  <si>
    <t>حامد علوي احمد الجيزاني</t>
  </si>
  <si>
    <t>dextromethorphan hydrobromide, chlorphenamine maleate</t>
  </si>
  <si>
    <t>dextromethorphan hydrobromide 15 mg/5 mL oral liquid, chlorphenamine maleate 4 mg tablet, dextromethorphan hydrobromide 15 mg/5 mL oral liquid, chlorphenamine maleate 4 mg tablet, dextromethorphan hydrobromide 15 mg/5 mL oral liquid, chlorphenamine maleate 4 mg tablet, dextromethorphan hydrobromide 15 mg/5 mL oral liquid, chlorphenamine maleate 4 mg tablet, chlorphenamine maleate 4 mg tablet, chlorphenamine maleate 4 mg tablet, chlorphenamine maleate 4 mg tablet, chlorphenamine maleate 4 mg tablet, dextromethorphan hydrobromide 15 mg/5 mL oral liquid, dextromethorphan hydrobromide 15 mg/5 mL oral liquid, dextromethorphan hydrobromide 15 mg/5 mL oral liquid, dextromethorphan hydrobromide 15 mg/5 mL oral liquid</t>
  </si>
  <si>
    <t>نجاة محمد عبدالصمد سياء</t>
  </si>
  <si>
    <t>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t>
  </si>
  <si>
    <t>علي محسن علي الجيزاني</t>
  </si>
  <si>
    <t>furosemide, empagliflozin, clopidogrel, paracetamol, rosuvastatin, acetylsalicylic acid, amLODIPine, bisoprolol fumarate, valsartan, perindopril arginine</t>
  </si>
  <si>
    <t>furosemide 40 mg tablet, furosemide 40 mg tablet, furosemide 40 mg tablet, furosemide 40 mg tablet, furosemide 40 mg tablet, furosemide 40 mg tablet, empagliflozin 10 mg tablet, empagliflozin 10 mg tablet, empagliflozin 10 mg tablet, empagliflozin 10 mg tablet, empagliflozin 10 mg tablet, empagliflozin 10 mg tablet, clopidogrel 75 mg tablet, paracetamol 500 mg tablet, rosuvastatin 20 mg tablet, acetylsalicylic acid 100 mg tablet: enteric coated, clopidogrel 75 mg tablet, paracetamol 500 mg tablet, rosuvastatin 20 mg tablet, acetylsalicylic acid 100 mg tablet: enteric coated, clopidogrel 75 mg tablet, paracetamol 500 mg tablet, rosuvastatin 20 mg tablet, acetylsalicylic acid 100 mg tablet: enteric coated, clopidogrel 75 mg tablet, paracetamol 500 mg tablet, rosuvastatin 20 mg tablet, acetylsalicylic acid 100 mg tablet: enteric coated, clopidogrel 75 mg tablet, paracetamol 500 mg tablet, rosuvastatin 20 mg tablet, acetylsalicylic acid 100 mg tablet: enteric coated, clopidogrel 75 mg tablet, paracetamol 500 mg tablet, rosuvastatin 20 mg tablet, acetylsalicylic acid 100 mg tablet: enteric coated, amLODIPine 5 mg tablet, amLODIPine 5 mg tablet, amLODIPine 5 mg tablet, amLODIPine 5 mg tablet, amLODIPine 5 mg tablet, amLODIPine 5 mg tablet, bisoprolol fumarate 5 mg tablet, valsartan 80 mg tablet, perindopril arginine 5 mg tablet, bisoprolol fumarate 5 mg tablet, valsartan 80 mg tablet, perindopril arginine 5 mg tablet, bisoprolol fumarate 5 mg tablet, valsartan 80 mg tablet, perindopril arginine 5 mg tablet, bisoprolol fumarate 5 mg tablet, valsartan 80 mg tablet, perindopril arginine 5 mg tablet, bisoprolol fumarate 5 mg tablet, valsartan 80 mg tablet, perindopril arginine 5 mg tablet, bisoprolol fumarate 5 mg tablet, valsartan 80 mg tablet, perindopril arginine 5 mg tablet, furosemide 40 mg tablet, furosemide 40 mg tablet, furosemide 40 mg tablet, furosemide 40 mg tablet, furosemide 40 mg tablet, furosemide 40 mg tablet, paracetamol 500 mg tablet, perindopril arginine 5 mg tablet, rosuvastatin 20 mg tablet, amLODIPine 5 mg tablet, paracetamol 500 mg tablet, perindopril arginine 5 mg tablet, rosuvastatin 20 mg tablet, amLODIPine 5 mg tablet, paracetamol 500 mg tablet, perindopril arginine 5 mg tablet, rosuvastatin 20 mg tablet, amLODIPine 5 mg tablet, paracetamol 500 mg tablet, perindopril arginine 5 mg tablet, rosuvastatin 20 mg tablet, amLODIPine 5 mg tablet, paracetamol 500 mg tablet, perindopril arginine 5 mg tablet, rosuvastatin 20 mg tablet, amLODIPine 5 mg tablet, paracetamol 500 mg tablet, perindopril arginine 5 mg tablet, rosuvastatin 20 mg tablet, amLODIPine 5 mg tablet, bisoprolol fumarate 5 mg tablet, bisoprolol fumarate 5 mg tablet, bisoprolol fumarate 5 mg tablet, bisoprolol fumarate 5 mg tablet, bisoprolol fumarate 5 mg tablet, bisoprolol fumarate 5 mg tablet, clopidogrel 75 mg tablet, empagliflozin 10 mg tablet, valsartan 80 mg tablet, clopidogrel 75 mg tablet, empagliflozin 10 mg tablet, valsartan 80 mg tablet, clopidogrel 75 mg tablet, empagliflozin 10 mg tablet, valsartan 80 mg tablet, clopidogrel 75 mg tablet, empagliflozin 10 mg tablet, valsartan 80 mg tablet, clopidogrel 75 mg tablet, empagliflozin 10 mg tablet, valsartan 80 mg tablet, clopidogrel 75 mg tablet, empagliflozin 10 mg tablet, valsartan 80 mg tablet,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valsartan 80 mg tablet, valsartan 80 mg tablet, valsartan 80 mg tablet, valsartan 80 mg tablet, valsartan 80 mg tablet, valsartan 80 mg tablet,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perindopril arginine 5 mg tablet, paracetamol 500 mg tablet, perindopril arginine 5 mg tablet, paracetamol 500 mg tablet, perindopril arginine 5 mg tablet, paracetamol 500 mg tablet, perindopril arginine 5 mg tablet, paracetamol 500 mg tablet, perindopril arginine 5 mg tablet, paracetamol 500 mg tablet, perindopril arginine 5 mg tablet, paracetamol 500 mg tablet, furosemide 40 mg tablet, rosuvastatin 20 mg tablet, clopidogrel 75 mg tablet, furosemide 40 mg tablet, rosuvastatin 20 mg tablet, clopidogrel 75 mg tablet, furosemide 40 mg tablet, rosuvastatin 20 mg tablet, clopidogrel 75 mg tablet, furosemide 40 mg tablet, rosuvastatin 20 mg tablet, clopidogrel 75 mg tablet, furosemide 40 mg tablet, rosuvastatin 20 mg tablet, clopidogrel 75 mg tablet, furosemide 40 mg tablet, rosuvastatin 20 mg tablet, clopidogrel 75 mg tablet, bisoprolol fumarate 5 mg tablet, amLODIPine 5 mg tablet, empagliflozin 10 mg tablet, bisoprolol fumarate 5 mg tablet, amLODIPine 5 mg tablet, empagliflozin 10 mg tablet, bisoprolol fumarate 5 mg tablet, amLODIPine 5 mg tablet, empagliflozin 10 mg tablet, bisoprolol fumarate 5 mg tablet, amLODIPine 5 mg tablet, empagliflozin 10 mg tablet, bisoprolol fumarate 5 mg tablet, amLODIPine 5 mg tablet, empagliflozin 10 mg tablet, bisoprolol fumarate 5 mg tablet, amLODIPine 5 mg tablet, empagliflozin 10 mg tablet</t>
  </si>
  <si>
    <t>عبدالله بن احمد بن عبدالله الغامدي</t>
  </si>
  <si>
    <t>metFORMIN hydrochloride, vitamin B complex (B, B, empagliflozin, SITagliptin</t>
  </si>
  <si>
    <t>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empagliflozin 25 mg tablet, empagliflozin 25 mg tablet, empagliflozin 25 mg tablet, empagliflozin 25 mg tablet, metFORMIN hydrochloride 500 mg tablet, metFORMIN hydrochloride 500 mg tablet, metFORMIN hydrochloride 500 mg tablet, metFORMIN hydrochloride 500 mg tablet, SITagliptin 100 mg tablet, SITagliptin 100 mg tablet, SITagliptin 100 mg tablet, SITagliptin 100 mg tablet, vitamin B complex (B1,B6,B12) 100,200,0.2 mg Film coated tablets [oral], vitamin B complex (B1,B6,B12) 100,200,0.2 mg Film coated tablets [oral], vitamin B complex (B1,B6,B12) 100,200,0.2 mg Film coated tablets [oral], vitamin B complex (B1,B6,B12) 100,200,0.2 mg Film coated tablets [oral], empagliflozin 25 mg tablet, vitamin B complex (B1,B6,B12) 100,200,0.2 mg Film coated tablets [oral], empagliflozin 25 mg tablet, vitamin B complex (B1,B6,B12) 100,200,0.2 mg Film coated tablets [oral], empagliflozin 25 mg tablet, vitamin B complex (B1,B6,B12) 100,200,0.2 mg Film coated tablets [oral], empagliflozin 25 mg tablet, vitamin B complex (B1,B6,B12) 100,200,0.2 mg Film coated tablets [oral], SITagliptin 100 mg tablet, SITagliptin 100 mg tablet, SITagliptin 100 mg tablet, SITagliptin 100 mg tablet, metFORMIN hydrochloride 500 mg tablet, metFORMIN hydrochloride 500 mg tablet, metFORMIN hydrochloride 500 mg tablet, metFORMIN hydrochloride 500 mg tablet, SITagliptin 100 mg tablet, SITagliptin 100 mg tablet, SITagliptin 100 mg tablet, SITagliptin 100 mg tablet, empagliflozin 25 mg tablet, empagliflozin 25 mg tablet, empagliflozin 25 mg tablet, empagliflozin 25 mg tablet, 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metFORMIN hydrochloride 500 mg tablet, metFORMIN hydrochloride 500 mg tablet, metFORMIN hydrochloride 500 mg tablet, 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metFORMIN hydrochloride 500 mg tablet, metFORMIN hydrochloride 500 mg tablet, metFORMIN hydrochloride 500 mg tablet, empagliflozin 25 mg tablet, empagliflozin 25 mg tablet, empagliflozin 25 mg tablet, empagliflozin 25 mg tablet, SITagliptin 100 mg tablet, SITagliptin 100 mg tablet, SITagliptin 100 mg tablet, SITagliptin 100 mg tablet</t>
  </si>
  <si>
    <t>عصام عبدالرحمن بن ملفي السلمي</t>
  </si>
  <si>
    <t>سلوى احمد محمد العريشي</t>
  </si>
  <si>
    <t>محمد منير بن شارع السبيعي</t>
  </si>
  <si>
    <t>ketoconazole, paraffin soft white ointment, tube</t>
  </si>
  <si>
    <t>ketoconazole 2% (20 mg/g) shampoo, ketoconazole 2% (20 mg/g) shampoo, paraffin soft white ointment, tube, paraffin soft white ointment, tube, paraffin soft white ointment, tube, paraffin soft white ointment, tube, ketoconazole 2% (20 mg/g) shampoo, ketoconazole 2% (20 mg/g) shampoo, ketoconazole 2% (20 mg/g) shampoo, ketoconazole 2% (20 mg/g) shampoo, paraffin soft white ointment, tube, paraffin soft white ointment, tube</t>
  </si>
  <si>
    <t>بدريه محمد احمد الغامدي</t>
  </si>
  <si>
    <t>atorvastatin, omeprazole, metFORMIN hydrochloride, vitamin B complex (B, B</t>
  </si>
  <si>
    <t>atorvastatin 20 mg tablet, omeprazole 20 mg tablet: enteric coated, metFORMIN hydrochloride 500 mg tablet, vitamin B complex (B1,B6,B12) 100,100,0.15 mg Film coated tablets [oral], atorvastatin 20 mg tablet, omeprazole 20 mg tablet: enteric coated, metFORMIN hydrochloride 500 mg tablet, vitamin B complex (B1,B6,B12) 100,100,0.15 mg Film coated tablets [oral], atorvastatin 20 mg tablet, omeprazole 20 mg tablet: enteric coated, metFORMIN hydrochloride 500 mg tablet, vitamin B complex (B1,B6,B12) 100,100,0.15 mg Film coated tablets [oral], atorvastatin 20 mg tablet, omeprazole 20 mg tablet: enteric coated, metFORMIN hydrochloride 500 mg tablet, vitamin B complex (B1,B6,B12) 100,100,0.15 mg Film coated tablets [oral], atorvastatin 20 mg tablet, omeprazole 20 mg tablet: enteric coated, metFORMIN hydrochloride 500 mg tablet, vitamin B complex (B1,B6,B12) 100,100,0.15 mg Film coated tablets [oral], atorvastatin 20 mg tablet, omeprazole 20 mg tablet: enteric coated, metFORMIN hydrochloride 500 mg tablet, vitamin B complex (B1,B6,B12) 100,100,0.15 mg Film coated tablets [oral], atorvastatin 20 mg tablet, atorvastatin 20 mg tablet, atorvastatin 20 mg tablet, atorvastatin 20 mg tablet, atorvastatin 20 mg tablet, atorvastatin 20 mg tablet,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metFORMIN hydrochloride 500 mg tablet, metFORMIN hydrochloride 500 mg tablet, metFORMIN hydrochloride 500 mg tablet, metFORMIN hydrochloride 500 mg tablet, metFORMIN hydrochloride 500 mg tablet, metFORMIN hydrochloride 500 mg tablet,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metFORMIN hydrochloride 500 mg tablet, metFORMIN hydrochloride 500 mg tablet, metFORMIN hydrochloride 500 mg tablet, metFORMIN hydrochloride 500 mg tablet, metFORMIN hydrochloride 500 mg tablet, metFORMIN hydrochloride 500 mg tablet</t>
  </si>
  <si>
    <t>يوسف عامر عمار الحازمي</t>
  </si>
  <si>
    <t>rosuvastatin, amLODIPine, valsartan, metFORMIN hydrochloride</t>
  </si>
  <si>
    <t>rosuvastatin 10 mg tablet, rosuvastatin 10 mg tablet, amLODIPine 5 mg tablet, valsartan 80 mg tablet, amLODIPine 5 mg tablet, valsartan 80 mg tablet, metFORMIN hydrochloride 500 mg tablet, metFORMIN hydrochloride 500 mg tablet, rosuvastatin 10 mg tablet, rosuvastatin 10 mg tablet, valsartan 80 mg tablet, metFORMIN hydrochloride 500 mg tablet, valsartan 80 mg tablet, metFORMIN hydrochloride 500 mg tablet, amLODIPine 5 mg tablet, amLODIPine 5 mg tablet</t>
  </si>
  <si>
    <t>علي حامد احمد سليمان</t>
  </si>
  <si>
    <t>vitamins (A, B, C, D, clopidogrel, SITagliptin, rosuvastatin, ferrous sulfate, metFORMIN hydrochloride, colecalciferol</t>
  </si>
  <si>
    <t>vitamins (A, B1, B2, B3, C, D3) tablet, clopidogrel 75 mg tablet, vitamins (A, B1, B2, B3, C, D3) tablet, clopidogrel 75 mg tablet, vitamins (A, B1, B2, B3, C, D3) tablet, clopidogrel 75 mg tablet, SITagliptin 100 mg tablet, SITagliptin 100 mg tablet, SITagliptin 100 mg tablet, rosuvastatin 20 mg tablet, ferrous sulfate 190 mg Tablets [oral], metFORMIN hydrochloride 750 mg tablet: modified release, colecalciferol 50 000 international units tablet, rosuvastatin 20 mg tablet, ferrous sulfate 190 mg Tablets [oral], metFORMIN hydrochloride 750 mg tablet: modified release, colecalciferol 50 000 international units tablet, rosuvastatin 20 mg tablet, ferrous sulfate 190 mg Tablets [oral], metFORMIN hydrochloride 750 mg tablet: modified release, colecalciferol 50 000 international units tablet, vitamin B complex (B1,B6,B12) 100,200,0.2 mg Film coated tablets [oral], vitamin B complex (B1,B6,B12) 100,200,0.2 mg Film coated tablets [oral], vitamin B complex (B1,B6,B12) 100,200,0.2 mg Film coated tablets [oral], ferrous sulfate 190 mg Tablets [oral], metFORMIN hydrochloride 750 mg tablet: modified release, clopidogrel 75 mg tablet, SITagliptin 100 mg tablet, colecalciferol 50 000 international units tablet, acetylsalicylic acid 100 mg tablet: enteric coated, vitamin B complex (B1,B6,B12) 100,200,0.2 mg Film coated tablets [oral], vitamins (A, B1, B2, B3, C, D3) tablet, rosuvastatin 20 mg tablet, ferrous sulfate 190 mg Tablets [oral], metFORMIN hydrochloride 750 mg tablet: modified release, clopidogrel 75 mg tablet, SITagliptin 100 mg tablet, colecalciferol 50 000 international units tablet, acetylsalicylic acid 100 mg tablet: enteric coated, vitamin B complex (B1,B6,B12) 100,200,0.2 mg Film coated tablets [oral], vitamins (A, B1, B2, B3, C, D3) tablet, rosuvastatin 20 mg tablet, ferrous sulfate 190 mg Tablets [oral], metFORMIN hydrochloride 750 mg tablet: modified release, clopidogrel 75 mg tablet, SITagliptin 100 mg tablet, colecalciferol 50 000 international units tablet, acetylsalicylic acid 100 mg tablet: enteric coated, vitamin B complex (B1,B6,B12) 100,200,0.2 mg Film coated tablets [oral], vitamins (A, B1, B2, B3, C, D3) tablet, rosuvastatin 20 mg tablet, rosuvastatin 20 mg tablet, metFORMIN hydrochloride 750 mg tablet: modified release, colecalciferol 50 000 international units tablet, rosuvastatin 20 mg tablet, metFORMIN hydrochloride 750 mg tablet: modified release, colecalciferol 50 000 international units tablet, rosuvastatin 20 mg tablet, metFORMIN hydrochloride 750 mg tablet: modified release, colecalciferol 50 000 international units tablet, ferrous sulfate 190 mg Tablets [oral], vitamins (A, B1, B2, B3, C, D3) tablet, acetylsalicylic acid 100 mg tablet: enteric coated, ferrous sulfate 190 mg Tablets [oral], vitamins (A, B1, B2, B3, C, D3) tablet, acetylsalicylic acid 100 mg tablet: enteric coated, ferrous sulfate 190 mg Tablets [oral], vitamins (A, B1, B2, B3, C, D3) tablet, acetylsalicylic acid 100 mg tablet: enteric coated, clopidogrel 75 mg tablet, vitamin B complex (B1,B6,B12) 100,200,0.2 mg Film coated tablets [oral], clopidogrel 75 mg tablet, vitamin B complex (B1,B6,B12) 100,200,0.2 mg Film coated tablets [oral], clopidogrel 75 mg tablet, vitamin B complex (B1,B6,B12) 100,200,0.2 mg Film coated tablets [oral], SITagliptin 100 mg tablet, SITagliptin 100 mg tablet, SITagliptin 100 mg tablet, colecalciferol 50 000 international units tablet, vitamin B complex (B1,B6,B12) 100,200,0.2 mg Film coated tablets [oral], ferrous sulfate 190 mg Tablets [oral], rosuvastatin 20 mg tablet, colecalciferol 50 000 international units tablet, vitamin B complex (B1,B6,B12) 100,200,0.2 mg Film coated tablets [oral], ferrous sulfate 190 mg Tablets [oral], rosuvastatin 20 mg tablet, colecalciferol 50 000 international units tablet, vitamin B complex (B1,B6,B12) 100,200,0.2 mg Film coated tablets [oral], ferrous sulfate 190 mg Tablets [oral], rosuvastatin 20 mg tablet, rosuvastatin 20 mg tablet, colecalciferol 50 000 international units tablet, rosuvastatin 20 mg tablet, colecalciferol 50 000 international units tablet, rosuvastatin 20 mg tablet, colecalciferol 50 000 international units tablet, metFORMIN hydrochloride 750 mg tablet: modified release, metFORMIN hydrochloride 750 mg tablet: modified release, metFORMIN hydrochloride 750 mg tablet: modified release, clopidogrel 75 mg tablet, vitamins (A, B1, B2, B3, C, D3) tablet, SITagliptin 100 mg tablet, clopidogrel 75 mg tablet, vitamins (A, B1, B2, B3, C, D3) tablet, SITagliptin 100 mg tablet, clopidogrel 75 mg tablet, vitamins (A, B1, B2, B3, C, D3) tablet, SITagliptin 100 mg tablet</t>
  </si>
  <si>
    <t>ريم محمداسحاق كمال</t>
  </si>
  <si>
    <t>وفاء حسن محمد سندي</t>
  </si>
  <si>
    <t>vitamin B complex (B, B, amLODIPine, furosemide, valsartan</t>
  </si>
  <si>
    <t>vitamin B complex (B1,B6,B12) 100,200,0.2 mg Film coated tablets [oral], vitamin B complex (B1,B6,B12) 100,200,0.2 mg Film coated tablets [oral], vitamin B complex (B1,B6,B12) 100,200,0.2 mg Film coated tablets [oral], amLODIPine 5 mg tablet, amLODIPine 5 mg tablet, amLODIPine 5 mg tablet, furosemide 40 mg tablet, vitamin B complex (B1,B6,B12) 100,200,0.2 mg Film coated tablets [oral], furosemide 40 mg tablet, vitamin B complex (B1,B6,B12) 100,200,0.2 mg Film coated tablets [oral], furosemide 40 mg tablet, vitamin B complex (B1,B6,B12) 100,200,0.2 mg Film coated tablets [oral], valsartan 80 mg tablet, amLODIPine 5 mg tablet, valsartan 80 mg tablet, amLODIPine 5 mg tablet, valsartan 80 mg tablet, amLODIPine 5 mg tablet, vitamin B complex (B1,B6,B12) 100,200,0.2 mg Film coated tablets [oral], amLODIPine 5 mg tablet, vitamin B complex (B1,B6,B12) 100,200,0.2 mg Film coated tablets [oral], amLODIPine 5 mg tablet, vitamin B complex (B1,B6,B12) 100,200,0.2 mg Film coated tablets [oral], amLODIPine 5 mg tablet, furosemide 40 mg tablet, furosemide 40 mg tablet, furosemide 40 mg tablet, valsartan 80 mg tablet, valsartan 80 mg tablet, valsartan 80 mg tablet, vitamin B complex (B1,B6,B12) 100,200,0.2 mg Film coated tablets [oral], amLODIPine 5 mg tablet, vitamin B complex (B1,B6,B12) 100,200,0.2 mg Film coated tablets [oral], amLODIPine 5 mg tablet, vitamin B complex (B1,B6,B12) 100,200,0.2 mg Film coated tablets [oral], amLODIPine 5 mg tablet, furosemide 40 mg tablet, valsartan 80 mg tablet, furosemide 40 mg tablet, valsartan 80 mg tablet, furosemide 40 mg tablet, valsartan 80 mg tablet, vitamin B complex (B1,B6,B12) 100,200,0.2 mg Film coated tablets [oral], vitamin B complex (B1,B6,B12) 100,200,0.2 mg Film coated tablets [oral], vitamin B complex (B1,B6,B12) 100,200,0.2 mg Film coated tablets [oral], amLODIPine 5 mg tablet, amLODIPine 5 mg tablet, amLODIPine 5 mg tablet, furosemide 40 mg tablet, furosemide 40 mg tablet, furosemide 40 mg tablet, valsartan 80 mg tablet, valsartan 80 mg tablet, valsartan 80 mg tablet, vitamin B complex (B1,B6,B12) 100,200,0.2 mg Film coated tablets [oral], vitamin B complex (B1,B6,B12) 100,200,0.2 mg Film coated tablets [oral], vitamin B complex (B1,B6,B12) 100,200,0.2 mg Film coated tablets [oral], amLODIPine 5 mg tablet, amLODIPine 5 mg tablet, amLODIPine 5 mg tablet, amLODIPine 5 mg tablet, amLODIPine 5 mg tablet, amLODIPine 5 mg tablet, vitamin B complex (B1,B6,B12) 100,200,0.2 mg Film coated tablets [oral], vitamin B complex (B1,B6,B12) 100,200,0.2 mg Film coated tablets [oral], vitamin B complex (B1,B6,B12) 100,200,0.2 mg Film coated tablets [oral], furosemide 40 mg tablet, valsartan 80 mg tablet, furosemide 40 mg tablet, valsartan 80 mg tablet, furosemide 40 mg tablet, valsartan 80 mg tablet</t>
  </si>
  <si>
    <t>ابتهال طلال مصطفى عالم</t>
  </si>
  <si>
    <t>mebeverine hydrochloride, bisoprolol fumarate, levothyroxine sodium, metFORMIN hydrochloride, omeprazole</t>
  </si>
  <si>
    <t>mebeverine hydrochloride 200 mg capsule: modified release, mebeverine hydrochloride 200 mg capsule: modified release, mebeverine hydrochloride 200 mg capsule: modified release, bisoprolol fumarate 5 mg tablet, levothyroxine sodium 25 microgram tablet, bisoprolol fumarate 5 mg tablet, levothyroxine sodium 25 microgram tablet, bisoprolol fumarate 5 mg tablet, levothyroxine sodium 25 microgram tablet, metFORMIN hydrochloride 750 mg tablet: modified release, levothyroxine sodium 100 microgram tablet, omeprazole 20 mg tablet: enteric coated, metFORMIN hydrochloride 750 mg tablet: modified release, levothyroxine sodium 100 microgram tablet, omeprazole 20 mg tablet: enteric coated, metFORMIN hydrochloride 750 mg tablet: modified release, levothyroxine sodium 100 microgram tablet, omeprazole 20 mg tablet: enteric coated, mebeverine hydrochloride 200 mg capsule: modified release, mebeverine hydrochloride 200 mg capsule: modified release, mebeverine hydrochloride 200 mg capsule: modified release, levothyroxine sodium 25 microgram tablet, levothyroxine sodium 25 microgram tablet, levothyroxine sodium 25 microgram tablet, levothyroxine sodium 100 microgram tablet, metFORMIN hydrochloride 750 mg tablet: modified release, bisoprolol fumarate 5 mg tablet, levothyroxine sodium 100 microgram tablet, metFORMIN hydrochloride 750 mg tablet: modified release, bisoprolol fumarate 5 mg tablet, levothyroxine sodium 100 microgram tablet, metFORMIN hydrochloride 750 mg tablet: modified release, bisoprolol fumarate 5 mg tablet, omeprazole 20 mg tablet: enteric coated, omeprazole 20 mg tablet: enteric coated, omeprazole 20 mg tablet: enteric coated, bisoprolol fumarate 5 mg tablet, levothyroxine sodium 100 microgram tablet, bisoprolol fumarate 5 mg tablet, levothyroxine sodium 100 microgram tablet, bisoprolol fumarate 5 mg tablet, levothyroxine sodium 100 microgram tablet, mebeverine hydrochloride 200 mg capsule: modified release, levothyroxine sodium 25 microgram tablet, mebeverine hydrochloride 200 mg capsule: modified release, levothyroxine sodium 25 microgram tablet, mebeverine hydrochloride 200 mg capsule: modified release, levothyroxine sodium 25 microgram tablet, omeprazole 20 mg tablet: enteric coated, omeprazole 20 mg tablet: enteric coated, omeprazole 20 mg tablet: enteric coated, metFORMIN hydrochloride 750 mg tablet: modified release, metFORMIN hydrochloride 750 mg tablet: modified release, metFORMIN hydrochloride 750 mg tablet: modified release</t>
  </si>
  <si>
    <t>Diabetes, GI/PPI, Hypertension, Thyroid</t>
  </si>
  <si>
    <t>عبدالله احمد عبدالله العوفي</t>
  </si>
  <si>
    <t>atorvastatin 20 mg tablet, atorvastatin 20 mg tablet, atorvastatin 20 mg tablet, atorvastatin 20 mg tablet, atorvastatin 20 mg tablet, atorvastatin 20 mg tablet</t>
  </si>
  <si>
    <t>خديجه داود عبدالرحيم البخاري</t>
  </si>
  <si>
    <t>ibuprofen, diclofenac sodium</t>
  </si>
  <si>
    <t>ibuprofen 400 mg tablet, ibuprofen 400 mg tablet, ibuprofen 400 mg tablet, ibuprofen 400 mg tablet, diclofenac sodium 1% (10 mg/g) gel, diclofenac sodium 1% (10 mg/g) gel, diclofenac sodium 1% (10 mg/g) gel, diclofenac sodium 1% (10 mg/g) gel, diclofenac sodium 1% (10 mg/g) gel, diclofenac sodium 1% (10 mg/g) gel, diclofenac sodium 1% (10 mg/g) gel, diclofenac sodium 1% (10 mg/g) gel, ibuprofen 400 mg tablet, ibuprofen 400 mg tablet, ibuprofen 400 mg tablet, ibuprofen 400 mg tablet</t>
  </si>
  <si>
    <t>محمد ناصر محمد القحطاني</t>
  </si>
  <si>
    <t>colecalciferol, SITagliptin, metFORMIN hydrochloride, atorvastatin</t>
  </si>
  <si>
    <t>colecalciferol 50 000 international units tablet, colecalciferol 50 000 international units tablet, SITagliptin 100 mg tablet, SITagliptin 100 mg tablet, metFORMIN hydrochloride 500 mg tablet, metFORMIN hydrochloride 500 mg tablet, atorvastatin 10 mg tablet, atorvastatin 10 mg tablet, SITagliptin 100 mg tablet, colecalciferol 50 000 international units tablet, SITagliptin 100 mg tablet, colecalciferol 50 000 international units tablet, metFORMIN hydrochloride 500 mg tablet, metFORMIN hydrochloride 500 mg tablet, atorvastatin 10 mg tablet, atorvastatin 10 mg tablet, colecalciferol 50 000 international units tablet, metFORMIN hydrochloride 500 mg tablet, colecalciferol 50 000 international units tablet, metFORMIN hydrochloride 500 mg tablet, atorvastatin 10 mg tablet, atorvastatin 10 mg tablet, SITagliptin 100 mg tablet, SITagliptin 100 mg tablet</t>
  </si>
  <si>
    <t>عبد ربه عبدالله محمد الطلحي</t>
  </si>
  <si>
    <t>mometasone furoate, cetirizine hydrochloride</t>
  </si>
  <si>
    <t>mometasone furoate 0.05% nasal spray, mometasone furoate 0.05% nasal spray, cetirizine hydrochloride 10 mg tablet, cetirizine hydrochloride 10 mg tablet, cetirizine hydrochloride 10 mg tablet, mometasone furoate 0.05% nasal spray, cetirizine hydrochloride 10 mg tablet, mometasone furoate 0.05% nasal spray, mometasone furoate 0.05% nasal spray, cetirizine hydrochloride 10 mg tablet, mometasone furoate 0.05% nasal spray, cetirizine hydrochloride 10 mg tablet, mometasone furoate 0.05% nasal spray, cetirizine hydrochloride 10 mg tablet, mometasone furoate 0.05% nasal spray, cetirizine hydrochloride 10 mg tablet, cetirizine hydrochloride 10 mg tablet, mometasone furoate 0.05% nasal spray, cetirizine hydrochloride 10 mg tablet, mometasone furoate 0.05% nasal spray, cetirizine hydrochloride 10 mg tablet, cetirizine hydrochloride 10 mg tablet</t>
  </si>
  <si>
    <t>عبدالخالق أحمد عبدالله الشمراني</t>
  </si>
  <si>
    <t>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paracetamol 500 mg tablet, paracetamol 500 mg tablet, paracetamol 500 mg tablet, paracetamol 500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paracetamol 500 mg tablet, paracetamol 500 mg tablet, paracetamol 500 mg tablet, paracetamol 500 mg tablet, paracetamol 500 mg tablet, cetirizine hydrochloride 10 mg tablet, cetirizine hydrochloride 10 mg tablet, cetirizine hydrochloride 10 mg tablet, cetirizine hydrochloride 10 mg tablet, cetirizine hydrochloride 10 mg tablet, paracetamol 500 mg tablet, paracetamol 500 mg tablet, paracetamol 500 mg tablet, paracetamol 500 mg tablet, paracetamol 500 mg tablet, cetirizine hydrochloride 10 mg tablet, cetirizine hydrochloride 10 mg tablet, cetirizine hydrochloride 10 mg tablet, cetirizine hydrochloride 10 mg tablet, cetirizine hydrochloride 10 mg tablet, paracetamol 500 mg tablet, paracetamol 500 mg tablet, paracetamol 500 mg tablet, paracetamol 500 mg tablet, paracetamol 500 mg tablet</t>
  </si>
  <si>
    <t>مريم محمد معلا المحمادي</t>
  </si>
  <si>
    <t>colecalciferol, ferrous sulfate, atorvastatin</t>
  </si>
  <si>
    <t>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atorvastatin 10 mg tablet, atorvastatin 10 mg tablet, atorvastatin 10 mg tablet, atorvastatin 10 mg tablet, atorvastatin 10 mg tablet, atorvastatin 10 mg tablet, atorvastatin 10 mg tablet,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atorvastatin 10 mg tablet, atorvastatin 10 mg tablet, atorvastatin 10 mg tablet, atorvastatin 10 mg tablet, atorvastatin 10 mg tablet, atorvastatin 10 mg tablet, atorvastatin 10 mg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atorvastatin 10 mg tablet, atorvastatin 10 mg tablet, atorvastatin 10 mg tablet, atorvastatin 10 mg tablet, atorvastatin 10 mg tablet, atorvastatin 10 mg tablet, atorvastatin 10 mg tablet,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atorvastatin 10 mg tablet, atorvastatin 10 mg tablet, atorvastatin 10 mg tablet, atorvastatin 10 mg tablet, atorvastatin 10 mg tablet, atorvastatin 10 mg tablet, atorvastatin 10 mg tablet,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colecalciferol 50 000 international units tablet, atorvastatin 10 mg tablet, colecalciferol 50 000 international units tablet, atorvastatin 10 mg tablet, colecalciferol 50 000 international units tablet, atorvastatin 10 mg tablet, colecalciferol 50 000 international units tablet, atorvastatin 10 mg tablet, colecalciferol 50 000 international units tablet, atorvastatin 10 mg tablet, colecalciferol 50 000 international units tablet, atorvastatin 10 mg tablet, colecalciferol 50 000 international units tablet, atorvastatin 10 mg tablet,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t>
  </si>
  <si>
    <t>عبدالجبار بن سفير بن شريز السلمي</t>
  </si>
  <si>
    <t>paracetamol, ibuprofen, sodium chloride, azithromycin, cetirizine hydrochloride</t>
  </si>
  <si>
    <t>paracetamol 500 mg tablet, ibuprofen 400 mg tablet, sodium chloride 0.9% (9 mg/mL) nasal spray, azithromycin 250 mg capsule, paracetamol 500 mg tablet, ibuprofen 400 mg tablet, sodium chloride 0.9% (9 mg/mL) nasal spray, azithromycin 250 mg capsule, paracetamol 500 mg tablet, ibuprofen 400 mg tablet, sodium chloride 0.9% (9 mg/mL) nasal spray, azithromycin 250 mg capsule, cetirizine hydrochloride 10 mg tablet, cetirizine hydrochloride 10 mg tablet, cetirizine hydrochloride 10 mg tablet, paracetamol 500 mg tablet, ibuprofen 400 mg tablet, paracetamol 500 mg tablet, ibuprofen 400 mg tablet, paracetamol 500 mg tablet, ibuprofen 400 mg tablet, azithromycin 250 mg capsule, azithromycin 250 mg capsule, azithromycin 250 mg capsule, cetirizine hydrochloride 10 mg tablet, cetirizine hydrochloride 10 mg tablet, cetirizine hydrochloride 10 mg tablet, sodium chloride 0.9% (9 mg/mL) nasal spray, sodium chloride 0.9% (9 mg/mL) nasal spray, sodium chloride 0.9% (9 mg/mL) nasal spray</t>
  </si>
  <si>
    <t>عزة جمعان عبدالله الزهراني</t>
  </si>
  <si>
    <t>empagliflozin, omeprazole</t>
  </si>
  <si>
    <t>empagliflozin 25 mg tablet, empagliflozin 25 mg tablet, empagliflozin 25 mg tablet, omeprazole 20 mg tablet: enteric coated, omeprazole 20 mg tablet: enteric coated, omeprazole 20 mg tablet: enteric coated, empagliflozin 25 mg tablet, empagliflozin 25 mg tablet, empagliflozin 25 mg tablet, omeprazole 20 mg tablet: enteric coated, omeprazole 20 mg tablet: enteric coated, omeprazole 20 mg tablet: enteric coated, empagliflozin 25 mg tablet, empagliflozin 25 mg tablet, empagliflozin 25 mg tablet, omeprazole 20 mg tablet: enteric coated, omeprazole 20 mg tablet: enteric coated, omeprazole 20 mg tablet: enteric coated</t>
  </si>
  <si>
    <t>مبارك محمد مبارك السيد</t>
  </si>
  <si>
    <t>metFORMIN hydrochloride, amLODIPine, empagliflozin, Insulin Pen Needle, omeprazole, vitamin B complex (B, B, atorvastatin, acetylsalicylic acid, insulin glargine</t>
  </si>
  <si>
    <t>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amLODIPine 10 mg capsule, amLODIPine 10 mg capsule, amLODIPine 10 mg capsule, amLODIPine 10 mg capsule, amLODIPine 10 mg capsule, amLODIPine 10 mg capsule, empagliflozin 10 mg tablet, empagliflozin 10 mg tablet, empagliflozin 10 mg tablet, empagliflozin 10 mg tablet, empagliflozin 10 mg tablet, empagliflozin 10 mg tablet, Insulin Pen Needle 4mm Needle [sc], metFORMIN hydrochloride 750 mg tablet: modified release, omeprazole 20 mg tablet: enteric coated, vitamin B complex (B1,B6,B12) 100,200,0.2 mg Film coated tablets [oral], atorvastatin 20 mg tablet, Insulin Pen Needle 4mm Needle [sc], metFORMIN hydrochloride 750 mg tablet: modified release, omeprazole 20 mg tablet: enteric coated, vitamin B complex (B1,B6,B12) 100,200,0.2 mg Film coated tablets [oral], atorvastatin 20 mg tablet, Insulin Pen Needle 4mm Needle [sc], metFORMIN hydrochloride 750 mg tablet: modified release, omeprazole 20 mg tablet: enteric coated, vitamin B complex (B1,B6,B12) 100,200,0.2 mg Film coated tablets [oral], atorvastatin 20 mg tablet, Insulin Pen Needle 4mm Needle [sc], metFORMIN hydrochloride 750 mg tablet: modified release, omeprazole 20 mg tablet: enteric coated, vitamin B complex (B1,B6,B12) 100,200,0.2 mg Film coated tablets [oral], atorvastatin 20 mg tablet, Insulin Pen Needle 4mm Needle [sc], metFORMIN hydrochloride 750 mg tablet: modified release, omeprazole 20 mg tablet: enteric coated, vitamin B complex (B1,B6,B12) 100,200,0.2 mg Film coated tablets [oral], atorvastatin 20 mg tablet, Insulin Pen Needle 4mm Needle [sc], metFORMIN hydrochloride 750 mg tablet: modified release, omeprazole 20 mg tablet: enteric coated, vitamin B complex (B1,B6,B12) 100,200,0.2 mg Film coated tablets [oral], atorvastatin 20 mg tablet, acetylsalicylic acid 100 mg tablet: enteric coated, insulin glargine 300 international units/mL injection, 1.5 mL prefilled pen, insulin lispro 100 international units/mL injection, 3 mL prefilled pen, amLODIPine 10 mg capsule, acetylsalicylic acid 100 mg tablet: enteric coated, insulin glargine 300 international units/mL injection, 1.5 mL prefilled pen, insulin lispro 100 international units/mL injection, 3 mL prefilled pen, amLODIPine 10 mg capsule, acetylsalicylic acid 100 mg tablet: enteric coated, insulin glargine 300 international units/mL injection, 1.5 mL prefilled pen, insulin lispro 100 international units/mL injection, 3 mL prefilled pen, amLODIPine 10 mg capsule, acetylsalicylic acid 100 mg tablet: enteric coated, insulin glargine 300 international units/mL injection, 1.5 mL prefilled pen, insulin lispro 100 international units/mL injection, 3 mL prefilled pen, amLODIPine 10 mg capsule, acetylsalicylic acid 100 mg tablet: enteric coated, insulin glargine 300 international units/mL injection, 1.5 mL prefilled pen, insulin lispro 100 international units/mL injection, 3 mL prefilled pen, amLODIPine 10 mg capsule, acetylsalicylic acid 100 mg tablet: enteric coated, insulin glargine 300 international units/mL injection, 1.5 mL prefilled pen, insulin lispro 100 international units/mL injection, 3 mL prefilled pen, amLODIPine 10 mg capsule, empagliflozin 10 mg tablet, empagliflozin 10 mg tablet, empagliflozin 10 mg tablet, empagliflozin 10 mg tablet, empagliflozin 10 mg tablet, empagliflozin 10 mg tablet, insulin lispro 100 international units/mL injection, 3 mL prefilled pen, insulin lispro 100 international units/mL injection, 3 mL prefilled pen, insulin lispro 100 international units/mL injection, 3 mL prefilled pen, insulin lispro 100 international units/mL injection, 3 mL prefilled pen, insulin lispro 100 international units/mL injection, 3 mL prefilled pen, insulin lispro 100 international units/mL injection, 3 mL prefilled pen, omeprazole 20 mg tablet: enteric coated, insulin glargine 300 international units/mL injection, 1.5 mL prefilled pen, acetylsalicylic acid 100 mg tablet: enteric coated, omeprazole 20 mg tablet: enteric coated, insulin glargine 300 international units/mL injection, 1.5 mL prefilled pen, acetylsalicylic acid 100 mg tablet: enteric coated, omeprazole 20 mg tablet: enteric coated, insulin glargine 300 international units/mL injection, 1.5 mL prefilled pen, acetylsalicylic acid 100 mg tablet: enteric coated, omeprazole 20 mg tablet: enteric coated, insulin glargine 300 international units/mL injection, 1.5 mL prefilled pen, acetylsalicylic acid 100 mg tablet: enteric coated, omeprazole 20 mg tablet: enteric coated, insulin glargine 300 international units/mL injection, 1.5 mL prefilled pen, acetylsalicylic acid 100 mg tablet: enteric coated, omeprazole 20 mg tablet: enteric coated, insulin glargine 300 international units/mL injection, 1.5 mL prefilled pen, acetylsalicylic acid 100 mg tablet: enteric coated,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Insulin Pen Needle 4mm Needle [sc], atorvastatin 20 mg tablet, empagliflozin 10 mg tablet, Insulin Pen Needle 4mm Needle [sc], atorvastatin 20 mg tablet, empagliflozin 10 mg tablet, Insulin Pen Needle 4mm Needle [sc], atorvastatin 20 mg tablet, empagliflozin 10 mg tablet, Insulin Pen Needle 4mm Needle [sc], atorvastatin 20 mg tablet, empagliflozin 10 mg tablet, Insulin Pen Needle 4mm Needle [sc], atorvastatin 20 mg tablet, empagliflozin 10 mg tablet, Insulin Pen Needle 4mm Needle [sc], atorvastatin 20 mg tablet, empagliflozin 10 mg tablet, amLODIPine 10 mg capsule, metFORMIN hydrochloride 750 mg tablet: modified release, amLODIPine 10 mg capsule, metFORMIN hydrochloride 750 mg tablet: modified release, amLODIPine 10 mg capsule, metFORMIN hydrochloride 750 mg tablet: modified release, amLODIPine 10 mg capsule, metFORMIN hydrochloride 750 mg tablet: modified release, amLODIPine 10 mg capsule, metFORMIN hydrochloride 750 mg tablet: modified release, amLODIPine 10 mg capsule, metFORMIN hydrochloride 750 mg tablet: modified release, amLODIPine 10 mg capsule, metFORMIN hydrochloride 750 mg tablet: modified release, amLODIPine 10 mg capsule, metFORMIN hydrochloride 750 mg tablet: modified release, amLODIPine 10 mg capsule, metFORMIN hydrochloride 750 mg tablet: modified release, amLODIPine 10 mg capsule, metFORMIN hydrochloride 750 mg tablet: modified release, amLODIPine 10 mg capsule, metFORMIN hydrochloride 750 mg tablet: modified release, amLODIPine 10 mg capsule, metFORMIN hydrochloride 750 mg tablet: modified release,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t>
  </si>
  <si>
    <t>اميره علي سعيد باجبع</t>
  </si>
  <si>
    <t>vitamin B complex (B, B, empagliflozin, omeprazole, paraffin soft white ointment, tube, paracetamol, amLODIPine, diclofenac sodium, Lancets (Accu-Check)</t>
  </si>
  <si>
    <t>vitamin B complex (B1,B6,B12) 100,200,0.2 mg Film coated tablets [oral], empagliflozin 25 mg tablet, vitamin B complex (B1,B6,B12) 100,200,0.2 mg Film coated tablets [oral], empagliflozin 25 mg tablet, vitamin B complex (B1,B6,B12) 100,200,0.2 mg Film coated tablets [oral], empagliflozin 25 mg tablet, vitamin B complex (B1,B6,B12) 100,200,0.2 mg Film coated tablets [oral], empagliflozin 25 mg tablet, vitamin B complex (B1,B6,B12) 100,200,0.2 mg Film coated tablets [oral], empagliflozin 25 mg tablet, vitamin B complex (B1,B6,B12) 100,200,0.2 mg Film coated tablets [oral], empagliflozin 25 mg tablet, omeprazole 20 mg tablet: enteric coated, paraffin soft white ointment, tube, paracetamol 500 mg tablet, amLODIPine 5 mg tablet, omeprazole 20 mg tablet: enteric coated, paraffin soft white ointment, tube, paracetamol 500 mg tablet, amLODIPine 5 mg tablet, omeprazole 20 mg tablet: enteric coated, paraffin soft white ointment, tube, paracetamol 500 mg tablet, amLODIPine 5 mg tablet, omeprazole 20 mg tablet: enteric coated, paraffin soft white ointment, tube, paracetamol 500 mg tablet, amLODIPine 5 mg tablet, omeprazole 20 mg tablet: enteric coated, paraffin soft white ointment, tube, paracetamol 500 mg tablet, amLODIPine 5 mg tablet, omeprazole 20 mg tablet: enteric coated, paraffin soft white ointment, tube, paracetamol 500 mg tablet, amLODIPine 5 mg tablet, diclofenac sodium 1% (10 mg/g) gel, Lancets (Accu-Check) 1 box Lancets [n/a], SITagliptin 100 mg tablet, carbomer 0.2% (2 mg/g) eye gel, diclofenac sodium 1% (10 mg/g) gel, Lancets (Accu-Check) 1 box Lancets [n/a], SITagliptin 100 mg tablet, carbomer 0.2% (2 mg/g) eye gel, diclofenac sodium 1% (10 mg/g) gel, Lancets (Accu-Check) 1 box Lancets [n/a], SITagliptin 100 mg tablet, carbomer 0.2% (2 mg/g) eye gel, diclofenac sodium 1% (10 mg/g) gel, Lancets (Accu-Check) 1 box Lancets [n/a], SITagliptin 100 mg tablet, carbomer 0.2% (2 mg/g) eye gel, diclofenac sodium 1% (10 mg/g) gel, Lancets (Accu-Check) 1 box Lancets [n/a], SITagliptin 100 mg tablet, carbomer 0.2% (2 mg/g) eye gel, diclofenac sodium 1% (10 mg/g) gel, Lancets (Accu-Check) 1 box Lancets [n/a], SITagliptin 100 mg tablet, carbomer 0.2% (2 mg/g) eye gel, cetirizine hydrochloride 10 mg tablet, metFORMIN hydrochloride 500 mg tablet, Strips (Accu-Check) 1 box Strip [n/a], atorvastatin 20 mg tablet, cetirizine hydrochloride 10 mg tablet, metFORMIN hydrochloride 500 mg tablet, Strips (Accu-Check) 1 box Strip [n/a], atorvastatin 20 mg tablet, cetirizine hydrochloride 10 mg tablet, metFORMIN hydrochloride 500 mg tablet, Strips (Accu-Check) 1 box Strip [n/a], atorvastatin 20 mg tablet, cetirizine hydrochloride 10 mg tablet, metFORMIN hydrochloride 500 mg tablet, Strips (Accu-Check) 1 box Strip [n/a], atorvastatin 20 mg tablet, cetirizine hydrochloride 10 mg tablet, metFORMIN hydrochloride 500 mg tablet, Strips (Accu-Check) 1 box Strip [n/a], atorvastatin 20 mg tablet, cetirizine hydrochloride 10 mg tablet, metFORMIN hydrochloride 500 mg tablet, Strips (Accu-Check) 1 box Strip [n/a], atorvastatin 20 mg tablet, paracetamol 500 mg tablet, empagliflozin 25 mg tablet, paraffin soft white ointment, tube, paracetamol 500 mg tablet, empagliflozin 25 mg tablet, paraffin soft white ointment, tube, paracetamol 500 mg tablet, empagliflozin 25 mg tablet, paraffin soft white ointment, tube, paracetamol 500 mg tablet, empagliflozin 25 mg tablet, paraffin soft white ointment, tube, paracetamol 500 mg tablet, empagliflozin 25 mg tablet, paraffin soft white ointment, tube, paracetamol 500 mg tablet, empagliflozin 25 mg tablet, paraffin soft white ointment, tube,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diclofenac sodium 1% (10 mg/g) gel, metFORMIN hydrochloride 500 mg tablet, amLODIPine 5 mg tablet, Lancets (Accu-Check) 1 box Lancets [n/a], SITagliptin 100 mg tablet, cetirizine hydrochloride 10 mg tablet, diclofenac sodium 1% (10 mg/g) gel, metFORMIN hydrochloride 500 mg tablet, amLODIPine 5 mg tablet, Lancets (Accu-Check) 1 box Lancets [n/a], SITagliptin 100 mg tablet, cetirizine hydrochloride 10 mg tablet, diclofenac sodium 1% (10 mg/g) gel, metFORMIN hydrochloride 500 mg tablet, amLODIPine 5 mg tablet, Lancets (Accu-Check) 1 box Lancets [n/a], SITagliptin 100 mg tablet, cetirizine hydrochloride 10 mg tablet, diclofenac sodium 1% (10 mg/g) gel, metFORMIN hydrochloride 500 mg tablet, amLODIPine 5 mg tablet, Lancets (Accu-Check) 1 box Lancets [n/a], SITagliptin 100 mg tablet, cetirizine hydrochloride 10 mg tablet, diclofenac sodium 1% (10 mg/g) gel, metFORMIN hydrochloride 500 mg tablet, amLODIPine 5 mg tablet, Lancets (Accu-Check) 1 box Lancets [n/a], SITagliptin 100 mg tablet, cetirizine hydrochloride 10 mg tablet, diclofenac sodium 1% (10 mg/g) gel, metFORMIN hydrochloride 500 mg tablet, amLODIPine 5 mg tablet, Lancets (Accu-Check) 1 box Lancets [n/a], SITagliptin 100 mg tablet, cetirizine hydrochloride 10 mg tablet, omeprazole 20 mg tablet: enteric coated, Strips (Accu-Check) 1 box Strip [n/a], carbomer 0.2% (2 mg/g) eye gel, omeprazole 20 mg tablet: enteric coated, Strips (Accu-Check) 1 box Strip [n/a], carbomer 0.2% (2 mg/g) eye gel, omeprazole 20 mg tablet: enteric coated, Strips (Accu-Check) 1 box Strip [n/a], carbomer 0.2% (2 mg/g) eye gel, omeprazole 20 mg tablet: enteric coated, Strips (Accu-Check) 1 box Strip [n/a], carbomer 0.2% (2 mg/g) eye gel, omeprazole 20 mg tablet: enteric coated, Strips (Accu-Check) 1 box Strip [n/a], carbomer 0.2% (2 mg/g) eye gel, omeprazole 20 mg tablet: enteric coated, Strips (Accu-Check) 1 box Strip [n/a], carbomer 0.2% (2 mg/g) eye gel, empagliflozin 25 mg tablet, metFORMIN hydrochloride 500 mg tablet, empagliflozin 25 mg tablet, metFORMIN hydrochloride 500 mg tablet, empagliflozin 25 mg tablet, metFORMIN hydrochloride 500 mg tablet, empagliflozin 25 mg tablet, metFORMIN hydrochloride 500 mg tablet, empagliflozin 25 mg tablet, metFORMIN hydrochloride 500 mg tablet, empagliflozin 25 mg tablet, metFORMIN hydrochloride 500 mg tablet, vitamin B complex (B1,B6,B12) 100,200,0.2 mg Film coated tablets [oral], diclofenac sodium 1% (10 mg/g) gel, paraffin soft white ointment, tube, SITagliptin 100 mg tablet, vitamin B complex (B1,B6,B12) 100,200,0.2 mg Film coated tablets [oral], diclofenac sodium 1% (10 mg/g) gel, paraffin soft white ointment, tube, SITagliptin 100 mg tablet, vitamin B complex (B1,B6,B12) 100,200,0.2 mg Film coated tablets [oral], diclofenac sodium 1% (10 mg/g) gel, paraffin soft white ointment, tube, SITagliptin 100 mg tablet, vitamin B complex (B1,B6,B12) 100,200,0.2 mg Film coated tablets [oral], diclofenac sodium 1% (10 mg/g) gel, paraffin soft white ointment, tube, SITagliptin 100 mg tablet, vitamin B complex (B1,B6,B12) 100,200,0.2 mg Film coated tablets [oral], diclofenac sodium 1% (10 mg/g) gel, paraffin soft white ointment, tube, SITagliptin 100 mg tablet, vitamin B complex (B1,B6,B12) 100,200,0.2 mg Film coated tablets [oral], diclofenac sodium 1% (10 mg/g) gel, paraffin soft white ointment, tube, SITagliptin 100 mg tablet, Strips (Accu-Check) 1 box Strip [n/a], cetirizine hydrochloride 10 mg tablet, omeprazole 20 mg tablet: enteric coated, Strips (Accu-Check) 1 box Strip [n/a], cetirizine hydrochloride 10 mg tablet, omeprazole 20 mg tablet: enteric coated, Strips (Accu-Check) 1 box Strip [n/a], cetirizine hydrochloride 10 mg tablet, omeprazole 20 mg tablet: enteric coated, Strips (Accu-Check) 1 box Strip [n/a], cetirizine hydrochloride 10 mg tablet, omeprazole 20 mg tablet: enteric coated, Strips (Accu-Check) 1 box Strip [n/a], cetirizine hydrochloride 10 mg tablet, omeprazole 20 mg tablet: enteric coated, Strips (Accu-Check) 1 box Strip [n/a], cetirizine hydrochloride 10 mg tablet, omeprazole 20 mg tablet: enteric coated, amLODIPine 5 mg tablet, carbomer 0.2% (2 mg/g) eye gel, atorvastatin 20 mg tablet, Lancets (Accu-Check) 1 box Lancets [n/a], amLODIPine 5 mg tablet, carbomer 0.2% (2 mg/g) eye gel, atorvastatin 20 mg tablet, Lancets (Accu-Check) 1 box Lancets [n/a], amLODIPine 5 mg tablet, carbomer 0.2% (2 mg/g) eye gel, atorvastatin 20 mg tablet, Lancets (Accu-Check) 1 box Lancets [n/a], amLODIPine 5 mg tablet, carbomer 0.2% (2 mg/g) eye gel, atorvastatin 20 mg tablet, Lancets (Accu-Check) 1 box Lancets [n/a], amLODIPine 5 mg tablet, carbomer 0.2% (2 mg/g) eye gel, atorvastatin 20 mg tablet, Lancets (Accu-Check) 1 box Lancets [n/a], amLODIPine 5 mg tablet, carbomer 0.2% (2 mg/g) eye gel, atorvastatin 20 mg tablet, Lancets (Accu-Check) 1 box Lancets [n/a], paracetamol 500 mg tablet, paracetamol 500 mg tablet, paracetamol 500 mg tablet, paracetamol 500 mg tablet, paracetamol 500 mg tablet, paracetamol 500 mg tablet</t>
  </si>
  <si>
    <t>علوه سهلان عبدالله الشمراني</t>
  </si>
  <si>
    <t>diclofenac sodium, colecalciferol</t>
  </si>
  <si>
    <t>diclofenac sodium 1% (10 mg/g) gel, diclofenac sodium 1% (10 mg/g) gel, diclofenac sodium 1% (10 mg/g) gel,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diclofenac sodium 1% (10 mg/g) gel, diclofenac sodium 1% (10 mg/g) gel, diclofenac sodium 1% (10 mg/g) gel</t>
  </si>
  <si>
    <t>محسن سالم احمد بن زقر</t>
  </si>
  <si>
    <t>cetirizine hydrochloride, diphenhydrAMINE hydrochloride, paracetamol, levothyroxine sodium, amoxicillin, budesonide</t>
  </si>
  <si>
    <t>cetirizine hydrochloride 10 mg tablet, diphenhydrAMINE hydrochloride 7 mg/5 mL + menthol 550 microgram/5 mL + sodium citrate 28.5 mg/5 mL oral liquid, cetirizine hydrochloride 10 mg tablet, diphenhydrAMINE hydrochloride 7 mg/5 mL + menthol 550 microgram/5 mL + sodium citrate 28.5 mg/5 mL oral liquid, cetirizine hydrochloride 10 mg tablet, diphenhydrAMINE hydrochloride 7 mg/5 mL + menthol 550 microgram/5 mL + sodium citrate 28.5 mg/5 mL oral liquid, cetirizine hydrochloride 10 mg tablet, diphenhydrAMINE hydrochloride 7 mg/5 mL + menthol 550 microgram/5 mL + sodium citrate 28.5 mg/5 mL oral liquid, paracetamol 500 mg + codeine phosphate 8 mg + caffeine 30 mg tablet, levothyroxine sodium 100 microgram tablet, amoxicillin 500 mg capsule, budesonide 64 microgram/actuation nasal spray, paracetamol 500 mg + codeine phosphate 8 mg + caffeine 30 mg tablet, levothyroxine sodium 100 microgram tablet, amoxicillin 500 mg capsule, budesonide 64 microgram/actuation nasal spray, paracetamol 500 mg + codeine phosphate 8 mg + caffeine 30 mg tablet, levothyroxine sodium 100 microgram tablet, amoxicillin 500 mg capsule, budesonide 64 microgram/actuation nasal spray, paracetamol 500 mg + codeine phosphate 8 mg + caffeine 30 mg tablet, levothyroxine sodium 100 microgram tablet, amoxicillin 500 mg capsule, budesonide 64 microgram/actuation nasal spray, diphenhydrAMINE hydrochloride 7 mg/5 mL + menthol 550 microgram/5 mL + sodium citrate 28.5 mg/5 mL oral liquid, levothyroxine sodium 100 microgram tablet, amoxicillin 500 mg capsule, paracetamol 500 mg + codeine phosphate 8 mg + caffeine 30 mg tablet, cetirizine hydrochloride 10 mg tablet, budesonide 64 microgram/actuation nasal spray, diphenhydrAMINE hydrochloride 7 mg/5 mL + menthol 550 microgram/5 mL + sodium citrate 28.5 mg/5 mL oral liquid, levothyroxine sodium 100 microgram tablet, amoxicillin 500 mg capsule, paracetamol 500 mg + codeine phosphate 8 mg + caffeine 30 mg tablet, cetirizine hydrochloride 10 mg tablet, budesonide 64 microgram/actuation nasal spray, diphenhydrAMINE hydrochloride 7 mg/5 mL + menthol 550 microgram/5 mL + sodium citrate 28.5 mg/5 mL oral liquid, levothyroxine sodium 100 microgram tablet, amoxicillin 500 mg capsule, paracetamol 500 mg + codeine phosphate 8 mg + caffeine 30 mg tablet, cetirizine hydrochloride 10 mg tablet, budesonide 64 microgram/actuation nasal spray, diphenhydrAMINE hydrochloride 7 mg/5 mL + menthol 550 microgram/5 mL + sodium citrate 28.5 mg/5 mL oral liquid, levothyroxine sodium 100 microgram tablet, amoxicillin 500 mg capsule, paracetamol 500 mg + codeine phosphate 8 mg + caffeine 30 mg tablet, cetirizine hydrochloride 10 mg tablet, budesonide 64 microgram/actuation nasal spray</t>
  </si>
  <si>
    <t>مشبب سعيد عون الشواطي</t>
  </si>
  <si>
    <t>amLODIPine 5 mg tablet, amLODIPine 5 mg tablet, amLODIPine 5 mg tablet, amLODIPine 5 mg tablet</t>
  </si>
  <si>
    <t>محمد خلوفه احمد عسيري</t>
  </si>
  <si>
    <t>betamethasone (as valerate)</t>
  </si>
  <si>
    <t>betamethasone (as valerate) 0.1% (1 mg/g) + fusidic acid 2% (20 mg/g) cream, betamethasone (as valerate) 0.1% (1 mg/g) + fusidic acid 2% (20 mg/g) cream, betamethasone (as valerate) 0.1% (1 mg/g) + fusidic acid 2% (20 mg/g) cream, betamethasone (as valerate) 0.1% (1 mg/g) + fusidic acid 2% (20 mg/g) cream, betamethasone (as valerate) 0.1% (1 mg/g) + fusidic acid 2% (20 mg/g) cream, betamethasone (as valerate) 0.1% (1 mg/g) + fusidic acid 2% (20 mg/g) cream, betamethasone (as valerate) 0.1% (1 mg/g) + fusidic acid 2% (20 mg/g) cream, betamethasone (as valerate) 0.1% (1 mg/g) + fusidic acid 2% (20 mg/g) cream, betamethasone (as valerate) 0.1% (1 mg/g) + fusidic acid 2% (20 mg/g) cream, betamethasone (as valerate) 0.1% (1 mg/g) + fusidic acid 2% (20 mg/g) cream, betamethasone (as valerate) 0.1% (1 mg/g) + fusidic acid 2% (20 mg/g) cream, betamethasone (as valerate) 0.1% (1 mg/g) + fusidic acid 2% (20 mg/g) cream, betamethasone (as valerate) 0.1% (1 mg/g) + fusidic acid 2% (20 mg/g) cream, betamethasone (as valerate) 0.1% (1 mg/g) + fusidic acid 2% (20 mg/g) cream, betamethasone (as valerate) 0.1% (1 mg/g) + fusidic acid 2% (20 mg/g) cream, betamethasone (as valerate) 0.1% (1 mg/g) + fusidic acid 2% (20 mg/g) cream, betamethasone (as valerate) 0.1% (1 mg/g) + fusidic acid 2% (20 mg/g) cream, betamethasone (as valerate) 0.1% (1 mg/g) + fusidic acid 2% (20 mg/g) cream, betamethasone (as valerate) 0.1% (1 mg/g) + fusidic acid 2% (20 mg/g) cream, betamethasone (as valerate) 0.1% (1 mg/g) + fusidic acid 2% (20 mg/g) cream, betamethasone (as valerate) 0.1% (1 mg/g) + fusidic acid 2% (20 mg/g) cream</t>
  </si>
  <si>
    <t>حسن عيدان موسى الزهراني</t>
  </si>
  <si>
    <t>bisoprolol fumarate, valsartan, gliclazide, atorvastatin, acetylsalicylic acid, furosemide</t>
  </si>
  <si>
    <t>bisoprolol fumarate 5 mg tablet, bisoprolol fumarate 5 mg tablet, bisoprolol fumarate 5 mg tablet, bisoprolol fumarate 5 mg tablet, bisoprolol fumarate 5 mg tablet, bisoprolol fumarate 5 mg tablet, valsartan 80 mg tablet, valsartan 80 mg tablet, valsartan 80 mg tablet, valsartan 80 mg tablet, valsartan 80 mg tablet, valsartan 80 mg tablet, gliclazide 60 mg tablet: modified release, atorvastatin 20 mg tablet, gliclazide 60 mg tablet: modified release, atorvastatin 20 mg tablet, gliclazide 60 mg tablet: modified release, atorvastatin 20 mg tablet, gliclazide 60 mg tablet: modified release, atorvastatin 20 mg tablet, gliclazide 60 mg tablet: modified release, atorvastatin 20 mg tablet, gliclazide 60 mg tablet: modified release, atorvastatin 20 mg tablet, acetylsalicylic acid 100 mg tablet: enteric coated, furosemide 40 mg tablet, acetylsalicylic acid 100 mg tablet: enteric coated, furosemide 40 mg tablet, acetylsalicylic acid 100 mg tablet: enteric coated, furosemide 40 mg tablet, acetylsalicylic acid 100 mg tablet: enteric coated, furosemide 40 mg tablet, acetylsalicylic acid 100 mg tablet: enteric coated, furosemide 40 mg tablet, acetylsalicylic acid 100 mg tablet: enteric coated, furosemide 40 mg tablet, atorvastatin 20 mg tablet, atorvastatin 20 mg tablet, atorvastatin 20 mg tablet, atorvastatin 20 mg tablet, atorvastatin 20 mg tablet, atorvastatin 20 mg tablet, bisoprolol fumarate 5 mg tablet, valsartan 80 mg tablet, acetylsalicylic acid 100 mg tablet: enteric coated, bisoprolol fumarate 5 mg tablet, valsartan 80 mg tablet, acetylsalicylic acid 100 mg tablet: enteric coated, bisoprolol fumarate 5 mg tablet, valsartan 80 mg tablet, acetylsalicylic acid 100 mg tablet: enteric coated, bisoprolol fumarate 5 mg tablet, valsartan 80 mg tablet, acetylsalicylic acid 100 mg tablet: enteric coated, bisoprolol fumarate 5 mg tablet, valsartan 80 mg tablet, acetylsalicylic acid 100 mg tablet: enteric coated, bisoprolol fumarate 5 mg tablet, valsartan 80 mg tablet, acetylsalicylic acid 100 mg tablet: enteric coated, furosemide 40 mg tablet, gliclazide 60 mg tablet: modified release, furosemide 40 mg tablet, gliclazide 60 mg tablet: modified release, furosemide 40 mg tablet, gliclazide 60 mg tablet: modified release, furosemide 40 mg tablet, gliclazide 60 mg tablet: modified release, furosemide 40 mg tablet, gliclazide 60 mg tablet: modified release, furosemide 40 mg tablet, gliclazide 60 mg tablet: modified release, gliclazide 60 mg tablet: modified release, furosemide 40 mg tablet, bisoprolol fumarate 5 mg tablet, gliclazide 60 mg tablet: modified release, furosemide 40 mg tablet, bisoprolol fumarate 5 mg tablet, gliclazide 60 mg tablet: modified release, furosemide 40 mg tablet, bisoprolol fumarate 5 mg tablet, gliclazide 60 mg tablet: modified release, furosemide 40 mg tablet, bisoprolol fumarate 5 mg tablet, gliclazide 60 mg tablet: modified release, furosemide 40 mg tablet, bisoprolol fumarate 5 mg tablet, gliclazide 60 mg tablet: modified release, furosemide 40 mg tablet, bisoprolol fumarate 5 mg tablet, acetylsalicylic acid 100 mg tablet: enteric coated, atorvastatin 20 mg tablet, valsartan 80 mg tablet, acetylsalicylic acid 100 mg tablet: enteric coated, atorvastatin 20 mg tablet, valsartan 80 mg tablet, acetylsalicylic acid 100 mg tablet: enteric coated, atorvastatin 20 mg tablet, valsartan 80 mg tablet, acetylsalicylic acid 100 mg tablet: enteric coated, atorvastatin 20 mg tablet, valsartan 80 mg tablet, acetylsalicylic acid 100 mg tablet: enteric coated, atorvastatin 20 mg tablet, valsartan 80 mg tablet, acetylsalicylic acid 100 mg tablet: enteric coated, atorvastatin 20 mg tablet, valsartan 80 mg tablet, valsartan 80 mg tablet, acetylsalicylic acid 100 mg tablet: enteric coated, furosemide 40 mg tablet, valsartan 80 mg tablet, acetylsalicylic acid 100 mg tablet: enteric coated, furosemide 40 mg tablet, valsartan 80 mg tablet, acetylsalicylic acid 100 mg tablet: enteric coated, furosemide 40 mg tablet, valsartan 80 mg tablet, acetylsalicylic acid 100 mg tablet: enteric coated, furosemide 40 mg tablet, valsartan 80 mg tablet, acetylsalicylic acid 100 mg tablet: enteric coated, furosemide 40 mg tablet, valsartan 80 mg tablet, acetylsalicylic acid 100 mg tablet: enteric coated, furosemide 40 mg tablet, gliclazide 60 mg tablet: modified release, bisoprolol fumarate 5 mg tablet, gliclazide 60 mg tablet: modified release, bisoprolol fumarate 5 mg tablet, gliclazide 60 mg tablet: modified release, bisoprolol fumarate 5 mg tablet, gliclazide 60 mg tablet: modified release, bisoprolol fumarate 5 mg tablet, gliclazide 60 mg tablet: modified release, bisoprolol fumarate 5 mg tablet, gliclazide 60 mg tablet: modified release, bisoprolol fumarate 5 mg tablet, atorvastatin 20 mg tablet, atorvastatin 20 mg tablet, atorvastatin 20 mg tablet, atorvastatin 20 mg tablet, atorvastatin 20 mg tablet, atorvastatin 20 mg tablet, furosemide 40 mg tablet, atorvastatin 20 mg tablet, furosemide 40 mg tablet, atorvastatin 20 mg tablet, furosemide 40 mg tablet, atorvastatin 20 mg tablet, furosemide 40 mg tablet, atorvastatin 20 mg tablet, furosemide 40 mg tablet, atorvastatin 20 mg tablet, furosemide 40 mg tablet, atorvastatin 20 mg tablet, acetylsalicylic acid 100 mg tablet: enteric coated, valsartan 80 mg tablet, acetylsalicylic acid 100 mg tablet: enteric coated, valsartan 80 mg tablet, acetylsalicylic acid 100 mg tablet: enteric coated, valsartan 80 mg tablet, acetylsalicylic acid 100 mg tablet: enteric coated, valsartan 80 mg tablet, acetylsalicylic acid 100 mg tablet: enteric coated, valsartan 80 mg tablet, acetylsalicylic acid 100 mg tablet: enteric coated, valsartan 80 mg tablet, bisoprolol fumarate 5 mg tablet, gliclazide 60 mg tablet: modified release, bisoprolol fumarate 5 mg tablet, gliclazide 60 mg tablet: modified release, bisoprolol fumarate 5 mg tablet, gliclazide 60 mg tablet: modified release, bisoprolol fumarate 5 mg tablet, gliclazide 60 mg tablet: modified release, bisoprolol fumarate 5 mg tablet, gliclazide 60 mg tablet: modified release, bisoprolol fumarate 5 mg tablet, gliclazide 60 mg tablet: modified release</t>
  </si>
  <si>
    <t>زرعه عبدالله علي القرني</t>
  </si>
  <si>
    <t>empagliflozin, insulin aspart, omeprazole, vitamin B complex (B, B, Glucometer Device (Accu-Chek), rosuvastatin, valsartan, Lancets (Accu-Check), colecalciferol</t>
  </si>
  <si>
    <t>empagliflozin 25 mg tablet, insulin aspart 30 international units/mL + insulin aspart protamine 70 international units/mL injection, 3 mL prefilled pen, empagliflozin 25 mg tablet, insulin aspart 30 international units/mL + insulin aspart protamine 70 international units/mL injection, 3 mL prefilled pen, empagliflozin 25 mg tablet, insulin aspart 30 international units/mL + insulin aspart protamine 70 international units/mL injection, 3 mL prefilled pen, omeprazole 20 mg tablet: enteric coated, vitamin B complex (B1,B6,B12) 100,200,0.2 mg Film coated tablets [oral], Glucometer Device (Accu-Chek) 1 device Device [n/a], rosuvastatin 20 mg tablet, valsartan 80 mg tablet, omeprazole 20 mg tablet: enteric coated, vitamin B complex (B1,B6,B12) 100,200,0.2 mg Film coated tablets [oral], Glucometer Device (Accu-Chek) 1 device Device [n/a], rosuvastatin 20 mg tablet, valsartan 80 mg tablet, omeprazole 20 mg tablet: enteric coated, vitamin B complex (B1,B6,B12) 100,200,0.2 mg Film coated tablets [oral], Glucometer Device (Accu-Chek) 1 device Device [n/a], rosuvastatin 20 mg tablet, valsartan 80 mg tablet, Lancets (Accu-Check) 1 box Lancets [n/a], Lancets (Accu-Check) 1 box Lancets [n/a], Lancets (Accu-Check) 1 box Lancets [n/a], colecalciferol 50 000 international units tablet, Strips (Accu-Check) 1 box Strip [n/a], colecalciferol 50 000 international units tablet, Strips (Accu-Check) 1 box Strip [n/a], colecalciferol 50 000 international units tablet, Strips (Accu-Check) 1 box Strip [n/a], Glucometer Device (Accu-Chek) 1 device Device [n/a], Glucometer Device (Accu-Chek) 1 device Device [n/a], Glucometer Device (Accu-Chek) 1 device Device [n/a], vitamin B complex (B1,B6,B12) 100,200,0.2 mg Film coated tablets [oral], valsartan 80 mg tablet, vitamin B complex (B1,B6,B12) 100,200,0.2 mg Film coated tablets [oral], valsartan 80 mg tablet, vitamin B complex (B1,B6,B12) 100,200,0.2 mg Film coated tablets [oral], valsartan 80 mg tablet, omeprazole 20 mg tablet: enteric coated, Strips (Accu-Check) 1 box Strip [n/a], rosuvastatin 20 mg tablet, omeprazole 20 mg tablet: enteric coated, Strips (Accu-Check) 1 box Strip [n/a], rosuvastatin 20 mg tablet, omeprazole 20 mg tablet: enteric coated, Strips (Accu-Check) 1 box Strip [n/a], rosuvastatin 20 mg tablet, empagliflozin 25 mg tablet, insulin aspart 30 international units/mL + insulin aspart protamine 70 international units/mL injection, 3 mL prefilled pen, Lancets (Accu-Check) 1 box Lancets [n/a], empagliflozin 25 mg tablet, insulin aspart 30 international units/mL + insulin aspart protamine 70 international units/mL injection, 3 mL prefilled pen, Lancets (Accu-Check) 1 box Lancets [n/a], empagliflozin 25 mg tablet, insulin aspart 30 international units/mL + insulin aspart protamine 70 international units/mL injection, 3 mL prefilled pen, Lancets (Accu-Check) 1 box Lancets [n/a], colecalciferol 50 000 international units tablet, colecalciferol 50 000 international units tablet, colecalciferol 50 000 international units tablet, rosuvastatin 20 mg tablet, omeprazole 20 mg tablet: enteric coated, valsartan 80 mg tablet, Strips (Accu-Check) 1 box Strip [n/a], rosuvastatin 20 mg tablet, omeprazole 20 mg tablet: enteric coated, valsartan 80 mg tablet, Strips (Accu-Check) 1 box Strip [n/a], rosuvastatin 20 mg tablet, omeprazole 20 mg tablet: enteric coated, valsartan 80 mg tablet, Strips (Accu-Check) 1 box Strip [n/a], Lancets (Accu-Check) 1 box Lancets [n/a], Lancets (Accu-Check) 1 box Lancets [n/a], Lancets (Accu-Check) 1 box Lancets [n/a], Glucometer Device (Accu-Chek) 1 device Device [n/a], insulin aspart 30 international units/mL + insulin aspart protamine 70 international units/mL injection, 3 mL prefilled pen, Glucometer Device (Accu-Chek) 1 device Device [n/a], insulin aspart 30 international units/mL + insulin aspart protamine 70 international units/mL injection, 3 mL prefilled pen, Glucometer Device (Accu-Chek) 1 device Device [n/a], insulin aspart 30 international units/mL + insulin aspart protamine 70 international units/mL injection, 3 mL prefilled pen, vitamin B complex (B1,B6,B12) 100,200,0.2 mg Film coated tablets [oral], vitamin B complex (B1,B6,B12) 100,200,0.2 mg Film coated tablets [oral], vitamin B complex (B1,B6,B12) 100,200,0.2 mg Film coated tablets [oral], empagliflozin 25 mg tablet, colecalciferol 50 000 international units tablet, empagliflozin 25 mg tablet, colecalciferol 50 000 international units tablet, empagliflozin 25 mg tablet, colecalciferol 50 000 international units tablet, colecalciferol 50 000 international units tablet, omeprazole 20 mg tablet: enteric coated, colecalciferol 50 000 international units tablet, omeprazole 20 mg tablet: enteric coated, colecalciferol 50 000 international units tablet, omeprazole 20 mg tablet: enteric coated, empagliflozin 25 mg tablet, rosuvastatin 20 mg tablet, empagliflozin 25 mg tablet, rosuvastatin 20 mg tablet, empagliflozin 25 mg tablet, rosuvastatin 20 mg tablet, insulin aspart 30 international units/mL + insulin aspart protamine 70 international units/mL injection, 3 mL prefilled pen, insulin aspart 30 international units/mL + insulin aspart protamine 70 international units/mL injection, 3 mL prefilled pen, insulin aspart 30 international units/mL + insulin aspart protamine 70 international units/mL injection, 3 mL prefilled pen</t>
  </si>
  <si>
    <t>محمد غالب لاحق المطيري</t>
  </si>
  <si>
    <t>valsartan 80 mg tablet, valsartan 80 mg tablet, valsartan 80 mg tablet, valsartan 80 mg tablet, valsartan 80 mg tablet, valsartan 80 mg tablet, valsartan 80 mg tablet, valsartan 80 mg tablet, valsartan 80 mg tablet, valsartan 80 mg tablet, valsartan 80 mg tablet, valsartan 80 mg tablet</t>
  </si>
  <si>
    <t>محمد عبده بكور الصائغ</t>
  </si>
  <si>
    <t>clopidogrel, bisoprolol fumarate, empagliflozin</t>
  </si>
  <si>
    <t>clopidogrel 75 mg tablet, clopidogrel 75 mg tablet, bisoprolol fumarate 5 mg tablet, empagliflozin 25 mg tablet, bisoprolol fumarate 5 mg tablet, empagliflozin 25 mg tablet, bisoprolol fumarate 5 mg tablet, empagliflozin 25 mg tablet, bisoprolol fumarate 5 mg tablet, empagliflozin 25 mg tablet, clopidogrel 75 mg tablet, clopidogrel 75 mg tablet, bisoprolol fumarate 5 mg tablet, bisoprolol fumarate 5 mg tablet, clopidogrel 75 mg tablet, clopidogrel 75 mg tablet, empagliflozin 25 mg tablet, empagliflozin 25 mg tablet, empagliflozin 25 mg tablet, bisoprolol fumarate 5 mg tablet, empagliflozin 25 mg tablet, bisoprolol fumarate 5 mg tablet, clopidogrel 75 mg tablet, clopidogrel 75 mg tablet</t>
  </si>
  <si>
    <t>Antiplatelet, Diabetes, Hypertension</t>
  </si>
  <si>
    <t>فواز مبارك محمد الاحمري</t>
  </si>
  <si>
    <t>colecalciferol, metFORMIN hydrochloride</t>
  </si>
  <si>
    <t>colecalciferol 50 000 international units tablet, metFORMIN hydrochloride 750 mg tablet: modified release, colecalciferol 50 000 international units tablet, metFORMIN hydrochloride 750 mg tablet: modified release, colecalciferol 50 000 international units tablet, metFORMIN hydrochloride 750 mg tablet: modified release, colecalciferol 50 000 international units tablet, colecalciferol 50 000 international units tablet, colecalciferol 50 000 international units tablet, metFORMIN hydrochloride 750 mg tablet: modified release, metFORMIN hydrochloride 750 mg tablet: modified release, metFORMIN hydrochloride 750 mg tablet: modified release</t>
  </si>
  <si>
    <t>عبدالله محمد الزهراني</t>
  </si>
  <si>
    <t>سميره محمود حامد عشكان</t>
  </si>
  <si>
    <t>fenofibrate, rosuvastatin</t>
  </si>
  <si>
    <t>fenofibrate 145 mg tablet, fenofibrate 145 mg tablet, fenofibrate 145 mg tablet, rosuvastatin 10 mg tablet, rosuvastatin 10 mg tablet, rosuvastatin 10 mg tablet, rosuvastatin 10 mg tablet, rosuvastatin 10 mg tablet, rosuvastatin 10 mg tablet, fenofibrate 145 mg tablet, fenofibrate 145 mg tablet, fenofibrate 145 mg tablet</t>
  </si>
  <si>
    <t>ظافر فايز سلطان الشهري</t>
  </si>
  <si>
    <t>عبدالله عبدالعزيز عبدالوهاب كتبي</t>
  </si>
  <si>
    <t>Strips (Accu-Check), Glucometer Device (Accu-Chek), Lancets (Accu-Check)</t>
  </si>
  <si>
    <t>Strips (Accu-Check) 1 box Strip [n/a], Strips (Accu-Check) 1 box Strip [n/a], Strips (Accu-Check) 1 box Strip [n/a], Strips (Accu-Check) 1 box Strip [n/a], Glucometer Device (Accu-Chek) 1 device Device [n/a], Glucometer Device (Accu-Chek) 1 device Device [n/a], Glucometer Device (Accu-Chek) 1 device Device [n/a], Glucometer Device (Accu-Chek) 1 device Device [n/a], Lancets (Accu-Check) 1 box Lancets [n/a], Lancets (Accu-Check) 1 box Lancets [n/a], Lancets (Accu-Check) 1 box Lancets [n/a], Lancets (Accu-Check) 1 box Lancets [n/a], Glucometer Device (Accu-Chek) 1 device Device [n/a], Strips (Accu-Check) 1 box Strip [n/a], Glucometer Device (Accu-Chek) 1 device Device [n/a], Strips (Accu-Check) 1 box Strip [n/a], Glucometer Device (Accu-Chek) 1 device Device [n/a], Strips (Accu-Check) 1 box Strip [n/a], Glucometer Device (Accu-Chek) 1 device Device [n/a], Strips (Accu-Check) 1 box Strip [n/a], Lancets (Accu-Check) 1 box Lancets [n/a], Lancets (Accu-Check) 1 box Lancets [n/a], Lancets (Accu-Check) 1 box Lancets [n/a], Lancets (Accu-Check) 1 box Lancets [n/a], Glucometer Device (Accu-Chek) 1 device Device [n/a], Glucometer Device (Accu-Chek) 1 device Device [n/a], Glucometer Device (Accu-Chek) 1 device Device [n/a], Glucometer Device (Accu-Chek) 1 device Device [n/a], Lancets (Accu-Check) 1 box Lancets [n/a], Strips (Accu-Check) 1 box Strip [n/a], Lancets (Accu-Check) 1 box Lancets [n/a], Strips (Accu-Check) 1 box Strip [n/a], Lancets (Accu-Check) 1 box Lancets [n/a], Strips (Accu-Check) 1 box Strip [n/a], Lancets (Accu-Check) 1 box Lancets [n/a], Strips (Accu-Check) 1 box Strip [n/a]</t>
  </si>
  <si>
    <t>خالد عبد الحليم عبدالكريم الميمني</t>
  </si>
  <si>
    <t>montelukast, insulin aspart, acetylsalicylic acid, empagliflozin, ticagrelor, bisoprolol fumarate, metFORMIN hydrochloride, rosuvastatin, insulin glargine (lantus), calcium carbonate</t>
  </si>
  <si>
    <t>montelukast 10 mg tablet, insulin aspart 100 international units/mL injection, 3 mL prefilled pen, montelukast 10 mg tablet, insulin aspart 100 international units/mL injection, 3 mL prefilled pen, montelukast 10 mg tablet, insulin aspart 100 international units/mL injection, 3 mL prefilled pen, acetylsalicylic acid 100 mg tablet: enteric coated, empagliflozin 10 mg tablet, acetylsalicylic acid 100 mg tablet: enteric coated, empagliflozin 10 mg tablet, acetylsalicylic acid 100 mg tablet: enteric coated, empagliflozin 10 mg tablet, ticagrelor 90 mg tablet, ticagrelor 90 mg tablet, ticagrelor 90 mg tablet, bisoprolol fumarate 5 mg tablet, bisoprolol fumarate 5 mg tablet, bisoprolol fumarate 5 mg tablet, metFORMIN hydrochloride 750 mg tablet: modified release, rosuvastatin 20 mg tablet, metFORMIN hydrochloride 750 mg tablet: modified release, rosuvastatin 20 mg tablet, metFORMIN hydrochloride 750 mg tablet: modified release, rosuvastatin 20 mg tablet, insulin glargine (lantus) 100 international units/mL injection, 3 mL prefilled pen, calcium carbonate 600 mg - colecalciferol 200 international units Film coated tablets [oral], insulin glargine (lantus) 100 international units/mL injection, 3 mL prefilled pen, calcium carbonate 600 mg - colecalciferol 200 international units Film coated tablets [oral], insulin glargine (lantus) 100 international units/mL injection, 3 mL prefilled pen, calcium carbonate 600 mg - colecalciferol 200 international units Film coated tablets [oral], empagliflozin 10 mg tablet, insulin glargine (lantus) 100 international units/mL injection, 3 mL prefilled pen, empagliflozin 10 mg tablet, insulin glargine (lantus) 100 international units/mL injection, 3 mL prefilled pen, empagliflozin 10 mg tablet, insulin glargine (lantus) 100 international units/mL injection, 3 mL prefilled pen, insulin aspart 100 international units/mL injection, 3 mL prefilled pen, acetylsalicylic acid 100 mg tablet: enteric coated, insulin aspart 100 international units/mL injection, 3 mL prefilled pen, acetylsalicylic acid 100 mg tablet: enteric coated, insulin aspart 100 international units/mL injection, 3 mL prefilled pen, acetylsalicylic acid 100 mg tablet: enteric coated, ticagrelor 90 mg tablet, montelukast 10 mg tablet, rosuvastatin 20 mg tablet, ticagrelor 90 mg tablet, montelukast 10 mg tablet, rosuvastatin 20 mg tablet, ticagrelor 90 mg tablet, montelukast 10 mg tablet, rosuvastatin 20 mg tablet, bisoprolol fumarate 5 mg tablet, bisoprolol fumarate 5 mg tablet, bisoprolol fumarate 5 mg tablet, metFORMIN hydrochloride 750 mg tablet: modified release, calcium carbonate 600 mg - colecalciferol 200 international units Film coated tablets [oral], metFORMIN hydrochloride 750 mg tablet: modified release, calcium carbonate 600 mg - colecalciferol 200 international units Film coated tablets [oral], metFORMIN hydrochloride 750 mg tablet: modified release, calcium carbonate 600 mg - colecalciferol 200 international units Film coated tablets [oral]</t>
  </si>
  <si>
    <t>مشهور محمد مشهور الغامدي</t>
  </si>
  <si>
    <t>vitamin B complex (B, B, colecalciferol, empagliflozin, atorvastatin, allopurinol, metFORMIN hydrochloride, acetylsalicylic acid</t>
  </si>
  <si>
    <t>vitamin B complex (B1,B6,B12) 100,200,0.2 mg Film coated tablets [oral], vitamin B complex (B1,B6,B12) 100,200,0.2 mg Film coated tablets [oral], vitamin B complex (B1,B6,B12) 100,200,0.2 mg Film coated tablets [oral], vitamin B complex (B1,B6,B12) 100,200,0.2 mg Film coated tablets [oral], colecalciferol 1 000 international units capsule, empagliflozin 25 mg tablet, atorvastatin 20 mg tablet, colecalciferol 1 000 international units capsule, empagliflozin 25 mg tablet, atorvastatin 20 mg tablet, colecalciferol 1 000 international units capsule, empagliflozin 25 mg tablet, atorvastatin 20 mg tablet, colecalciferol 1 000 international units capsule, empagliflozin 25 mg tablet, atorvastatin 20 mg tablet, allopurinol 300 mg tablet, allopurinol 300 mg tablet, allopurinol 300 mg tablet, allopurinol 300 mg tablet, allopurinol 300 mg tablet, vitamin B complex (B1,B6,B12) 100,200,0.2 mg Film coated tablets [oral], metFORMIN hydrochloride 750 mg tablet: modified release, atorvastatin 20 mg tablet, allopurinol 300 mg tablet, vitamin B complex (B1,B6,B12) 100,200,0.2 mg Film coated tablets [oral], metFORMIN hydrochloride 750 mg tablet: modified release, atorvastatin 20 mg tablet, allopurinol 300 mg tablet, vitamin B complex (B1,B6,B12) 100,200,0.2 mg Film coated tablets [oral], metFORMIN hydrochloride 750 mg tablet: modified release, atorvastatin 20 mg tablet, allopurinol 300 mg tablet, vitamin B complex (B1,B6,B12) 100,200,0.2 mg Film coated tablets [oral], metFORMIN hydrochloride 750 mg tablet: modified release, atorvastatin 20 mg tablet, empagliflozin 25 mg tablet, empagliflozin 25 mg tablet, empagliflozin 25 mg tablet, empagliflozin 25 mg tablet, colecalciferol 1 000 international units capsule, acetylsalicylic acid 100 mg tablet: enteric coated, colecalciferol 1 000 international units capsule, acetylsalicylic acid 100 mg tablet: enteric coated, colecalciferol 1 000 international units capsule, acetylsalicylic acid 100 mg tablet: enteric coated, colecalciferol 1 000 international units capsule, acetylsalicylic acid 100 mg tablet: enteric coated, acetylsalicylic acid 100 mg tablet: enteric coated, allopurinol 300 mg tablet, empagliflozin 25 mg tablet, vitamin B complex (B1,B6,B12) 100,200,0.2 mg Film coated tablets [oral], atorvastatin 20 mg tablet, metFORMIN hydrochloride 750 mg tablet: modified release, colecalciferol 1 000 international units capsule, acetylsalicylic acid 100 mg tablet: enteric coated, allopurinol 300 mg tablet, empagliflozin 25 mg tablet, vitamin B complex (B1,B6,B12) 100,200,0.2 mg Film coated tablets [oral], atorvastatin 20 mg tablet, metFORMIN hydrochloride 750 mg tablet: modified release, colecalciferol 1 000 international units capsule, acetylsalicylic acid 100 mg tablet: enteric coated, allopurinol 300 mg tablet, empagliflozin 25 mg tablet, vitamin B complex (B1,B6,B12) 100,200,0.2 mg Film coated tablets [oral], atorvastatin 20 mg tablet, metFORMIN hydrochloride 750 mg tablet: modified release, colecalciferol 1 000 international units capsule, acetylsalicylic acid 100 mg tablet: enteric coated, allopurinol 300 mg tablet, empagliflozin 25 mg tablet, vitamin B complex (B1,B6,B12) 100,200,0.2 mg Film coated tablets [oral], atorvastatin 20 mg tablet, metFORMIN hydrochloride 750 mg tablet: modified release, colecalciferol 1 000 international units capsule, vitamin B complex (B1,B6,B12) 100,200,0.2 mg Film coated tablets [oral], vitamin B complex (B1,B6,B12) 100,200,0.2 mg Film coated tablets [oral], vitamin B complex (B1,B6,B12) 100,200,0.2 mg Film coated tablets [oral], vitamin B complex (B1,B6,B12) 100,200,0.2 mg Film coated tablets [oral], allopurinol 300 mg tablet, atorvastatin 20 mg tablet, allopurinol 300 mg tablet, atorvastatin 20 mg tablet, allopurinol 300 mg tablet, atorvastatin 20 mg tablet, allopurinol 300 mg tablet, atorvastatin 20 mg tablet, colecalciferol 1 000 international units capsule, colecalciferol 1 000 international units capsule, colecalciferol 1 000 international units capsule, colecalciferol 1 000 international units capsule, vitamin B complex (B1,B6,B12) 100,200,0.2 mg Film coated tablets [oral], vitamin B complex (B1,B6,B12) 100,200,0.2 mg Film coated tablets [oral], vitamin B complex (B1,B6,B12) 100,200,0.2 mg Film coated tablets [oral], vitamin B complex (B1,B6,B12) 100,200,0.2 mg Film coated tablets [oral], colecalciferol 1 000 international units capsule, acetylsalicylic acid 100 mg tablet: enteric coated, colecalciferol 1 000 international units capsule, acetylsalicylic acid 100 mg tablet: enteric coated, colecalciferol 1 000 international units capsule, acetylsalicylic acid 100 mg tablet: enteric coated, colecalciferol 1 000 international units capsule, acetylsalicylic acid 100 mg tablet: enteric coated, empagliflozin 25 mg tablet, metFORMIN hydrochloride 750 mg tablet: modified release, atorvastatin 20 mg tablet, empagliflozin 25 mg tablet, metFORMIN hydrochloride 750 mg tablet: modified release, atorvastatin 20 mg tablet, empagliflozin 25 mg tablet, metFORMIN hydrochloride 750 mg tablet: modified release, atorvastatin 20 mg tablet, empagliflozin 25 mg tablet, metFORMIN hydrochloride 750 mg tablet: modified release, atorvastatin 20 mg tablet, allopurinol 300 mg tablet, allopurinol 300 mg tablet, allopurinol 300 mg tablet, allopurinol 300 mg tablet</t>
  </si>
  <si>
    <t>سالم احمد سالم الزهراني</t>
  </si>
  <si>
    <t>cetirizine hydrochloride, diclofenac sodium, chlorzoxazone, atorvastatin, colecalciferol</t>
  </si>
  <si>
    <t>cetirizine hydrochloride 10 mg tablet, cetirizine hydrochloride 10 mg tablet, cetirizine hydrochloride 10 mg tablet, cetirizine hydrochloride 10 mg tablet, cetirizine hydrochloride 10 mg tablet, diclofenac sodium 1% (10 mg/g) gel, diclofenac sodium 1% (10 mg/g) gel, diclofenac sodium 1% (10 mg/g) gel, diclofenac sodium 1% (10 mg/g) gel, diclofenac sodium 1% (10 mg/g) gel, chlorzoxazone 250 mg + paracetamol 300 mg capsule, chlorzoxazone 250 mg + paracetamol 300 mg capsule, chlorzoxazone 250 mg + paracetamol 300 mg capsule, chlorzoxazone 250 mg + paracetamol 300 mg capsule, chlorzoxazone 250 mg + paracetamol 300 mg capsule, atorvastatin 10 mg tablet, colecalciferol 5000 international units Capsules [oral], atorvastatin 10 mg tablet, colecalciferol 5000 international units Capsules [oral], atorvastatin 10 mg tablet, colecalciferol 5000 international units Capsules [oral], atorvastatin 10 mg tablet, colecalciferol 5000 international units Capsules [oral], atorvastatin 10 mg tablet, colecalciferol 5000 international units Capsules [oral], atorvastatin 10 mg tablet, atorvastatin 10 mg tablet, atorvastatin 10 mg tablet, atorvastatin 10 mg tablet, atorvastatin 10 mg tablet, cetirizine hydrochloride 10 mg tablet, diclofenac sodium 1% (10 mg/g) gel, cetirizine hydrochloride 10 mg tablet, diclofenac sodium 1% (10 mg/g) gel, cetirizine hydrochloride 10 mg tablet, diclofenac sodium 1% (10 mg/g) gel, cetirizine hydrochloride 10 mg tablet, diclofenac sodium 1% (10 mg/g) gel, cetirizine hydrochloride 10 mg tablet, diclofenac sodium 1% (10 mg/g) gel, chlorzoxazone 250 mg + paracetamol 300 mg capsule, colecalciferol 5000 international units Capsules [oral], chlorzoxazone 250 mg + paracetamol 300 mg capsule, colecalciferol 5000 international units Capsules [oral], chlorzoxazone 250 mg + paracetamol 300 mg capsule, colecalciferol 5000 international units Capsules [oral], chlorzoxazone 250 mg + paracetamol 300 mg capsule, colecalciferol 5000 international units Capsules [oral], chlorzoxazone 250 mg + paracetamol 300 mg capsule, colecalciferol 5000 international units Capsules [oral], cetirizine hydrochloride 10 mg tablet, cetirizine hydrochloride 10 mg tablet, cetirizine hydrochloride 10 mg tablet, cetirizine hydrochloride 10 mg tablet, cetirizine hydrochloride 10 mg tablet, atorvastatin 10 mg tablet, atorvastatin 10 mg tablet, atorvastatin 10 mg tablet, atorvastatin 10 mg tablet, atorvastatin 10 mg tablet, chlorzoxazone 250 mg + paracetamol 300 mg capsule, chlorzoxazone 250 mg + paracetamol 300 mg capsule, chlorzoxazone 250 mg + paracetamol 300 mg capsule, chlorzoxazone 250 mg + paracetamol 300 mg capsule, chlorzoxazone 250 mg + paracetamol 300 mg capsule, colecalciferol 5000 international units Capsules [oral], colecalciferol 5000 international units Capsules [oral], colecalciferol 5000 international units Capsules [oral], colecalciferol 5000 international units Capsules [oral], colecalciferol 5000 international units Capsules [oral], chlorzoxazone 250 mg + paracetamol 300 mg capsule, colecalciferol 5000 international units Capsules [oral], chlorzoxazone 250 mg + paracetamol 300 mg capsule, colecalciferol 5000 international units Capsules [oral], chlorzoxazone 250 mg + paracetamol 300 mg capsule, colecalciferol 5000 international units Capsules [oral], chlorzoxazone 250 mg + paracetamol 300 mg capsule, colecalciferol 5000 international units Capsules [oral], chlorzoxazone 250 mg + paracetamol 300 mg capsule, colecalciferol 5000 international units Capsules [oral], cetirizine hydrochloride 10 mg tablet, diclofenac sodium 1% (10 mg/g) gel, cetirizine hydrochloride 10 mg tablet, diclofenac sodium 1% (10 mg/g) gel, cetirizine hydrochloride 10 mg tablet, diclofenac sodium 1% (10 mg/g) gel, cetirizine hydrochloride 10 mg tablet, diclofenac sodium 1% (10 mg/g) gel, cetirizine hydrochloride 10 mg tablet, diclofenac sodium 1% (10 mg/g) gel, cetirizine hydrochloride 10 mg tablet, colecalciferol 5000 international units Capsules [oral], cetirizine hydrochloride 10 mg tablet, colecalciferol 5000 international units Capsules [oral], cetirizine hydrochloride 10 mg tablet, colecalciferol 5000 international units Capsules [oral], cetirizine hydrochloride 10 mg tablet, colecalciferol 5000 international units Capsules [oral], cetirizine hydrochloride 10 mg tablet, colecalciferol 5000 international units Capsules [oral], diclofenac sodium 1% (10 mg/g) gel, atorvastatin 10 mg tablet, diclofenac sodium 1% (10 mg/g) gel, atorvastatin 10 mg tablet, diclofenac sodium 1% (10 mg/g) gel, atorvastatin 10 mg tablet, diclofenac sodium 1% (10 mg/g) gel, atorvastatin 10 mg tablet, diclofenac sodium 1% (10 mg/g) gel, atorvastatin 10 mg tablet, chlorzoxazone 250 mg + paracetamol 300 mg capsule, chlorzoxazone 250 mg + paracetamol 300 mg capsule, chlorzoxazone 250 mg + paracetamol 300 mg capsule, chlorzoxazone 250 mg + paracetamol 300 mg capsule, chlorzoxazone 250 mg + paracetamol 300 mg capsule, cetirizine hydrochloride 10 mg tablet, atorvastatin 10 mg tablet, chlorzoxazone 250 mg + paracetamol 300 mg capsule, cetirizine hydrochloride 10 mg tablet, atorvastatin 10 mg tablet, chlorzoxazone 250 mg + paracetamol 300 mg capsule, cetirizine hydrochloride 10 mg tablet, atorvastatin 10 mg tablet, chlorzoxazone 250 mg + paracetamol 300 mg capsule, cetirizine hydrochloride 10 mg tablet, atorvastatin 10 mg tablet, chlorzoxazone 250 mg + paracetamol 300 mg capsule, cetirizine hydrochloride 10 mg tablet, atorvastatin 10 mg tablet, chlorzoxazone 250 mg + paracetamol 300 mg capsule, diclofenac sodium 1% (10 mg/g) gel, diclofenac sodium 1% (10 mg/g) gel, diclofenac sodium 1% (10 mg/g) gel, diclofenac sodium 1% (10 mg/g) gel, diclofenac sodium 1% (10 mg/g) gel, colecalciferol 5000 international units Capsules [oral], colecalciferol 5000 international units Capsules [oral], colecalciferol 5000 international units Capsules [oral], colecalciferol 5000 international units Capsules [oral], colecalciferol 5000 international units Capsules [oral]</t>
  </si>
  <si>
    <t>حصه عباد دلبح العتيبي</t>
  </si>
  <si>
    <t>rosuvastatin, diclofenac sodium</t>
  </si>
  <si>
    <t>rosuvastatin 10 mg tablet, rosuvastatin 10 mg tablet, rosuvastatin 10 mg tablet, diclofenac sodium 1% (10 mg/g) gel, diclofenac sodium 1% (10 mg/g) gel, diclofenac sodium 1% (10 mg/g) gel, diclofenac sodium 1% (10 mg/g) gel, rosuvastatin 10 mg tablet, diclofenac sodium 1% (10 mg/g) gel, rosuvastatin 10 mg tablet, diclofenac sodium 1% (10 mg/g) gel, rosuvastatin 10 mg tablet, diclofenac sodium 1% (10 mg/g) gel, rosuvastatin 10 mg tablet, diclofenac sodium 1% (10 mg/g) gel, rosuvastatin 10 mg tablet, diclofenac sodium 1% (10 mg/g) gel, rosuvastatin 10 mg tablet</t>
  </si>
  <si>
    <t>سلوان علي الربعي</t>
  </si>
  <si>
    <t>احمد ضيف الله بن معوض العمري</t>
  </si>
  <si>
    <t>vitamin B complex (B, B, metFORMIN hydrochloride, SITagliptin, empagliflozin, gliclazide</t>
  </si>
  <si>
    <t>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metFORMIN hydrochloride 500 mg tablet, metFORMIN hydrochloride 500 mg tablet, metFORMIN hydrochloride 500 mg tablet, SITagliptin 100 mg tablet, vitamin B complex (B1,B6,B12) 100,200,0.2 mg Film coated tablets [oral], empagliflozin 25 mg tablet, SITagliptin 100 mg tablet, vitamin B complex (B1,B6,B12) 100,200,0.2 mg Film coated tablets [oral], empagliflozin 25 mg tablet, SITagliptin 100 mg tablet, vitamin B complex (B1,B6,B12) 100,200,0.2 mg Film coated tablets [oral], empagliflozin 25 mg tablet, SITagliptin 100 mg tablet, vitamin B complex (B1,B6,B12) 100,200,0.2 mg Film coated tablets [oral], empagliflozin 25 mg tablet, metFORMIN hydrochloride 500 mg tablet, metFORMIN hydrochloride 500 mg tablet, metFORMIN hydrochloride 500 mg tablet, metFORMIN hydrochloride 500 mg tablet, gliclazide 60 mg tablet: modified release, gliclazide 60 mg tablet: modified release, gliclazide 60 mg tablet: modified release, gliclazide 60 mg tablet: modified release, SITagliptin 100 mg tablet, empagliflozin 25 mg tablet, SITagliptin 100 mg tablet, empagliflozin 25 mg tablet, SITagliptin 100 mg tablet, empagliflozin 25 mg tablet, SITagliptin 100 mg tablet, empagliflozin 25 mg tablet, gliclazide 60 mg tablet: modified release, gliclazide 60 mg tablet: modified release, gliclazide 60 mg tablet: modified release, gliclazide 60 mg tablet: modified release, metFORMIN hydrochloride 500 mg tablet, metFORMIN hydrochloride 500 mg tablet, metFORMIN hydrochloride 500 mg tablet, metFORMIN hydrochloride 500 mg tablet, SITagliptin 100 mg tablet, empagliflozin 25 mg tablet, SITagliptin 100 mg tablet, empagliflozin 25 mg tablet, SITagliptin 100 mg tablet, empagliflozin 25 mg tablet, SITagliptin 100 mg tablet, empagliflozin 25 mg tablet, gliclazide 60 mg tablet: modified release, gliclazide 60 mg tablet: modified release, gliclazide 60 mg tablet: modified release, gliclazide 60 mg tablet: modified release, vitamin B complex (B1,B6,B12) 100,200,0.2 mg Film coated tablets [oral], vitamin B complex (B1,B6,B12) 100,200,0.2 mg Film coated tablets [oral], vitamin B complex (B1,B6,B12) 100,200,0.2 mg Film coated tablets [oral], vitamin B complex (B1,B6,B12) 100,200,0.2 mg Film coated tablets [oral]</t>
  </si>
  <si>
    <t>احمد محمد احمد موسى</t>
  </si>
  <si>
    <t>معيض عارف سعود العتيبي</t>
  </si>
  <si>
    <t>tamsulosin hydrochloride, rosuvastatin, vitamins (A, B, C, D, valsartan</t>
  </si>
  <si>
    <t>tamsulosin hydrochloride 400 microgram tablet: modified release, tamsulosin hydrochloride 400 microgram tablet: modified release, tamsulosin hydrochloride 400 microgram tablet: modified release, tamsulosin hydrochloride 400 microgram tablet: modified release, rosuvastatin 10 mg tablet, rosuvastatin 10 mg tablet, rosuvastatin 10 mg tablet, rosuvastatin 10 mg tablet, vitamins (A, B1, B2, B3, C, D3) tablet, vitamins (A, B1, B2, B3, C, D3) tablet, vitamins (A, B1, B2, B3, C, D3) tablet, vitamins (A, B1, B2, B3, C, D3) tablet, valsartan 80 mg tablet, valsartan 80 mg tablet, valsartan 80 mg tablet, valsartan 80 mg tablet, valsartan 80 mg tablet, valsartan 80 mg tablet, valsartan 80 mg tablet, valsartan 80 mg tablet, rosuvastatin 10 mg tablet, rosuvastatin 10 mg tablet, rosuvastatin 10 mg tablet, rosuvastatin 10 mg tablet, tamsulosin hydrochloride 400 microgram tablet: modified release, vitamins (A, B1, B2, B3, C, D3) tablet, tamsulosin hydrochloride 400 microgram tablet: modified release, vitamins (A, B1, B2, B3, C, D3) tablet, tamsulosin hydrochloride 400 microgram tablet: modified release, vitamins (A, B1, B2, B3, C, D3) tablet, tamsulosin hydrochloride 400 microgram tablet: modified release, vitamins (A, B1, B2, B3, C, D3) tablet</t>
  </si>
  <si>
    <t>حميده حامد علي الغامدي</t>
  </si>
  <si>
    <t>حسن صالح عوضه الحمراني</t>
  </si>
  <si>
    <t>يسلم سعيد عويض عمر</t>
  </si>
  <si>
    <t>empagliflozin, bisoprolol fumarate, valsartan, vitamin B complex (B, B, vitamins (A, C, D, SITagliptin, atorvastatin</t>
  </si>
  <si>
    <t>empagliflozin 10 mg tablet, empagliflozin 10 mg tablet, empagliflozin 10 mg tablet, empagliflozin 10 mg tablet, empagliflozin 10 mg tablet, bisoprolol fumarate 5 mg tablet, valsartan 80 mg tablet, vitamin B complex (B1,B6,B12) 100,200,0.2 mg Film coated tablets [oral], vitamins (A, B1, B2, B3, C, D3) tablet, SITagliptin 100 mg tablet, atorvastatin 20 mg tablet, metFORMIN hydrochloride 500 mg tablet, acetylsalicylic acid 100 mg tablet: enteric coated, bisoprolol fumarate 5 mg tablet, valsartan 80 mg tablet, vitamin B complex (B1,B6,B12) 100,200,0.2 mg Film coated tablets [oral], vitamins (A, B1, B2, B3, C, D3) tablet, SITagliptin 100 mg tablet, atorvastatin 20 mg tablet, metFORMIN hydrochloride 500 mg tablet, acetylsalicylic acid 100 mg tablet: enteric coated, bisoprolol fumarate 5 mg tablet, valsartan 80 mg tablet, vitamin B complex (B1,B6,B12) 100,200,0.2 mg Film coated tablets [oral], vitamins (A, B1, B2, B3, C, D3) tablet, SITagliptin 100 mg tablet, atorvastatin 20 mg tablet, metFORMIN hydrochloride 500 mg tablet, acetylsalicylic acid 100 mg tablet: enteric coated, bisoprolol fumarate 5 mg tablet, valsartan 80 mg tablet, vitamin B complex (B1,B6,B12) 100,200,0.2 mg Film coated tablets [oral], vitamins (A, B1, B2, B3, C, D3) tablet, SITagliptin 100 mg tablet, atorvastatin 20 mg tablet, metFORMIN hydrochloride 500 mg tablet, acetylsalicylic acid 100 mg tablet: enteric coated, bisoprolol fumarate 5 mg tablet, valsartan 80 mg tablet, vitamin B complex (B1,B6,B12) 100,200,0.2 mg Film coated tablets [oral], vitamins (A, B1, B2, B3, C, D3) tablet, SITagliptin 100 mg tablet, atorvastatin 20 mg tablet, metFORMIN hydrochloride 500 mg tablet, acetylsalicylic acid 100 mg tablet: enteric coated, acetylsalicylic acid 100 mg tablet: enteric coated, valsartan 80 mg tablet, bisoprolol fumarate 5 mg tablet, vitamins (A, B1, B2, B3, C, D3) tablet, vitamin B complex (B1,B6,B12) 100,200,0.2 mg Film coated tablets [oral], acetylsalicylic acid 100 mg tablet: enteric coated, valsartan 80 mg tablet, bisoprolol fumarate 5 mg tablet, vitamins (A, B1, B2, B3, C, D3) tablet, vitamin B complex (B1,B6,B12) 100,200,0.2 mg Film coated tablets [oral], acetylsalicylic acid 100 mg tablet: enteric coated, valsartan 80 mg tablet, bisoprolol fumarate 5 mg tablet, vitamins (A, B1, B2, B3, C, D3) tablet, vitamin B complex (B1,B6,B12) 100,200,0.2 mg Film coated tablets [oral], acetylsalicylic acid 100 mg tablet: enteric coated, valsartan 80 mg tablet, bisoprolol fumarate 5 mg tablet, vitamins (A, B1, B2, B3, C, D3) tablet, vitamin B complex (B1,B6,B12) 100,200,0.2 mg Film coated tablets [oral], acetylsalicylic acid 100 mg tablet: enteric coated, valsartan 80 mg tablet, bisoprolol fumarate 5 mg tablet, vitamins (A, B1, B2, B3, C, D3) tablet, vitamin B complex (B1,B6,B12) 100,200,0.2 mg Film coated tablets [oral], SITagliptin 100 mg tablet, SITagliptin 100 mg tablet, SITagliptin 100 mg tablet, SITagliptin 100 mg tablet, SITagliptin 100 mg tablet, atorvastatin 20 mg tablet, empagliflozin 10 mg tablet, metFORMIN hydrochloride 500 mg tablet, atorvastatin 20 mg tablet, empagliflozin 10 mg tablet, metFORMIN hydrochloride 500 mg tablet, atorvastatin 20 mg tablet, empagliflozin 10 mg tablet, metFORMIN hydrochloride 500 mg tablet, atorvastatin 20 mg tablet, empagliflozin 10 mg tablet, metFORMIN hydrochloride 500 mg tablet, atorvastatin 20 mg tablet, empagliflozin 10 mg tablet, metFORMIN hydrochloride 500 mg tablet, bisoprolol fumarate 5 mg tablet, bisoprolol fumarate 5 mg tablet, bisoprolol fumarate 5 mg tablet, bisoprolol fumarate 5 mg tablet, bisoprolol fumarate 5 mg tablet, acetylsalicylic acid 100 mg tablet: enteric coated, acetylsalicylic acid 100 mg tablet: enteric coated, acetylsalicylic acid 100 mg tablet: enteric coated, acetylsalicylic acid 100 mg tablet: enteric coated, acetylsalicylic acid 100 mg tablet: enteric coated, SITagliptin 100 mg tablet, vitamins (A, B1, B2, B3, C, D3) tablet, SITagliptin 100 mg tablet, vitamins (A, B1, B2, B3, C, D3) tablet, SITagliptin 100 mg tablet, vitamins (A, B1, B2, B3, C, D3) tablet, SITagliptin 100 mg tablet, vitamins (A, B1, B2, B3, C, D3) tablet, SITagliptin 100 mg tablet, vitamins (A, B1, B2, B3, C, D3) tablet, vitamin B complex (B1,B6,B12) 100,200,0.2 mg Film coated tablets [oral], SITagliptin 100 mg tablet, vitamin B complex (B1,B6,B12) 100,200,0.2 mg Film coated tablets [oral], SITagliptin 100 mg tablet, vitamin B complex (B1,B6,B12) 100,200,0.2 mg Film coated tablets [oral], SITagliptin 100 mg tablet, vitamin B complex (B1,B6,B12) 100,200,0.2 mg Film coated tablets [oral], SITagliptin 100 mg tablet, vitamin B complex (B1,B6,B12) 100,200,0.2 mg Film coated tablets [oral], SITagliptin 100 mg tablet, atorvastatin 20 mg tablet, bisoprolol fumarate 5 mg tablet, empagliflozin 10 mg tablet, metFORMIN hydrochloride 500 mg tablet, atorvastatin 20 mg tablet, bisoprolol fumarate 5 mg tablet, empagliflozin 10 mg tablet, metFORMIN hydrochloride 500 mg tablet, atorvastatin 20 mg tablet, bisoprolol fumarate 5 mg tablet, empagliflozin 10 mg tablet, metFORMIN hydrochloride 500 mg tablet, atorvastatin 20 mg tablet, bisoprolol fumarate 5 mg tablet, empagliflozin 10 mg tablet, metFORMIN hydrochloride 500 mg tablet, atorvastatin 20 mg tablet, bisoprolol fumarate 5 mg tablet, empagliflozin 10 mg tablet, metFORMIN hydrochloride 500 mg tablet, acetylsalicylic acid 100 mg tablet: enteric coated, valsartan 80 mg tablet, vitamins (A, B1, B2, B3, C, D3) tablet, acetylsalicylic acid 100 mg tablet: enteric coated, valsartan 80 mg tablet, vitamins (A, B1, B2, B3, C, D3) tablet, acetylsalicylic acid 100 mg tablet: enteric coated, valsartan 80 mg tablet, vitamins (A, B1, B2, B3, C, D3) tablet, acetylsalicylic acid 100 mg tablet: enteric coated, valsartan 80 mg tablet, vitamins (A, B1, B2, B3, C, D3) tablet, acetylsalicylic acid 100 mg tablet: enteric coated, valsartan 80 mg tablet, vitamins (A, B1, B2, B3, C, D3) tablet, valsartan 80 mg tablet, vitamins (A, B1, B2, B3, C, D3) tablet, valsartan 80 mg tablet, vitamins (A, B1, B2, B3, C, D3) tablet, valsartan 80 mg tablet, vitamins (A, B1, B2, B3, C, D3) tablet, valsartan 80 mg tablet, vitamins (A, B1, B2, B3, C, D3) tablet, valsartan 80 mg tablet, vitamins (A, B1, B2, B3, C, D3) tablet, atorvastatin 20 mg tablet, SITagliptin 100 mg tablet, atorvastatin 20 mg tablet, SITagliptin 100 mg tablet, atorvastatin 20 mg tablet, SITagliptin 100 mg tablet, atorvastatin 20 mg tablet, SITagliptin 100 mg tablet, atorvastatin 20 mg tablet, SITagliptin 100 mg tablet, empagliflozin 10 mg tablet, vitamin B complex (B1,B6,B12) 100,200,0.2 mg Film coated tablets [oral], empagliflozin 10 mg tablet, vitamin B complex (B1,B6,B12) 100,200,0.2 mg Film coated tablets [oral], empagliflozin 10 mg tablet, vitamin B complex (B1,B6,B12) 100,200,0.2 mg Film coated tablets [oral], empagliflozin 10 mg tablet, vitamin B complex (B1,B6,B12) 100,200,0.2 mg Film coated tablets [oral], empagliflozin 10 mg tablet, vitamin B complex (B1,B6,B12) 100,200,0.2 mg Film coated tablets [oral], metFORMIN hydrochloride 500 mg tablet, metFORMIN hydrochloride 500 mg tablet, metFORMIN hydrochloride 500 mg tablet, metFORMIN hydrochloride 500 mg tablet, metFORMIN hydrochloride 500 mg tablet, bisoprolol fumarate 5 mg tablet, acetylsalicylic acid 100 mg tablet: enteric coated, bisoprolol fumarate 5 mg tablet, acetylsalicylic acid 100 mg tablet: enteric coated, bisoprolol fumarate 5 mg tablet, acetylsalicylic acid 100 mg tablet: enteric coated, bisoprolol fumarate 5 mg tablet, acetylsalicylic acid 100 mg tablet: enteric coated, bisoprolol fumarate 5 mg tablet, acetylsalicylic acid 100 mg tablet: enteric coated, atorvastatin 20 mg tablet, atorvastatin 20 mg tablet, atorvastatin 20 mg tablet, atorvastatin 20 mg tablet, atorvastatin 20 mg tablet,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t>
  </si>
  <si>
    <t>منصور بن حامد بن محمد البلادي</t>
  </si>
  <si>
    <t>زبيده محمد ابراهيم المولد</t>
  </si>
  <si>
    <t>furosemide</t>
  </si>
  <si>
    <t>furosemide 40 mg tablet, furosemide 40 mg tablet, furosemide 40 mg tablet, furosemide 40 mg tablet, furosemide 40 mg tablet, furosemide 40 mg tablet, furosemide 40 mg tablet, furosemide 40 mg tablet</t>
  </si>
  <si>
    <t>محمد صالح معيض الزهراني</t>
  </si>
  <si>
    <t>valsartan, omeprazole, mebeverine hydrochloride</t>
  </si>
  <si>
    <t>valsartan 80 mg tablet, valsartan 80 mg tablet, valsartan 80 mg tablet, omeprazole 20 mg tablet: enteric coated, omeprazole 20 mg tablet: enteric coated, omeprazole 20 mg tablet: enteric coated,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valsartan 80 mg tablet, valsartan 80 mg tablet, valsartan 80 mg tablet, omeprazole 20 mg tablet: enteric coated, omeprazole 20 mg tablet: enteric coated, omeprazole 20 mg tablet: enteric coated, mebeverine hydrochloride 200 mg capsule: modified release, valsartan 80 mg tablet, mebeverine hydrochloride 200 mg capsule: modified release, valsartan 80 mg tablet, mebeverine hydrochloride 200 mg capsule: modified release, valsartan 80 mg tablet, omeprazole 20 mg tablet: enteric coated, omeprazole 20 mg tablet: enteric coated, omeprazole 20 mg tablet: enteric coated</t>
  </si>
  <si>
    <t>عائض علي محمد الزهراني</t>
  </si>
  <si>
    <t>rosuvastatin, clopidogrel, empagliflozin, colecalciferol, vitamin B complex (B, B, omeprazole, metFORMIN hydrochloride</t>
  </si>
  <si>
    <t>rosuvastatin 20 mg tablet, clopidogrel 75 mg tablet, empagliflozin 10 mg tablet, rosuvastatin 20 mg tablet, clopidogrel 75 mg tablet, empagliflozin 10 mg tablet, rosuvastatin 20 mg tablet, clopidogrel 75 mg tablet, empagliflozin 10 mg tablet, colecalciferol 50 000 international units tablet, vitamin B complex (B1,B6,B12) 100,200,0.2 mg Film coated tablets [oral], colecalciferol 50 000 international units tablet, vitamin B complex (B1,B6,B12) 100,200,0.2 mg Film coated tablets [oral], colecalciferol 50 000 international units tablet, vitamin B complex (B1,B6,B12) 100,200,0.2 mg Film coated tablets [oral], omeprazole 20 mg tablet: enteric coated, omeprazole 20 mg tablet: enteric coated, omeprazole 20 mg tablet: enteric coated, metFORMIN hydrochloride 500 mg tablet, metFORMIN hydrochloride 500 mg tablet, metFORMIN hydrochloride 500 mg tablet, empagliflozin 10 mg tablet, empagliflozin 10 mg tablet, empagliflozin 10 mg tablet, colecalciferol 50 000 international units tablet, rosuvastatin 20 mg tablet, clopidogrel 75 mg tablet, omeprazole 20 mg tablet: enteric coated, metFORMIN hydrochloride 500 mg tablet, vitamin B complex (B1,B6,B12) 100,200,0.2 mg Film coated tablets [oral], colecalciferol 50 000 international units tablet, rosuvastatin 20 mg tablet, clopidogrel 75 mg tablet, omeprazole 20 mg tablet: enteric coated, metFORMIN hydrochloride 500 mg tablet, vitamin B complex (B1,B6,B12) 100,200,0.2 mg Film coated tablets [oral], colecalciferol 50 000 international units tablet, rosuvastatin 20 mg tablet, clopidogrel 75 mg tablet, omeprazole 20 mg tablet: enteric coated, metFORMIN hydrochloride 500 mg tablet, vitamin B complex (B1,B6,B12) 100,200,0.2 mg Film coated tablets [oral], omeprazole 20 mg tablet: enteric coated, omeprazole 20 mg tablet: enteric coated, omeprazole 20 mg tablet: enteric coated, vitamin B complex (B1,B6,B12) 100,200,0.2 mg Film coated tablets [oral], rosuvastatin 20 mg tablet, vitamin B complex (B1,B6,B12) 100,200,0.2 mg Film coated tablets [oral], rosuvastatin 20 mg tablet, vitamin B complex (B1,B6,B12) 100,200,0.2 mg Film coated tablets [oral], rosuvastatin 20 mg tablet, clopidogrel 75 mg tablet, colecalciferol 50 000 international units tablet, empagliflozin 10 mg tablet, metFORMIN hydrochloride 500 mg tablet, clopidogrel 75 mg tablet, colecalciferol 50 000 international units tablet, empagliflozin 10 mg tablet, metFORMIN hydrochloride 500 mg tablet, clopidogrel 75 mg tablet, colecalciferol 50 000 international units tablet, empagliflozin 10 mg tablet, metFORMIN hydrochloride 500 mg tablet, vitamin B complex (B1,B6,B12) 100,200,0.2 mg Film coated tablets [oral], vitamin B complex (B1,B6,B12) 100,200,0.2 mg Film coated tablets [oral], vitamin B complex (B1,B6,B12) 100,200,0.2 mg Film coated tablets [oral], omeprazole 20 mg tablet: enteric coated, empagliflozin 10 mg tablet, clopidogrel 75 mg tablet, omeprazole 20 mg tablet: enteric coated, empagliflozin 10 mg tablet, clopidogrel 75 mg tablet, omeprazole 20 mg tablet: enteric coated, empagliflozin 10 mg tablet, clopidogrel 75 mg tablet, rosuvastatin 20 mg tablet, rosuvastatin 20 mg tablet, rosuvastatin 20 mg tablet, metFORMIN hydrochloride 500 mg tablet, colecalciferol 50 000 international units tablet, metFORMIN hydrochloride 500 mg tablet, colecalciferol 50 000 international units tablet, metFORMIN hydrochloride 500 mg tablet, colecalciferol 50 000 international units tablet, rosuvastatin 20 mg tablet, vitamin B complex (B1,B6,B12) 100,200,0.2 mg Film coated tablets [oral], rosuvastatin 20 mg tablet, vitamin B complex (B1,B6,B12) 100,200,0.2 mg Film coated tablets [oral], rosuvastatin 20 mg tablet, vitamin B complex (B1,B6,B12) 100,200,0.2 mg Film coated tablets [oral], empagliflozin 10 mg tablet, colecalciferol 50 000 international units tablet, clopidogrel 75 mg tablet, empagliflozin 10 mg tablet, colecalciferol 50 000 international units tablet, clopidogrel 75 mg tablet, empagliflozin 10 mg tablet, colecalciferol 50 000 international units tablet, clopidogrel 75 mg tablet, metFORMIN hydrochloride 500 mg tablet, metFORMIN hydrochloride 500 mg tablet, metFORMIN hydrochloride 500 mg tablet, omeprazole 20 mg tablet: enteric coated, omeprazole 20 mg tablet: enteric coated, omeprazole 20 mg tablet: enteric coated, rosuvastatin 20 mg tablet, rosuvastatin 20 mg tablet, rosuvastatin 20 mg tablet, empagliflozin 10 mg tablet, empagliflozin 10 mg tablet, empagliflozin 10 mg tablet, omeprazole 20 mg tablet: enteric coated, omeprazole 20 mg tablet: enteric coated, omeprazole 20 mg tablet: enteric coated</t>
  </si>
  <si>
    <t>محمد ابراهيم محمد عليمي</t>
  </si>
  <si>
    <t>montelukast, fluticasone propionate, salbutamol</t>
  </si>
  <si>
    <t>montelukast 10 mg tablet, montelukast 10 mg tablet, montelukast 10 mg tablet, fluticasone propionate 125 microgram/actuation + salmeterol 25 microgram/actuation inhaler, fluticasone propionate 125 microgram/actuation + salmeterol 25 microgram/actuation inhaler, fluticasone propionate 125 microgram/actuation + salmeterol 25 microgram/actuation inhaler, salbutamol 100 microgram/actuation inhaler, salbutamol 100 microgram/actuation inhaler, salbutamol 100 microgram/actuation inhaler, montelukast 10 mg tablet, montelukast 10 mg tablet, montelukast 10 mg tablet, salbutamol 100 microgram/actuation inhaler, salbutamol 100 microgram/actuation inhaler, salbutamol 100 microgram/actuation inhaler, fluticasone propionate 125 microgram/actuation + salmeterol 25 microgram/actuation inhaler, fluticasone propionate 125 microgram/actuation + salmeterol 25 microgram/actuation inhaler, fluticasone propionate 125 microgram/actuation + salmeterol 25 microgram/actuation inhaler, salbutamol 100 microgram/actuation inhaler, salbutamol 100 microgram/actuation inhaler, salbutamol 100 microgram/actuation inhaler, montelukast 10 mg tablet, montelukast 10 mg tablet, montelukast 10 mg tablet, fluticasone propionate 125 microgram/actuation + salmeterol 25 microgram/actuation inhaler, fluticasone propionate 125 microgram/actuation + salmeterol 25 microgram/actuation inhaler, fluticasone propionate 125 microgram/actuation + salmeterol 25 microgram/actuation inhaler</t>
  </si>
  <si>
    <t>عبدالله محمد عبدالله الشهري</t>
  </si>
  <si>
    <t>SITagliptin, metFORMIN hydrochloride, valsartan, gliclazide, acetylsalicylic acid, clopidogrel, mebeverine hydrochloride, empagliflozin</t>
  </si>
  <si>
    <t>SITagliptin 100 mg tablet, SITagliptin 100 mg tablet, SITagliptin 100 mg tablet, metFORMIN hydrochloride 500 mg tablet, metFORMIN hydrochloride 500 mg tablet, metFORMIN hydrochloride 500 mg tablet, valsartan 80 mg tablet, gliclazide 30 mg tablet: modified release, valsartan 80 mg tablet, gliclazide 30 mg tablet: modified release, valsartan 80 mg tablet, gliclazide 30 mg tablet: modified release, valsartan 80 mg tablet, valsartan 80 mg tablet, valsartan 80 mg tablet, acetylsalicylic acid 100 mg tablet: enteric coated, SITagliptin 100 mg tablet, clopidogrel 75 mg tablet, acetylsalicylic acid 100 mg tablet: enteric coated, SITagliptin 100 mg tablet, clopidogrel 75 mg tablet, acetylsalicylic acid 100 mg tablet: enteric coated, SITagliptin 100 mg tablet, clopidogrel 75 mg tablet, mebeverine hydrochloride 200 mg capsule: modified release, empagliflozin 25 mg tablet, mebeverine hydrochloride 200 mg capsule: modified release, empagliflozin 25 mg tablet, mebeverine hydrochloride 200 mg capsule: modified release, empagliflozin 25 mg tablet, metFORMIN hydrochloride 500 mg tablet, gliclazide 30 mg tablet: modified release, metFORMIN hydrochloride 500 mg tablet, gliclazide 30 mg tablet: modified release, metFORMIN hydrochloride 500 mg tablet, gliclazide 30 mg tablet: modified release, gliclazide 30 mg tablet: modified release, gliclazide 30 mg tablet: modified release, gliclazide 30 mg tablet: modified release, mebeverine hydrochloride 200 mg capsule: modified release, mebeverine hydrochloride 200 mg capsule: modified release, mebeverine hydrochloride 200 mg capsule: modified release, valsartan 80 mg tablet, SITagliptin 100 mg tablet, clopidogrel 75 mg tablet, metFORMIN hydrochloride 500 mg tablet, valsartan 80 mg tablet, SITagliptin 100 mg tablet, clopidogrel 75 mg tablet, metFORMIN hydrochloride 500 mg tablet, valsartan 80 mg tablet, SITagliptin 100 mg tablet, clopidogrel 75 mg tablet, metFORMIN hydrochloride 500 mg tablet, acetylsalicylic acid 100 mg tablet: enteric coated, empagliflozin 25 mg tablet, acetylsalicylic acid 100 mg tablet: enteric coated, empagliflozin 25 mg tablet, acetylsalicylic acid 100 mg tablet: enteric coated, empagliflozin 25 mg tablet, metFORMIN hydrochloride 500 mg tablet, clopidogrel 75 mg tablet, metFORMIN hydrochloride 500 mg tablet, clopidogrel 75 mg tablet, metFORMIN hydrochloride 500 mg tablet, clopidogrel 75 mg tablet, gliclazide 30 mg tablet: modified release, SITagliptin 100 mg tablet, empagliflozin 25 mg tablet, gliclazide 30 mg tablet: modified release, SITagliptin 100 mg tablet, empagliflozin 25 mg tablet, gliclazide 30 mg tablet: modified release, SITagliptin 100 mg tablet, empagliflozin 25 mg tablet, valsartan 80 mg tablet, acetylsalicylic acid 100 mg tablet: enteric coated, valsartan 80 mg tablet, acetylsalicylic acid 100 mg tablet: enteric coated, valsartan 80 mg tablet, acetylsalicylic acid 100 mg tablet: enteric coated, mebeverine hydrochloride 200 mg capsule: modified release, mebeverine hydrochloride 200 mg capsule: modified release, mebeverine hydrochloride 200 mg capsule: modified release, empagliflozin 25 mg tablet, clopidogrel 75 mg tablet, empagliflozin 25 mg tablet, clopidogrel 75 mg tablet, empagliflozin 25 mg tablet, clopidogrel 75 mg tablet, mebeverine hydrochloride 200 mg capsule: modified release, mebeverine hydrochloride 200 mg capsule: modified release, mebeverine hydrochloride 200 mg capsule: modified release, acetylsalicylic acid 100 mg tablet: enteric coated, SITagliptin 100 mg tablet, gliclazide 30 mg tablet: modified release, metFORMIN hydrochloride 500 mg tablet, acetylsalicylic acid 100 mg tablet: enteric coated, SITagliptin 100 mg tablet, gliclazide 30 mg tablet: modified release, metFORMIN hydrochloride 500 mg tablet, acetylsalicylic acid 100 mg tablet: enteric coated, SITagliptin 100 mg tablet, gliclazide 30 mg tablet: modified release, metFORMIN hydrochloride 500 mg tablet, valsartan 80 mg tablet, valsartan 80 mg tablet, valsartan 80 mg tablet, metFORMIN hydrochloride 500 mg tablet, clopidogrel 75 mg tablet, metFORMIN hydrochloride 500 mg tablet, clopidogrel 75 mg tablet, metFORMIN hydrochloride 500 mg tablet, clopidogrel 75 mg tablet, valsartan 80 mg tablet, empagliflozin 25 mg tablet, valsartan 80 mg tablet, empagliflozin 25 mg tablet, valsartan 80 mg tablet, empagliflozin 25 mg tablet, gliclazide 30 mg tablet: modified release, SITagliptin 100 mg tablet, mebeverine hydrochloride 200 mg capsule: modified release, gliclazide 30 mg tablet: modified release, SITagliptin 100 mg tablet, mebeverine hydrochloride 200 mg capsule: modified release, gliclazide 30 mg tablet: modified release, SITagliptin 100 mg tablet, mebeverine hydrochloride 200 mg capsule: modified release</t>
  </si>
  <si>
    <t>نوره حامد مساعد الشمراني</t>
  </si>
  <si>
    <t>levothyroxine sodium, amLODIPine</t>
  </si>
  <si>
    <t>levothyroxine sodium 25 microgram tablet, levothyroxine sodium 25 microgram tablet, levothyroxine sodium 25 microgram tablet, levothyroxine sodium 25 microgram tablet, amLODIPine 5 mg tablet, amLODIPine 5 mg tablet, amLODIPine 5 mg tablet, amLODIPine 5 mg tablet, levothyroxine sodium 25 microgram tablet, levothyroxine sodium 25 microgram tablet, levothyroxine sodium 25 microgram tablet, levothyroxine sodium 25 microgram tablet, amLODIPine 5 mg tablet, amLODIPine 5 mg tablet, amLODIPine 5 mg tablet, amLODIPine 5 mg tablet</t>
  </si>
  <si>
    <t>نهله شاكر عبدالوهاب ساعاتي</t>
  </si>
  <si>
    <t>سعد سعود سعد الشريف</t>
  </si>
  <si>
    <t>atorvastatin, valsartan</t>
  </si>
  <si>
    <t>atorvastatin 20 mg tablet, atorvastatin 20 mg tablet, atorvastatin 20 mg tablet, atorvastatin 20 mg tablet, atorvastatin 20 mg tablet, valsartan 80 mg tablet, atorvastatin 20 mg tablet, valsartan 80 mg tablet, atorvastatin 20 mg tablet, valsartan 80 mg tablet, atorvastatin 20 mg tablet, valsartan 80 mg tablet, valsartan 80 mg tablet, valsartan 80 mg tablet, valsartan 80 mg tablet, valsartan 80 mg tablet, atorvastatin 20 mg tablet, atorvastatin 20 mg tablet, atorvastatin 20 mg tablet, atorvastatin 20 mg tablet, atorvastatin 20 mg tablet, atorvastatin 20 mg tablet, atorvastatin 20 mg tablet, atorvastatin 20 mg tablet, valsartan 80 mg tablet, valsartan 80 mg tablet, valsartan 80 mg tablet, valsartan 80 mg tablet, valsartan 80 mg tablet, atorvastatin 20 mg tablet, valsartan 80 mg tablet, atorvastatin 20 mg tablet, valsartan 80 mg tablet, atorvastatin 20 mg tablet, valsartan 80 mg tablet, atorvastatin 20 mg tablet, atorvastatin 20 mg tablet, atorvastatin 20 mg tablet, atorvastatin 20 mg tablet, atorvastatin 20 mg tablet, valsartan 80 mg tablet, valsartan 80 mg tablet, valsartan 80 mg tablet, valsartan 80 mg tablet, valsartan 80 mg tablet, valsartan 80 mg tablet, valsartan 80 mg tablet, valsartan 80 mg tablet, atorvastatin 20 mg tablet, atorvastatin 20 mg tablet, atorvastatin 20 mg tablet, atorvastatin 20 mg tablet, valsartan 80 mg tablet, valsartan 80 mg tablet, valsartan 80 mg tablet, valsartan 80 mg tablet, atorvastatin 20 mg tablet, atorvastatin 20 mg tablet, atorvastatin 20 mg tablet, atorvastatin 20 mg tablet, atorvastatin 20 mg tablet, atorvastatin 20 mg tablet, atorvastatin 20 mg tablet, atorvastatin 20 mg tablet</t>
  </si>
  <si>
    <t>رسميه رفعت حسن التركي</t>
  </si>
  <si>
    <t>clotrimazole 1% (10 mg/g) cream, clotrimazole 1% (10 mg/g) cream, clotrimazole 1% (10 mg/g) cream, clotrimazole 1% (10 mg/g) cream, clotrimazole 1% (10 mg/g) cream, clotrimazole 1% (10 mg/g) cream, clotrimazole 1% (10 mg/g) cream, clotrimazole 1% (10 mg/g) cream</t>
  </si>
  <si>
    <t>فاطمه معجب مفرح عسيري</t>
  </si>
  <si>
    <t>vitamins (A, B, C, D, atorvastatin</t>
  </si>
  <si>
    <t>vitamins (A, B1, B2, B3, C, D3) tablet, vitamins (A, B1, B2, B3, C, D3) tablet, vitamins (A, B1, B2, B3, C, D3) tablet, vitamins (A, B1, B2, B3, C, D3) tablet, atorvastatin 20 mg tablet, atorvastatin 20 mg tablet, atorvastatin 20 mg tablet, atorvastatin 20 mg tablet, vitamins (A, B1, B2, B3, C, D3) tablet, vitamins (A, B1, B2, B3, C, D3) tablet, vitamins (A, B1, B2, B3, C, D3) tablet, vitamins (A, B1, B2, B3, C, D3) tablet, atorvastatin 20 mg tablet, atorvastatin 20 mg tablet, atorvastatin 20 mg tablet, atorvastatin 20 mg tablet</t>
  </si>
  <si>
    <t>اريج نثار حيدر العريضي</t>
  </si>
  <si>
    <t>hydroCHLOROthiazide, losartan potassium, acetylsalicylic acid, colecalciferol, paracetamol</t>
  </si>
  <si>
    <t>hydroCHLOROthiazide 25 mg tablet: scored, losartan potassium 50 mg tablet, hydroCHLOROthiazide 25 mg tablet: scored, losartan potassium 50 mg tablet, hydroCHLOROthiazide 25 mg tablet: scored, losartan potassium 50 mg tablet, acetylsalicylic acid 100 mg tablet: enteric coated, acetylsalicylic acid 100 mg tablet: enteric coated, acetylsalicylic acid 100 mg tablet: enteric coated, colecalciferol 50 000 international units tablet, paracetamol 500 mg tablet, colecalciferol 50 000 international units tablet, paracetamol 500 mg tablet, colecalciferol 50 000 international units tablet, paracetamol 500 mg tablet, acetylsalicylic acid 100 mg tablet: enteric coated, acetylsalicylic acid 100 mg tablet: enteric coated, acetylsalicylic acid 100 mg tablet: enteric coated, paracetamol 500 mg tablet, paracetamol 500 mg tablet, paracetamol 500 mg tablet, losartan potassium 50 mg tablet, losartan potassium 50 mg tablet, losartan potassium 50 mg tablet, hydroCHLOROthiazide 25 mg tablet: scored, hydroCHLOROthiazide 25 mg tablet: scored, hydroCHLOROthiazide 25 mg tablet: scored, colecalciferol 50 000 international units tablet, colecalciferol 50 000 international units tablet, colecalciferol 50 000 international units tablet, hydroCHLOROthiazide 25 mg tablet: scored, hydroCHLOROthiazide 25 mg tablet: scored, hydroCHLOROthiazide 25 mg tablet: scored, colecalciferol 50 000 international units tablet, colecalciferol 50 000 international units tablet, colecalciferol 50 000 international units tablet, paracetamol 500 mg tablet, losartan potassium 50 mg tablet, paracetamol 500 mg tablet, losartan potassium 50 mg tablet, paracetamol 500 mg tablet, losartan potassium 50 mg tablet, acetylsalicylic acid 100 mg tablet: enteric coated, acetylsalicylic acid 100 mg tablet: enteric coated, acetylsalicylic acid 100 mg tablet: enteric coated</t>
  </si>
  <si>
    <t>Antiplatelet, Hypertension, Vitamins/Supplements</t>
  </si>
  <si>
    <t>فتحيه محمد علي اليزيدي</t>
  </si>
  <si>
    <t>cetirizine hydrochloride, ketoconazole</t>
  </si>
  <si>
    <t>cetirizine hydrochloride 10 mg tablet, cetirizine hydrochloride 10 mg tablet, cetirizine hydrochloride 10 mg tablet, cetirizine hydrochloride 10 mg tablet, ketoconazole 2% (20 mg/g) shampoo, ketoconazole 2% (20 mg/g) shampoo, ketoconazole 2% (20 mg/g) shampoo, ketoconazole 2% (20 mg/g) shampoo, ketoconazole 2% (20 mg/g) shampoo, cetirizine hydrochloride 10 mg tablet, ketoconazole 2% (20 mg/g) shampoo, cetirizine hydrochloride 10 mg tablet, ketoconazole 2% (20 mg/g) shampoo, cetirizine hydrochloride 10 mg tablet, ketoconazole 2% (20 mg/g) shampoo, cetirizine hydrochloride 10 mg tablet, ketoconazole 2% (20 mg/g) shampoo, ketoconazole 2% (20 mg/g) shampoo, ketoconazole 2% (20 mg/g) shampoo, ketoconazole 2% (20 mg/g) shampoo, cetirizine hydrochloride 10 mg tablet, cetirizine hydrochloride 10 mg tablet, cetirizine hydrochloride 10 mg tablet, cetirizine hydrochloride 10 mg tablet</t>
  </si>
  <si>
    <t>فوزيه ابراهيم بن سعيد الزهراني</t>
  </si>
  <si>
    <t>zinc oxide</t>
  </si>
  <si>
    <t>zinc oxide 15% (150 mg/g) cream, zinc oxide 15% (150 mg/g) cream, zinc oxide 15% (150 mg/g) cream, zinc oxide 15% (150 mg/g) cream, zinc oxide 15% (150 mg/g) cream, zinc oxide 15% (150 mg/g) cream, zinc oxide 15% (150 mg/g) cream, zinc oxide 15% (150 mg/g) cream, zinc oxide 15% (150 mg/g) cream, zinc oxide 15% (150 mg/g) cream, zinc oxide 15% (150 mg/g) cream, zinc oxide 15% (150 mg/g) cream, zinc oxide 15% (150 mg/g) cream, zinc oxide 15% (150 mg/g) cream, zinc oxide 15% (150 mg/g) cream, zinc oxide 15% (150 mg/g) cream, zinc oxide 15% (150 mg/g) cream, zinc oxide 15% (150 mg/g) cream, zinc oxide 15% (150 mg/g) cream, zinc oxide 15% (150 mg/g) cream, zinc oxide 15% (150 mg/g) cream, zinc oxide 15% (150 mg/g) cream, zinc oxide 15% (150 mg/g) cream, zinc oxide 15% (150 mg/g) cream</t>
  </si>
  <si>
    <t>ليلي حبيب حسين عطيه</t>
  </si>
  <si>
    <t>حصه حمد عبدالله البطحي</t>
  </si>
  <si>
    <t>miconazole nitrate</t>
  </si>
  <si>
    <t>miconazole nitrate 2% (20 mg/g) cream: vaginal, miconazole nitrate 2% (20 mg/g) cream: vaginal, miconazole nitrate 2% (20 mg/g) cream: vaginal, miconazole nitrate 2% (20 mg/g) cream: vaginal, miconazole nitrate 2% (20 mg/g) cream: vaginal, miconazole nitrate 2% (20 mg/g) cream: vaginal, miconazole nitrate 2% (20 mg/g) cream: vaginal, miconazole nitrate 2% (20 mg/g) cream: vaginal, miconazole nitrate 2% (20 mg/g) cream: vaginal, miconazole nitrate 2% (20 mg/g) cream: vaginal, miconazole nitrate 2% (20 mg/g) cream: vaginal, miconazole nitrate 2% (20 mg/g) cream: vaginal</t>
  </si>
  <si>
    <t>مني عواض عوض البشري</t>
  </si>
  <si>
    <t>chlorhexidine gluconate 0.2% (2 mg/mL) mouthwash, chlorhexidine gluconate 0.2% (2 mg/mL) mouthwash, chlorhexidine gluconate 0.2% (2 mg/mL) mouthwash, chlorhexidine gluconate 0.2% (2 mg/mL) mouthwash, chlorhexidine gluconate 0.2% (2 mg/mL) mouthwash, chlorhexidine gluconate 0.2% (2 mg/mL) mouthwash</t>
  </si>
  <si>
    <t>ريان اسماعيل احمد كنداسه</t>
  </si>
  <si>
    <t>Lancets (Accu-Check), SITagliptin, metFORMIN hydrochloride, betahistine dihydrochloride, Strips (Accu-Check), vitamin B complex (B, B, empagliflozin, atorvastatin</t>
  </si>
  <si>
    <t>Lancets (Accu-Check) 1 box Lancets [n/a], Lancets (Accu-Check) 1 box Lancets [n/a], Lancets (Accu-Check) 1 box Lancets [n/a], Lancets (Accu-Check) 1 box Lancets [n/a], SITagliptin 100 mg tablet, metFORMIN hydrochloride 500 mg tablet, SITagliptin 100 mg tablet, metFORMIN hydrochloride 500 mg tablet, SITagliptin 100 mg tablet, metFORMIN hydrochloride 500 mg tablet, SITagliptin 100 mg tablet, metFORMIN hydrochloride 500 mg tablet, betahistine dihydrochloride 16 mg tablet, Strips (Accu-Check) 1 box Strip [n/a], betahistine dihydrochloride 16 mg tablet, Strips (Accu-Check) 1 box Strip [n/a], betahistine dihydrochloride 16 mg tablet, Strips (Accu-Check) 1 box Strip [n/a], betahistine dihydrochloride 16 mg tablet, Strips (Accu-Check) 1 box Strip [n/a], Lancets (Accu-Check) 1 box Lancets [n/a], vitamin B complex (B1,B6,B12) 100,200,0.2 mg Film coated tablets [oral], Strips (Accu-Check) 1 box Strip [n/a], Lancets (Accu-Check) 1 box Lancets [n/a], vitamin B complex (B1,B6,B12) 100,200,0.2 mg Film coated tablets [oral], Strips (Accu-Check) 1 box Strip [n/a], Lancets (Accu-Check) 1 box Lancets [n/a], vitamin B complex (B1,B6,B12) 100,200,0.2 mg Film coated tablets [oral], Strips (Accu-Check) 1 box Strip [n/a], Lancets (Accu-Check) 1 box Lancets [n/a], vitamin B complex (B1,B6,B12) 100,200,0.2 mg Film coated tablets [oral], Strips (Accu-Check) 1 box Strip [n/a], SITagliptin 100 mg tablet, empagliflozin 10 mg tablet, vitamin B complex (B1,B6,B12) 100,200,0.2 mg Film coated tablets [oral], Lancets (Accu-Check) 1 box Lancets [n/a], betahistine dihydrochloride 16 mg tablet, metFORMIN hydrochloride 500 mg tablet, SITagliptin 100 mg tablet, empagliflozin 10 mg tablet, vitamin B complex (B1,B6,B12) 100,200,0.2 mg Film coated tablets [oral], Lancets (Accu-Check) 1 box Lancets [n/a], betahistine dihydrochloride 16 mg tablet, metFORMIN hydrochloride 500 mg tablet, SITagliptin 100 mg tablet, empagliflozin 10 mg tablet, vitamin B complex (B1,B6,B12) 100,200,0.2 mg Film coated tablets [oral], Lancets (Accu-Check) 1 box Lancets [n/a], betahistine dihydrochloride 16 mg tablet, metFORMIN hydrochloride 500 mg tablet, SITagliptin 100 mg tablet, empagliflozin 10 mg tablet, vitamin B complex (B1,B6,B12) 100,200,0.2 mg Film coated tablets [oral], Lancets (Accu-Check) 1 box Lancets [n/a], betahistine dihydrochloride 16 mg tablet, metFORMIN hydrochloride 500 mg tablet, Strips (Accu-Check) 1 box Strip [n/a], atorvastatin 20 mg tablet, Strips (Accu-Check) 1 box Strip [n/a], atorvastatin 20 mg tablet, Strips (Accu-Check) 1 box Strip [n/a], atorvastatin 20 mg tablet, Strips (Accu-Check) 1 box Strip [n/a], atorvastatin 20 mg tablet, Strips (Accu-Check) 1 box Strip [n/a], atorvastatin 20 mg tablet, betahistine dihydrochloride 16 mg tablet, Strips (Accu-Check) 1 box Strip [n/a], atorvastatin 20 mg tablet, betahistine dihydrochloride 16 mg tablet, Strips (Accu-Check) 1 box Strip [n/a], atorvastatin 20 mg tablet, betahistine dihydrochloride 16 mg tablet, Strips (Accu-Check) 1 box Strip [n/a], atorvastatin 20 mg tablet, betahistine dihydrochloride 16 mg tablet, vitamin B complex (B1,B6,B12) 100,200,0.2 mg Film coated tablets [oral], Lancets (Accu-Check) 1 box Lancets [n/a], vitamin B complex (B1,B6,B12) 100,200,0.2 mg Film coated tablets [oral], Lancets (Accu-Check) 1 box Lancets [n/a], vitamin B complex (B1,B6,B12) 100,200,0.2 mg Film coated tablets [oral], Lancets (Accu-Check) 1 box Lancets [n/a], vitamin B complex (B1,B6,B12) 100,200,0.2 mg Film coated tablets [oral], Lancets (Accu-Check) 1 box Lancets [n/a], empagliflozin 10 mg tablet, SITagliptin 100 mg tablet, empagliflozin 10 mg tablet, SITagliptin 100 mg tablet, empagliflozin 10 mg tablet, SITagliptin 100 mg tablet, empagliflozin 10 mg tablet, SITagliptin 100 mg tablet, Lancets (Accu-Check) 1 box Lancets [n/a], SITagliptin 100 mg tablet, metFORMIN hydrochloride 500 mg tablet, vitamin B complex (B1,B6,B12) 100,200,0.2 mg Film coated tablets [oral], Lancets (Accu-Check) 1 box Lancets [n/a], SITagliptin 100 mg tablet, metFORMIN hydrochloride 500 mg tablet, vitamin B complex (B1,B6,B12) 100,200,0.2 mg Film coated tablets [oral], Lancets (Accu-Check) 1 box Lancets [n/a], SITagliptin 100 mg tablet, metFORMIN hydrochloride 500 mg tablet, vitamin B complex (B1,B6,B12) 100,200,0.2 mg Film coated tablets [oral], Lancets (Accu-Check) 1 box Lancets [n/a], SITagliptin 100 mg tablet, metFORMIN hydrochloride 500 mg tablet, vitamin B complex (B1,B6,B12) 100,200,0.2 mg Film coated tablets [oral], empagliflozin 10 mg tablet, Strips (Accu-Check) 1 box Strip [n/a], empagliflozin 10 mg tablet, Strips (Accu-Check) 1 box Strip [n/a], empagliflozin 10 mg tablet, Strips (Accu-Check) 1 box Strip [n/a], empagliflozin 10 mg tablet, Strips (Accu-Check) 1 box Strip [n/a], betahistine dihydrochloride 16 mg tablet, betahistine dihydrochloride 16 mg tablet, betahistine dihydrochloride 16 mg tablet, betahistine dihydrochloride 16 mg tablet, atorvastatin 20 mg tablet, atorvastatin 20 mg tablet, atorvastatin 20 mg tablet, atorvastatin 20 mg tablet, Strips (Accu-Check) 1 box Strip [n/a], Strips (Accu-Check) 1 box Strip [n/a], Strips (Accu-Check) 1 box Strip [n/a], Strips (Accu-Check) 1 box Strip [n/a], betahistine dihydrochloride 16 mg tablet, betahistine dihydrochloride 16 mg tablet, betahistine dihydrochloride 16 mg tablet, betahistine dihydrochloride 16 mg tablet, atorvastatin 20 mg tablet, atorvastatin 20 mg tablet, atorvastatin 20 mg tablet, atorvastatin 20 mg tablet</t>
  </si>
  <si>
    <t>شهد عايد ربيع الحربي</t>
  </si>
  <si>
    <t>فاطمه محمد احمد النمري</t>
  </si>
  <si>
    <t>ciprofloxacin, amoxicillin, mometasone furoate</t>
  </si>
  <si>
    <t>ciprofloxacin 0.3% (3 mg/mL) eye drops, amoxicillin 500 mg capsule, ciprofloxacin 0.3% (3 mg/mL) eye drops, amoxicillin 500 mg capsule, ciprofloxacin 0.3% (3 mg/mL) eye drops, amoxicillin 500 mg capsule, mometasone furoate 0.1% (1 mg/g) ointment, mometasone furoate 0.1% (1 mg/g) ointment, mometasone furoate 0.1% (1 mg/g) ointment, amoxicillin 500 mg capsule, amoxicillin 500 mg capsule, amoxicillin 500 mg capsule, mometasone furoate 0.1% (1 mg/g) ointment, mometasone furoate 0.1% (1 mg/g) ointment, mometasone furoate 0.1% (1 mg/g) ointment, ciprofloxacin 0.3% (3 mg/mL) eye drops, ciprofloxacin 0.3% (3 mg/mL) eye drops, ciprofloxacin 0.3% (3 mg/mL) eye drops</t>
  </si>
  <si>
    <t>مزنه محمد النمري</t>
  </si>
  <si>
    <t>meloxicam, diclofenac sodium</t>
  </si>
  <si>
    <t>meloxicam 7.5 mg tablet, meloxicam 7.5 mg tablet, meloxicam 7.5 mg tablet, meloxicam 7.5 mg tablet, meloxicam 7.5 mg tablet, meloxicam 7.5 mg tablet, meloxicam 7.5 mg tablet, meloxicam 7.5 mg tablet, meloxicam 7.5 mg tablet, meloxicam 7.5 mg tablet,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meloxicam 7.5 mg tablet, meloxicam 7.5 mg tablet, meloxicam 7.5 mg tablet, meloxicam 7.5 mg tablet, meloxicam 7.5 mg tablet, diclofenac sodium 1% (10 mg/g) gel, meloxicam 7.5 mg tablet, diclofenac sodium 1% (10 mg/g) gel, meloxicam 7.5 mg tablet, diclofenac sodium 1% (10 mg/g) gel, meloxicam 7.5 mg tablet, diclofenac sodium 1% (10 mg/g) gel, meloxicam 7.5 mg tablet, diclofenac sodium 1% (10 mg/g) gel, meloxicam 7.5 mg tablet, diclofenac sodium 1% (10 mg/g) gel, diclofenac sodium 1% (10 mg/g) gel, diclofenac sodium 1% (10 mg/g) gel, diclofenac sodium 1% (10 mg/g) gel, diclofenac sodium 1% (10 mg/g) gel, meloxicam 7.5 mg tablet, meloxicam 7.5 mg tablet, meloxicam 7.5 mg tablet, meloxicam 7.5 mg tablet, meloxicam 7.5 mg tablet, diclofenac sodium 1% (10 mg/g) gel, diclofenac sodium 1% (10 mg/g) gel, diclofenac sodium 1% (10 mg/g) gel, diclofenac sodium 1% (10 mg/g) gel, diclofenac sodium 1% (10 mg/g) gel, meloxicam 7.5 mg tablet, meloxicam 7.5 mg tablet, meloxicam 7.5 mg tablet, meloxicam 7.5 mg tablet, meloxicam 7.5 mg tablet</t>
  </si>
  <si>
    <t>كمال مأمون أحمد مصباح</t>
  </si>
  <si>
    <t>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t>
  </si>
  <si>
    <t>حبيب محمد عيسى ماصلي</t>
  </si>
  <si>
    <t>empagliflozin, SITagliptin, vitamin B complex (B, B, perindopril arginine, gliclazide, tamsulosin hydrochloride, metFORMIN hydrochloride, atorvastatin</t>
  </si>
  <si>
    <t>empagliflozin 10 mg tablet, SITagliptin 100 mg tablet, empagliflozin 10 mg tablet, SITagliptin 100 mg tablet, empagliflozin 10 mg tablet, SITagliptin 100 mg tablet, empagliflozin 10 mg tablet, SITagliptin 100 mg tablet, vitamin B complex (B1,B6,B12) 100,200,0.2 mg Film coated tablets [oral], perindopril arginine 5 mg tablet, vitamin B complex (B1,B6,B12) 100,200,0.2 mg Film coated tablets [oral], perindopril arginine 5 mg tablet, vitamin B complex (B1,B6,B12) 100,200,0.2 mg Film coated tablets [oral], perindopril arginine 5 mg tablet, vitamin B complex (B1,B6,B12) 100,200,0.2 mg Film coated tablets [oral], perindopril arginine 5 mg tablet, gliclazide 30 mg tablet: modified release, tamsulosin hydrochloride 400 microgram tablet: modified release, gliclazide 30 mg tablet: modified release, tamsulosin hydrochloride 400 microgram tablet: modified release, gliclazide 30 mg tablet: modified release, tamsulosin hydrochloride 400 microgram tablet: modified release, gliclazide 30 mg tablet: modified release, tamsulosin hydrochloride 400 microgram tablet: modified release, metFORMIN hydrochloride 750 mg tablet: modified release, metFORMIN hydrochloride 750 mg tablet: modified release, metFORMIN hydrochloride 750 mg tablet: modified release, metFORMIN hydrochloride 750 mg tablet: modified release, atorvastatin 20 mg tablet, atorvastatin 20 mg tablet, atorvastatin 20 mg tablet, atorvastatin 20 mg tablet, vitamin B complex (B1,B6,B12) 100,200,0.2 mg Film coated tablets [oral], tamsulosin hydrochloride 400 microgram tablet: modified release, metFORMIN hydrochloride 750 mg tablet: modified release, perindopril arginine 5 mg tablet, empagliflozin 10 mg tablet, SITagliptin 100 mg tablet, atorvastatin 20 mg tablet, gliclazide 30 mg tablet: modified release, vitamin B complex (B1,B6,B12) 100,200,0.2 mg Film coated tablets [oral], tamsulosin hydrochloride 400 microgram tablet: modified release, metFORMIN hydrochloride 750 mg tablet: modified release, perindopril arginine 5 mg tablet, empagliflozin 10 mg tablet, SITagliptin 100 mg tablet, atorvastatin 20 mg tablet, gliclazide 30 mg tablet: modified release, vitamin B complex (B1,B6,B12) 100,200,0.2 mg Film coated tablets [oral], tamsulosin hydrochloride 400 microgram tablet: modified release, metFORMIN hydrochloride 750 mg tablet: modified release, perindopril arginine 5 mg tablet, empagliflozin 10 mg tablet, SITagliptin 100 mg tablet, atorvastatin 20 mg tablet, gliclazide 30 mg tablet: modified release, vitamin B complex (B1,B6,B12) 100,200,0.2 mg Film coated tablets [oral], tamsulosin hydrochloride 400 microgram tablet: modified release, metFORMIN hydrochloride 750 mg tablet: modified release, perindopril arginine 5 mg tablet, empagliflozin 10 mg tablet, SITagliptin 100 mg tablet, atorvastatin 20 mg tablet, gliclazide 30 mg tablet: modified release</t>
  </si>
  <si>
    <t>محمد خلف محمد العساف</t>
  </si>
  <si>
    <t>علي محمد علي مدني</t>
  </si>
  <si>
    <t>valsartan, tamsulosin hydrochloride</t>
  </si>
  <si>
    <t>valsartan 80 mg tablet, valsartan 80 mg tablet, valsartan 80 mg tablet, tamsulosin hydrochloride 400 microgram tablet: modified release, tamsulosin hydrochloride 400 microgram tablet: modified release, tamsulosin hydrochloride 400 microgram tablet: modified release, tamsulosin hydrochloride 400 microgram tablet: modified release, valsartan 80 mg tablet, tamsulosin hydrochloride 400 microgram tablet: modified release, valsartan 80 mg tablet, tamsulosin hydrochloride 400 microgram tablet: modified release, valsartan 80 mg tablet, tamsulosin hydrochloride 400 microgram tablet: modified release, tamsulosin hydrochloride 400 microgram tablet: modified release, tamsulosin hydrochloride 400 microgram tablet: modified release, valsartan 80 mg tablet, valsartan 80 mg tablet, valsartan 80 mg tablet, valsartan 80 mg tablet, valsartan 80 mg tablet, valsartan 80 mg tablet, tamsulosin hydrochloride 400 microgram tablet: modified release, tamsulosin hydrochloride 400 microgram tablet: modified release, tamsulosin hydrochloride 400 microgram tablet: modified release</t>
  </si>
  <si>
    <t>هدي مبارك صالح باثلاث</t>
  </si>
  <si>
    <t>levothyroxine sodium, omeprazole, bisoprolol fumarate</t>
  </si>
  <si>
    <t>levothyroxine sodium 100 microgram tablet, levothyroxine sodium 100 microgram tablet, levothyroxine sodium 100 microgram tablet, omeprazole 20 mg tablet: enteric coated, levothyroxine sodium 100 microgram tablet, bisoprolol fumarate 5 mg tablet, omeprazole 20 mg tablet: enteric coated, levothyroxine sodium 100 microgram tablet, bisoprolol fumarate 5 mg tablet, omeprazole 20 mg tablet: enteric coated, levothyroxine sodium 100 microgram tablet, bisoprolol fumarate 5 mg tablet, omeprazole 20 mg tablet: enteric coated, omeprazole 20 mg tablet: enteric coated, omeprazole 20 mg tablet: enteric coated, bisoprolol fumarate 5 mg tablet, levothyroxine sodium 100 microgram tablet, bisoprolol fumarate 5 mg tablet, levothyroxine sodium 100 microgram tablet, bisoprolol fumarate 5 mg tablet, levothyroxine sodium 100 microgram tablet, levothyroxine sodium 100 microgram tablet, levothyroxine sodium 100 microgram tablet, levothyroxine sodium 100 microgram tablet</t>
  </si>
  <si>
    <t>GI/PPI, Hypertension, Thyroid</t>
  </si>
  <si>
    <t>ياسر طارق صدقه أمجد</t>
  </si>
  <si>
    <t>cetirizine hydrochloride, paraffin soft white ointment, tube, hydrocortisone</t>
  </si>
  <si>
    <t>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paraffin soft white ointment, tube, paraffin soft white ointment, tube, paraffin soft white ointment, tube, paraffin soft white ointment, tube, paraffin soft white ointment, tube, paraffin soft white ointment, tube, paraffin soft white ointment, tube, paraffin soft white ointment, tube, hydrocortisone 1% (10 mg/g) cream, hydrocortisone 1% (10 mg/g) cream, hydrocortisone 1% (10 mg/g) cream, hydrocortisone 1% (10 mg/g) cream, hydrocortisone 1% (10 mg/g) cream, hydrocortisone 1% (10 mg/g) cream, hydrocortisone 1% (10 mg/g) cream, hydrocortisone 1% (10 mg/g) cream,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hydrocortisone 1% (10 mg/g) cream, hydrocortisone 1% (10 mg/g) cream, hydrocortisone 1% (10 mg/g) cream, hydrocortisone 1% (10 mg/g) cream, hydrocortisone 1% (10 mg/g) cream, hydrocortisone 1% (10 mg/g) cream, hydrocortisone 1% (10 mg/g) cream, hydrocortisone 1% (10 mg/g) cream,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paraffin soft white ointment, tube, paraffin soft white ointment, tube, paraffin soft white ointment, tube, paraffin soft white ointment, tube, paraffin soft white ointment, tube, paraffin soft white ointment, tube, paraffin soft white ointment, tube, paraffin soft white ointment, tube, hydrocortisone 1% (10 mg/g) cream, hydrocortisone 1% (10 mg/g) cream, hydrocortisone 1% (10 mg/g) cream, hydrocortisone 1% (10 mg/g) cream, hydrocortisone 1% (10 mg/g) cream, hydrocortisone 1% (10 mg/g) cream, hydrocortisone 1% (10 mg/g) cream, hydrocortisone 1% (10 mg/g) cream, paraffin soft white ointment, tube, paraffin soft white ointment, tube, paraffin soft white ointment, tube, paraffin soft white ointment, tube, paraffin soft white ointment, tube, paraffin soft white ointment, tube, paraffin soft white ointment, tube, paraffin soft white ointment, tube</t>
  </si>
  <si>
    <t>عزيزه سريحان عبيد البلادي</t>
  </si>
  <si>
    <t>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t>
  </si>
  <si>
    <t>انس يحي خياط</t>
  </si>
  <si>
    <t>سميه عثمان أحمد الغامدي</t>
  </si>
  <si>
    <t>vitamin B complex (B, B, mupirocin, cetirizine hydrochloride, apixaban, insulin aspart, bisoprolol fumarate, colecalciferol, calcium carbonate, omeprazole</t>
  </si>
  <si>
    <t>vitamin B complex (B1,B6,B12) 100,100,0.15 mg Film coated tablets [oral], mupirocin 2% (20 mg/g) ointment, vitamin B complex (B1,B6,B12) 100,100,0.15 mg Film coated tablets [oral], mupirocin 2% (20 mg/g) ointment, vitamin B complex (B1,B6,B12) 100,100,0.15 mg Film coated tablets [oral], mupirocin 2% (20 mg/g) ointment, cetirizine hydrochloride 10 mg tablet, apixaban 2.5 mg tablet, insulin aspart 100 international units/mL injection, 3 mL prefilled pen, bisoprolol fumarate 5 mg tablet, cetirizine hydrochloride 10 mg tablet, apixaban 2.5 mg tablet, insulin aspart 100 international units/mL injection, 3 mL prefilled pen, bisoprolol fumarate 5 mg tablet, cetirizine hydrochloride 10 mg tablet, apixaban 2.5 mg tablet, insulin aspart 100 international units/mL injection, 3 mL prefilled pen, bisoprolol fumarate 5 mg tablet, colecalciferol 50 000 international units tablet, calcium carbonate 600 mg - colecalciferol 200 international units Film coated tablets [oral], omeprazole 20 mg tablet: enteric coated, lidocaine hydrochloride anhydrous 5% (50 mg/g) ointment, levothyroxine sodium 100 microgram tablet, colecalciferol 50 000 international units tablet, calcium carbonate 600 mg - colecalciferol 200 international units Film coated tablets [oral], omeprazole 20 mg tablet: enteric coated, lidocaine hydrochloride anhydrous 5% (50 mg/g) ointment, levothyroxine sodium 100 microgram tablet, colecalciferol 50 000 international units tablet, calcium carbonate 600 mg - colecalciferol 200 international units Film coated tablets [oral], omeprazole 20 mg tablet: enteric coated, lidocaine hydrochloride anhydrous 5% (50 mg/g) ointment, levothyroxine sodium 100 microgram tablet, valsartan 80 mg tablet, insulin glargine (lantus) 100 international units/mL injection, 3 mL prefilled pen, amLODIPine 5 mg tablet, valsartan 80 mg tablet, insulin glargine (lantus) 100 international units/mL injection, 3 mL prefilled pen, amLODIPine 5 mg tablet, valsartan 80 mg tablet, insulin glargine (lantus) 100 international units/mL injection, 3 mL prefilled pen, amLODIPine 5 mg tablet, rosuvastatin 20 mg tablet, rosuvastatin 20 mg tablet, rosuvastatin 20 mg tablet, valsartan 80 mg tablet, valsartan 80 mg tablet, valsartan 80 mg tablet, mupirocin 2% (20 mg/g) ointment, apixaban 2.5 mg tablet, omeprazole 20 mg tablet: enteric coated, bisoprolol fumarate 5 mg tablet, vitamin B complex (B1,B6,B12) 100,100,0.15 mg Film coated tablets [oral], mupirocin 2% (20 mg/g) ointment, apixaban 2.5 mg tablet, omeprazole 20 mg tablet: enteric coated, bisoprolol fumarate 5 mg tablet, vitamin B complex (B1,B6,B12) 100,100,0.15 mg Film coated tablets [oral], mupirocin 2% (20 mg/g) ointment, apixaban 2.5 mg tablet, omeprazole 20 mg tablet: enteric coated, bisoprolol fumarate 5 mg tablet, vitamin B complex (B1,B6,B12) 100,100,0.15 mg Film coated tablets [oral], cetirizine hydrochloride 10 mg tablet, insulin aspart 100 international units/mL injection, 3 mL prefilled pen, levothyroxine sodium 100 microgram tablet, cetirizine hydrochloride 10 mg tablet, insulin aspart 100 international units/mL injection, 3 mL prefilled pen, levothyroxine sodium 100 microgram tablet, cetirizine hydrochloride 10 mg tablet, insulin aspart 100 international units/mL injection, 3 mL prefilled pen, levothyroxine sodium 100 microgram tablet, rosuvastatin 20 mg tablet, insulin glargine (lantus) 100 international units/mL injection, 3 mL prefilled pen, colecalciferol 50 000 international units tablet, amLODIPine 5 mg tablet, lidocaine hydrochloride anhydrous 5% (50 mg/g) ointment, rosuvastatin 20 mg tablet, insulin glargine (lantus) 100 international units/mL injection, 3 mL prefilled pen, colecalciferol 50 000 international units tablet, amLODIPine 5 mg tablet, lidocaine hydrochloride anhydrous 5% (50 mg/g) ointment, rosuvastatin 20 mg tablet, insulin glargine (lantus) 100 international units/mL injection, 3 mL prefilled pen, colecalciferol 50 000 international units tablet, amLODIPine 5 mg tablet, lidocaine hydrochloride anhydrous 5% (50 mg/g) ointment, calcium carbonate 600 mg - colecalciferol 200 international units Film coated tablets [oral], calcium carbonate 600 mg - colecalciferol 200 international units Film coated tablets [oral], calcium carbonate 600 mg - colecalciferol 200 international units Film coated tablets [oral], colecalciferol 50 000 international units tablet, cetirizine hydrochloride 10 mg tablet, bisoprolol fumarate 5 mg tablet, colecalciferol 50 000 international units tablet, cetirizine hydrochloride 10 mg tablet, bisoprolol fumarate 5 mg tablet, colecalciferol 50 000 international units tablet, cetirizine hydrochloride 10 mg tablet, bisoprolol fumarate 5 mg tablet, mupirocin 2% (20 mg/g) ointment, insulin glargine (lantus) 100 international units/mL injection, 3 mL prefilled pen, levothyroxine sodium 100 microgram tablet, lidocaine hydrochloride anhydrous 5% (50 mg/g) ointment, apixaban 2.5 mg tablet, insulin aspart 100 international units/mL injection, 3 mL prefilled pen, calcium carbonate 600 mg - colecalciferol 200 international units Film coated tablets [oral], vitamin B complex (B1,B6,B12) 100,100,0.15 mg Film coated tablets [oral], mupirocin 2% (20 mg/g) ointment, insulin glargine (lantus) 100 international units/mL injection, 3 mL prefilled pen, levothyroxine sodium 100 microgram tablet, lidocaine hydrochloride anhydrous 5% (50 mg/g) ointment, apixaban 2.5 mg tablet, insulin aspart 100 international units/mL injection, 3 mL prefilled pen, calcium carbonate 600 mg - colecalciferol 200 international units Film coated tablets [oral], vitamin B complex (B1,B6,B12) 100,100,0.15 mg Film coated tablets [oral], mupirocin 2% (20 mg/g) ointment, insulin glargine (lantus) 100 international units/mL injection, 3 mL prefilled pen, levothyroxine sodium 100 microgram tablet, lidocaine hydrochloride anhydrous 5% (50 mg/g) ointment, apixaban 2.5 mg tablet, insulin aspart 100 international units/mL injection, 3 mL prefilled pen, calcium carbonate 600 mg - colecalciferol 200 international units Film coated tablets [oral], vitamin B complex (B1,B6,B12) 100,100,0.15 mg Film coated tablets [oral], amLODIPine 5 mg tablet, omeprazole 20 mg tablet: enteric coated, rosuvastatin 20 mg tablet, valsartan 80 mg tablet, amLODIPine 5 mg tablet, omeprazole 20 mg tablet: enteric coated, rosuvastatin 20 mg tablet, valsartan 80 mg tablet, amLODIPine 5 mg tablet, omeprazole 20 mg tablet: enteric coated, rosuvastatin 20 mg tablet, valsartan 80 mg tablet, insulin glargine (lantus) 100 international units/mL injection, 3 mL prefilled pen, omeprazole 20 mg tablet: enteric coated, vitamin B complex (B1,B6,B12) 100,100,0.15 mg Film coated tablets [oral], valsartan 80 mg tablet, colecalciferol 50 000 international units tablet, insulin glargine (lantus) 100 international units/mL injection, 3 mL prefilled pen, omeprazole 20 mg tablet: enteric coated, vitamin B complex (B1,B6,B12) 100,100,0.15 mg Film coated tablets [oral], valsartan 80 mg tablet, colecalciferol 50 000 international units tablet, insulin glargine (lantus) 100 international units/mL injection, 3 mL prefilled pen, omeprazole 20 mg tablet: enteric coated, vitamin B complex (B1,B6,B12) 100,100,0.15 mg Film coated tablets [oral], valsartan 80 mg tablet, colecalciferol 50 000 international units tablet, calcium carbonate 600 mg - colecalciferol 200 international units Film coated tablets [oral], mupirocin 2% (20 mg/g) ointment, amLODIPine 5 mg tablet, lidocaine hydrochloride anhydrous 5% (50 mg/g) ointment, apixaban 2.5 mg tablet, levothyroxine sodium 100 microgram tablet, cetirizine hydrochloride 10 mg tablet, calcium carbonate 600 mg - colecalciferol 200 international units Film coated tablets [oral], mupirocin 2% (20 mg/g) ointment, amLODIPine 5 mg tablet, lidocaine hydrochloride anhydrous 5% (50 mg/g) ointment, apixaban 2.5 mg tablet, levothyroxine sodium 100 microgram tablet, cetirizine hydrochloride 10 mg tablet, calcium carbonate 600 mg - colecalciferol 200 international units Film coated tablets [oral], mupirocin 2% (20 mg/g) ointment, amLODIPine 5 mg tablet, lidocaine hydrochloride anhydrous 5% (50 mg/g) ointment, apixaban 2.5 mg tablet, levothyroxine sodium 100 microgram tablet, cetirizine hydrochloride 10 mg tablet, bisoprolol fumarate 5 mg tablet, insulin aspart 100 international units/mL injection, 3 mL prefilled pen, rosuvastatin 20 mg tablet, bisoprolol fumarate 5 mg tablet, insulin aspart 100 international units/mL injection, 3 mL prefilled pen, rosuvastatin 20 mg tablet, bisoprolol fumarate 5 mg tablet, insulin aspart 100 international units/mL injection, 3 mL prefilled pen, rosuvastatin 20 mg tablet, insulin aspart 100 international units/mL injection, 3 mL prefilled pen, insulin aspart 100 international units/mL injection, 3 mL prefilled pen, insulin aspart 100 international units/mL injection, 3 mL prefilled pen, amLODIPine 5 mg tablet, lidocaine hydrochloride anhydrous 5% (50 mg/g) ointment, amLODIPine 5 mg tablet, lidocaine hydrochloride anhydrous 5% (50 mg/g) ointment, amLODIPine 5 mg tablet, lidocaine hydrochloride anhydrous 5% (50 mg/g) ointment, levothyroxine sodium 100 microgram tablet, rosuvastatin 20 mg tablet, levothyroxine sodium 100 microgram tablet, rosuvastatin 20 mg tablet, levothyroxine sodium 100 microgram tablet, rosuvastatin 20 mg tablet</t>
  </si>
  <si>
    <t>زيد بن عبدالله بن حمدان الغامدي</t>
  </si>
  <si>
    <t>amLODIPine, perindopril arginine, atorvastatin</t>
  </si>
  <si>
    <t>amLODIPine 5 mg tablet, perindopril arginine 5 mg tablet, amLODIPine 5 mg tablet, perindopril arginine 5 mg tablet, amLODIPine 5 mg tablet, perindopril arginine 5 mg tablet, amLODIPine 5 mg tablet, amLODIPine 5 mg tablet, amLODIPine 5 mg tablet, perindopril arginine 5 mg tablet, atorvastatin 20 mg tablet, perindopril arginine 5 mg tablet, atorvastatin 20 mg tablet, perindopril arginine 5 mg tablet, atorvastatin 20 mg tablet, atorvastatin 20 mg tablet, amLODIPine 5 mg tablet, atorvastatin 20 mg tablet, amLODIPine 5 mg tablet, atorvastatin 20 mg tablet, amLODIPine 5 mg tablet, perindopril arginine 5 mg tablet, perindopril arginine 5 mg tablet, perindopril arginine 5 mg tablet</t>
  </si>
  <si>
    <t>منير عقيل فرج العتيبي</t>
  </si>
  <si>
    <t>SITagliptin, empagliflozin, losartan potassium, vitamin B complex (B, B</t>
  </si>
  <si>
    <t>SITagliptin 100 mg tablet, SITagliptin 100 mg tablet, SITagliptin 100 mg tablet, SITagliptin 100 mg tablet, SITagliptin 100 mg tablet, SITagliptin 100 mg tablet, SITagliptin 100 mg tablet, SITagliptin 100 mg tablet, SITagliptin 100 mg tablet, empagliflozin 25 mg tablet, empagliflozin 25 mg tablet, empagliflozin 25 mg tablet, empagliflozin 25 mg tablet, empagliflozin 25 mg tablet, empagliflozin 25 mg tablet, empagliflozin 25 mg tablet, empagliflozin 25 mg tablet, empagliflozin 25 mg tablet, losartan potassium 50 mg tablet, losartan potassium 50 mg tablet, losartan potassium 50 mg tablet, losartan potassium 50 mg tablet, losartan potassium 50 mg tablet, losartan potassium 50 mg tablet, losartan potassium 50 mg tablet, losartan potassium 50 mg tablet, losartan potassium 50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SITagliptin 100 mg tablet, SITagliptin 100 mg tablet, SITagliptin 100 mg tablet, SITagliptin 100 mg tablet, SITagliptin 100 mg tablet, SITagliptin 100 mg tablet, SITagliptin 100 mg tablet, SITagliptin 100 mg tablet, SITagliptin 100 mg tablet, losartan potassium 50 mg tablet, empagliflozin 25 mg tablet, losartan potassium 50 mg tablet, empagliflozin 25 mg tablet, losartan potassium 50 mg tablet, empagliflozin 25 mg tablet, losartan potassium 50 mg tablet, empagliflozin 25 mg tablet, losartan potassium 50 mg tablet, empagliflozin 25 mg tablet, losartan potassium 50 mg tablet, empagliflozin 25 mg tablet, losartan potassium 50 mg tablet, empagliflozin 25 mg tablet, losartan potassium 50 mg tablet, empagliflozin 25 mg tablet, losartan potassium 50 mg tablet, empagliflozin 25 mg tablet, SITagliptin 100 mg tablet, SITagliptin 100 mg tablet, SITagliptin 100 mg tablet, SITagliptin 100 mg tablet, SITagliptin 100 mg tablet, SITagliptin 100 mg tablet, SITagliptin 100 mg tablet, SITagliptin 100 mg tablet, SITagliptin 100 mg tablet, empagliflozin 25 mg tablet, empagliflozin 25 mg tablet, empagliflozin 25 mg tablet, empagliflozin 25 mg tablet, empagliflozin 25 mg tablet, empagliflozin 25 mg tablet, empagliflozin 25 mg tablet, empagliflozin 25 mg tablet, empagliflozin 25 mg tablet, losartan potassium 50 mg tablet, losartan potassium 50 mg tablet, losartan potassium 50 mg tablet, losartan potassium 50 mg tablet, losartan potassium 50 mg tablet, losartan potassium 50 mg tablet, losartan potassium 50 mg tablet, losartan potassium 50 mg tablet, losartan potassium 50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SITagliptin 100 mg tablet, losartan potassium 50 mg tablet, empagliflozin 25 mg tablet, SITagliptin 100 mg tablet, losartan potassium 50 mg tablet, empagliflozin 25 mg tablet, SITagliptin 100 mg tablet, losartan potassium 50 mg tablet, empagliflozin 25 mg tablet, SITagliptin 100 mg tablet, losartan potassium 50 mg tablet, empagliflozin 25 mg tablet, SITagliptin 100 mg tablet, losartan potassium 50 mg tablet, empagliflozin 25 mg tablet, SITagliptin 100 mg tablet, losartan potassium 50 mg tablet, empagliflozin 25 mg tablet, SITagliptin 100 mg tablet, losartan potassium 50 mg tablet, empagliflozin 25 mg tablet, SITagliptin 100 mg tablet, losartan potassium 50 mg tablet, empagliflozin 25 mg tablet, SITagliptin 100 mg tablet, losartan potassium 50 mg tablet, empagliflozin 25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t>
  </si>
  <si>
    <t>شيخه ضيف الله عالي الروقي</t>
  </si>
  <si>
    <t>atorvastatin, metFORMIN hydrochloride, valsartan</t>
  </si>
  <si>
    <t>atorvastatin 20 mg tablet, atorvastatin 20 mg tablet, atorvastatin 20 mg tablet, metFORMIN hydrochloride 500 mg tablet, metFORMIN hydrochloride 500 mg tablet, metFORMIN hydrochloride 500 mg tablet, valsartan 80 mg tablet, valsartan 80 mg tablet, valsartan 80 mg tablet, metFORMIN hydrochloride 500 mg tablet, valsartan 80 mg tablet, metFORMIN hydrochloride 500 mg tablet, valsartan 80 mg tablet, metFORMIN hydrochloride 500 mg tablet, valsartan 80 mg tablet, atorvastatin 20 mg tablet, atorvastatin 20 mg tablet, atorvastatin 20 mg tablet, valsartan 80 mg tablet, valsartan 80 mg tablet, valsartan 80 mg tablet, metFORMIN hydrochloride 500 mg tablet, metFORMIN hydrochloride 500 mg tablet, metFORMIN hydrochloride 500 mg tablet, atorvastatin 20 mg tablet, atorvastatin 20 mg tablet, atorvastatin 20 mg tablet</t>
  </si>
  <si>
    <t>ماجد منير عقيل العتيبي</t>
  </si>
  <si>
    <t>empagliflozin 25 mg tablet, empagliflozin 25 mg tablet, empagliflozin 25 mg tablet, empagliflozin 25 mg tablet, empagliflozin 25 mg tablet, empagliflozin 25 mg tablet, empagliflozin 25 mg tablet, empagliflozin 25 mg tablet</t>
  </si>
  <si>
    <t>خليل عبدالحميد حماد العنمي</t>
  </si>
  <si>
    <t>salbutamol, budesonide, amoxicillin</t>
  </si>
  <si>
    <t>salbutamol 100 microgram/actuation inhaler, salbutamol 100 microgram/actuation inhaler, salbutamol 100 microgram/actuation inhaler,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amoxicillin 500 mg capsule, amoxicillin 500 mg capsule, amoxicillin 500 mg capsule, budesonide 160 microgram/actuation + formoterol fumarate dihydrate 4.5 microgram/actuation inhalation: powder for, amoxicillin 500 mg capsule, budesonide 160 microgram/actuation + formoterol fumarate dihydrate 4.5 microgram/actuation inhalation: powder for, amoxicillin 500 mg capsule, budesonide 160 microgram/actuation + formoterol fumarate dihydrate 4.5 microgram/actuation inhalation: powder for, amoxicillin 500 mg capsule, salbutamol 100 microgram/actuation inhaler, salbutamol 100 microgram/actuation inhaler, salbutamol 100 microgram/actuation inhaler, budesonide 160 microgram/actuation + formoterol fumarate dihydrate 4.5 microgram/actuation inhalation: powder for, salbutamol 100 microgram/actuation inhaler, budesonide 160 microgram/actuation + formoterol fumarate dihydrate 4.5 microgram/actuation inhalation: powder for, salbutamol 100 microgram/actuation inhaler, budesonide 160 microgram/actuation + formoterol fumarate dihydrate 4.5 microgram/actuation inhalation: powder for, salbutamol 100 microgram/actuation inhaler</t>
  </si>
  <si>
    <t>ذهبه عمر علي سوادي</t>
  </si>
  <si>
    <t>valsartan, bisoprolol fumarate, atorvastatin</t>
  </si>
  <si>
    <t>valsartan 80 mg tablet, valsartan 80 mg tablet, valsartan 80 mg tablet, bisoprolol fumarate 5 mg tablet, atorvastatin 20 mg tablet, bisoprolol fumarate 5 mg tablet, atorvastatin 20 mg tablet, bisoprolol fumarate 5 mg tablet, atorvastatin 20 mg tablet, bisoprolol fumarate 5 mg tablet, bisoprolol fumarate 5 mg tablet, bisoprolol fumarate 5 mg tablet, atorvastatin 20 mg tablet, atorvastatin 20 mg tablet, atorvastatin 20 mg tablet, valsartan 80 mg tablet, valsartan 80 mg tablet, valsartan 80 mg tablet</t>
  </si>
  <si>
    <t>محمد صديق عثمان بتره</t>
  </si>
  <si>
    <t>عبدالله محمد سعيد الزهراني</t>
  </si>
  <si>
    <t>rosuvastatin, valsartan</t>
  </si>
  <si>
    <t>rosuvastatin 10 mg tablet, rosuvastatin 10 mg tablet, rosuvastatin 10 mg tablet, valsartan 80 mg tablet, valsartan 80 mg tablet, valsartan 80 mg tablet, rosuvastatin 10 mg tablet, rosuvastatin 10 mg tablet, rosuvastatin 10 mg tablet, valsartan 80 mg tablet, valsartan 80 mg tablet, valsartan 80 mg tablet, valsartan 80 mg tablet, valsartan 80 mg tablet, valsartan 80 mg tablet, rosuvastatin 10 mg tablet, rosuvastatin 10 mg tablet, rosuvastatin 10 mg tablet, valsartan 80 mg tablet, valsartan 80 mg tablet, valsartan 80 mg tablet, rosuvastatin 10 mg tablet, rosuvastatin 10 mg tablet, rosuvastatin 10 mg tablet</t>
  </si>
  <si>
    <t>محمدمنير محمدغزالي عبدالرحمن كلنتن</t>
  </si>
  <si>
    <t>varenicline, varenicline (</t>
  </si>
  <si>
    <t>varenicline 1 mg tablet, varenicline 1 mg tablet, varenicline 1 mg tablet, varenicline 1 mg tablet, varenicline (11 x 500 microgram tablets, 14 x 1 mg tablets), 1 starter pack, varenicline (11 x 500 microgram tablets, 14 x 1 mg tablets), 1 starter pack, varenicline (11 x 500 microgram tablets, 14 x 1 mg tablets), 1 starter pack, varenicline (11 x 500 microgram tablets, 14 x 1 mg tablets), 1 starter pack, varenicline (11 x 500 microgram tablets, 14 x 1 mg tablets), 1 starter pack, varenicline (11 x 500 microgram tablets, 14 x 1 mg tablets), 1 starter pack, varenicline (11 x 500 microgram tablets, 14 x 1 mg tablets), 1 starter pack, varenicline (11 x 500 microgram tablets, 14 x 1 mg tablets), 1 starter pack, varenicline 1 mg tablet, varenicline 1 mg tablet, varenicline 1 mg tablet, varenicline 1 mg tablet</t>
  </si>
  <si>
    <t>عوض ناجي عوض العمري</t>
  </si>
  <si>
    <t>Insulin Pen Needle, Strips (Accu-Check), Lancets (Accu-Check)</t>
  </si>
  <si>
    <t>Insulin Pen Needle 4mm Needle [sc], Insulin Pen Needle 4mm Needle [sc], Strips (Accu-Check) 1 box Strip [n/a], Lancets (Accu-Check) 1 box Lancets [n/a], Strips (Accu-Check) 1 box Strip [n/a], Lancets (Accu-Check) 1 box Lancets [n/a], Lancets (Accu-Check) 1 box Lancets [n/a], Insulin Pen Needle 4mm Needle [sc], Lancets (Accu-Check) 1 box Lancets [n/a], Insulin Pen Needle 4mm Needle [sc], Strips (Accu-Check) 1 box Strip [n/a], Strips (Accu-Check) 1 box Strip [n/a]</t>
  </si>
  <si>
    <t>فاطمه عبدالله عوض العمري</t>
  </si>
  <si>
    <t>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t>
  </si>
  <si>
    <t>فاطمه عبدالحميد حمود السلمي</t>
  </si>
  <si>
    <t>chlorzoxazone, celecoxib, diclofenac sodium</t>
  </si>
  <si>
    <t>chlorzoxazone 250 mg + paracetamol 300 mg capsule, celecoxib 200 mg capsule, chlorzoxazone 250 mg + paracetamol 300 mg capsule, celecoxib 200 mg capsule, chlorzoxazone 250 mg + paracetamol 300 mg capsule, celecoxib 200 mg capsule, diclofenac sodium 1% (10 mg/g) gel, diclofenac sodium 1% (10 mg/g) gel, diclofenac sodium 1% (10 mg/g) gel, diclofenac sodium 1% (10 mg/g) gel, diclofenac sodium 1% (10 mg/g) gel, diclofenac sodium 1% (10 mg/g) gel, chlorzoxazone 250 mg + paracetamol 300 mg capsule, celecoxib 200 mg capsule, chlorzoxazone 250 mg + paracetamol 300 mg capsule, celecoxib 200 mg capsule, chlorzoxazone 250 mg + paracetamol 300 mg capsule, celecoxib 200 mg capsule, diclofenac sodium 1% (10 mg/g) gel, diclofenac sodium 1% (10 mg/g) gel, diclofenac sodium 1% (10 mg/g) gel, chlorzoxazone 250 mg + paracetamol 300 mg capsule, celecoxib 200 mg capsule, chlorzoxazone 250 mg + paracetamol 300 mg capsule, celecoxib 200 mg capsule, chlorzoxazone 250 mg + paracetamol 300 mg capsule, celecoxib 200 mg capsule</t>
  </si>
  <si>
    <t>جمعه حسن احمد ابراهيم</t>
  </si>
  <si>
    <t>atorvastatin, budesonide, perindopril arginine, cetirizine hydrochloride, metFORMIN hydrochloride, vitamin B complex (B, B, omeprazole, sodium chloride</t>
  </si>
  <si>
    <t>atorvastatin 20 mg tablet, atorvastatin 20 mg tablet, atorvastatin 20 mg tablet, atorvastatin 20 mg tablet, budesonide 160 microgram/actuation + formoterol fumarate dihydrate 4.5 microgram/actuation inhalation: powder for, perindopril arginine 5 mg tablet, budesonide 160 microgram/actuation + formoterol fumarate dihydrate 4.5 microgram/actuation inhalation: powder for, perindopril arginine 5 mg tablet, budesonide 160 microgram/actuation + formoterol fumarate dihydrate 4.5 microgram/actuation inhalation: powder for, perindopril arginine 5 mg tablet, budesonide 160 microgram/actuation + formoterol fumarate dihydrate 4.5 microgram/actuation inhalation: powder for, perindopril arginine 5 mg tablet, cetirizine hydrochloride 10 mg tablet, metFORMIN hydrochloride 500 mg tablet, cetirizine hydrochloride 10 mg tablet, metFORMIN hydrochloride 500 mg tablet, cetirizine hydrochloride 10 mg tablet, metFORMIN hydrochloride 500 mg tablet, cetirizine hydrochloride 10 mg tablet, metFORMIN hydrochloride 500 mg tablet, vitamin B complex (B1,B6,B12) 100,200,0.2 mg Film coated tablets [oral], vitamin B complex (B1,B6,B12) 100,200,0.2 mg Film coated tablets [oral], vitamin B complex (B1,B6,B12) 100,200,0.2 mg Film coated tablets [oral], vitamin B complex (B1,B6,B12) 100,200,0.2 mg Film coated tablets [oral], omeprazole 20 mg tablet: enteric coated, sodium chloride 0.9% (9 mg/mL) nasal spray, omeprazole 20 mg tablet: enteric coated, sodium chloride 0.9% (9 mg/mL) nasal spray, omeprazole 20 mg tablet: enteric coated, sodium chloride 0.9% (9 mg/mL) nasal spray, omeprazole 20 mg tablet: enteric coated, sodium chloride 0.9% (9 mg/mL) nasal spray, atorvastatin 20 mg tablet, vitamin B complex (B1,B6,B12) 100,200,0.2 mg Film coated tablets [oral], perindopril arginine 5 mg tablet, omeprazole 20 mg tablet: enteric coated, atorvastatin 20 mg tablet, vitamin B complex (B1,B6,B12) 100,200,0.2 mg Film coated tablets [oral], perindopril arginine 5 mg tablet, omeprazole 20 mg tablet: enteric coated, atorvastatin 20 mg tablet, vitamin B complex (B1,B6,B12) 100,200,0.2 mg Film coated tablets [oral], perindopril arginine 5 mg tablet, omeprazole 20 mg tablet: enteric coated, atorvastatin 20 mg tablet, vitamin B complex (B1,B6,B12) 100,200,0.2 mg Film coated tablets [oral], perindopril arginine 5 mg tablet, omeprazole 20 mg tablet: enteric coated, cetirizine hydrochloride 10 mg tablet, metFORMIN hydrochloride 500 mg tablet, budesonide 160 microgram/actuation + formoterol fumarate dihydrate 4.5 microgram/actuation inhalation: powder for, sodium chloride 0.9% (9 mg/mL) nasal spray, cetirizine hydrochloride 10 mg tablet, metFORMIN hydrochloride 500 mg tablet, budesonide 160 microgram/actuation + formoterol fumarate dihydrate 4.5 microgram/actuation inhalation: powder for, sodium chloride 0.9% (9 mg/mL) nasal spray, cetirizine hydrochloride 10 mg tablet, metFORMIN hydrochloride 500 mg tablet, budesonide 160 microgram/actuation + formoterol fumarate dihydrate 4.5 microgram/actuation inhalation: powder for, sodium chloride 0.9% (9 mg/mL) nasal spray, cetirizine hydrochloride 10 mg tablet, metFORMIN hydrochloride 500 mg tablet, budesonide 160 microgram/actuation + formoterol fumarate dihydrate 4.5 microgram/actuation inhalation: powder for, sodium chloride 0.9% (9 mg/mL) nasal spray, metFORMIN hydrochloride 500 mg tablet, atorvastatin 20 mg tablet, metFORMIN hydrochloride 500 mg tablet, atorvastatin 20 mg tablet, metFORMIN hydrochloride 500 mg tablet, atorvastatin 20 mg tablet, metFORMIN hydrochloride 500 mg tablet, atorvastatin 20 mg tablet, budesonide 160 microgram/actuation + formoterol fumarate dihydrate 4.5 microgram/actuation inhalation: powder for, vitamin B complex (B1,B6,B12) 100,200,0.2 mg Film coated tablets [oral], budesonide 160 microgram/actuation + formoterol fumarate dihydrate 4.5 microgram/actuation inhalation: powder for, vitamin B complex (B1,B6,B12) 100,200,0.2 mg Film coated tablets [oral], budesonide 160 microgram/actuation + formoterol fumarate dihydrate 4.5 microgram/actuation inhalation: powder for, vitamin B complex (B1,B6,B12) 100,200,0.2 mg Film coated tablets [oral], budesonide 160 microgram/actuation + formoterol fumarate dihydrate 4.5 microgram/actuation inhalation: powder for, vitamin B complex (B1,B6,B12) 100,200,0.2 mg Film coated tablets [oral], omeprazole 20 mg tablet: enteric coated, cetirizine hydrochloride 10 mg tablet, sodium chloride 0.9% (9 mg/mL) nasal spray, perindopril arginine 5 mg tablet, omeprazole 20 mg tablet: enteric coated, cetirizine hydrochloride 10 mg tablet, sodium chloride 0.9% (9 mg/mL) nasal spray, perindopril arginine 5 mg tablet, omeprazole 20 mg tablet: enteric coated, cetirizine hydrochloride 10 mg tablet, sodium chloride 0.9% (9 mg/mL) nasal spray, perindopril arginine 5 mg tablet, omeprazole 20 mg tablet: enteric coated, cetirizine hydrochloride 10 mg tablet, sodium chloride 0.9% (9 mg/mL) nasal spray, perindopril arginine 5 mg tablet, budesonide 160 microgram/actuation + formoterol fumarate dihydrate 4.5 microgram/actuation inhalation: powder for, atorvastatin 20 mg tablet, budesonide 160 microgram/actuation + formoterol fumarate dihydrate 4.5 microgram/actuation inhalation: powder for, atorvastatin 20 mg tablet, budesonide 160 microgram/actuation + formoterol fumarate dihydrate 4.5 microgram/actuation inhalation: powder for, atorvastatin 20 mg tablet, budesonide 160 microgram/actuation + formoterol fumarate dihydrate 4.5 microgram/actuation inhalation: powder for, atorvastatin 20 mg tablet, sodium chloride 0.9% (9 mg/mL) nasal spray, sodium chloride 0.9% (9 mg/mL) nasal spray, sodium chloride 0.9% (9 mg/mL) nasal spray, sodium chloride 0.9% (9 mg/mL) nasal spray, budesonide 160 microgram/actuation + formoterol fumarate dihydrate 4.5 microgram/actuation inhalation: powder for, atorvastatin 20 mg tablet, sodium chloride 0.9% (9 mg/mL) nasal spray, budesonide 160 microgram/actuation + formoterol fumarate dihydrate 4.5 microgram/actuation inhalation: powder for, atorvastatin 20 mg tablet, sodium chloride 0.9% (9 mg/mL) nasal spray, budesonide 160 microgram/actuation + formoterol fumarate dihydrate 4.5 microgram/actuation inhalation: powder for, atorvastatin 20 mg tablet, sodium chloride 0.9% (9 mg/mL) nasal spray, budesonide 160 microgram/actuation + formoterol fumarate dihydrate 4.5 microgram/actuation inhalation: powder for, atorvastatin 20 mg tablet, sodium chloride 0.9% (9 mg/mL) nasal spray</t>
  </si>
  <si>
    <t>عائشه حسين عطيف حامد</t>
  </si>
  <si>
    <t>metFORMIN hydrochloride, insulin glargine</t>
  </si>
  <si>
    <t>metFORMIN hydrochloride 750 mg tablet: modified release, metFORMIN hydrochloride 750 mg tablet: modified release, metFORMIN hydrochloride 750 mg tablet: modified release, metFORMIN hydrochloride 750 mg tablet: modified release, metFORMIN hydrochloride 750 mg tablet: modified release,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metFORMIN hydrochloride 750 mg tablet: modified release, metFORMIN hydrochloride 750 mg tablet: modified release, metFORMIN hydrochloride 750 mg tablet: modified release, metFORMIN hydrochloride 750 mg tablet: modified release, metFORMIN hydrochloride 750 mg tablet: modified release,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t>
  </si>
  <si>
    <t>منير خضر محمد النفيعي</t>
  </si>
  <si>
    <t>ticagrelor, perindopril arginine, rosuvastatin, metFORMIN hydrochloride, gliclazide, acetylsalicylic acid, empagliflozin</t>
  </si>
  <si>
    <t>ticagrelor 90 mg tablet, ticagrelor 90 mg tablet, ticagrelor 90 mg tablet, perindopril arginine 5 mg tablet, rosuvastatin 20 mg tablet, perindopril arginine 5 mg tablet, rosuvastatin 20 mg tablet, perindopril arginine 5 mg tablet, rosuvastatin 20 mg tablet, metFORMIN hydrochloride 500 mg tablet, gliclazide 60 mg tablet: modified release, acetylsalicylic acid 100 mg tablet: enteric coated, metFORMIN hydrochloride 500 mg tablet, gliclazide 60 mg tablet: modified release, acetylsalicylic acid 100 mg tablet: enteric coated, metFORMIN hydrochloride 500 mg tablet, gliclazide 60 mg tablet: modified release, acetylsalicylic acid 100 mg tablet: enteric coated, empagliflozin 10 mg tablet, empagliflozin 10 mg tablet, empagliflozin 10 mg tablet, acetylsalicylic acid 100 mg tablet: enteric coated, empagliflozin 10 mg tablet, rosuvastatin 20 mg tablet, acetylsalicylic acid 100 mg tablet: enteric coated, empagliflozin 10 mg tablet, rosuvastatin 20 mg tablet, acetylsalicylic acid 100 mg tablet: enteric coated, empagliflozin 10 mg tablet, rosuvastatin 20 mg tablet, metFORMIN hydrochloride 500 mg tablet, ticagrelor 90 mg tablet, metFORMIN hydrochloride 500 mg tablet, ticagrelor 90 mg tablet, metFORMIN hydrochloride 500 mg tablet, ticagrelor 90 mg tablet, gliclazide 60 mg tablet: modified release, gliclazide 60 mg tablet: modified release, gliclazide 60 mg tablet: modified release, perindopril arginine 5 mg tablet, perindopril arginine 5 mg tablet, perindopril arginine 5 mg tablet</t>
  </si>
  <si>
    <t>عزام بندر المالكي</t>
  </si>
  <si>
    <t>عبدالله غنيم غنام الحربي</t>
  </si>
  <si>
    <t>colecalciferol, vitamin B complex (B, B, vitamins (A, C, D</t>
  </si>
  <si>
    <t>colecalciferol 50 000 international units tablet, colecalciferol 50 000 international units tablet, colecalciferol 50 000 international units tablet, colecalciferol 50 000 international units tablet, vitamin B complex (B1,B6,B12) 100,200,0.2 mg Film coated tablets [oral], vitamin B complex (B1,B6,B12) 100,200,0.2 mg Film coated tablets [oral], vitamin B complex (B1,B6,B12) 100,200,0.2 mg Film coated tablets [oral], vitamin B complex (B1,B6,B12) 100,200,0.2 mg Film coated tablets [oral], vitamins (A, B1, B2, B3, C, D3) tablet, vitamins (A, B1, B2, B3, C, D3) tablet, vitamins (A, B1, B2, B3, C, D3) tablet, vitamins (A, B1, B2, B3, C, D3) tablet, vitamins (A, B1, B2, B3, C, D3) tablet, colecalciferol 50 000 international units tablet, vitamins (A, B1, B2, B3, C, D3) tablet, colecalciferol 50 000 international units tablet, vitamins (A, B1, B2, B3, C, D3) tablet, colecalciferol 50 000 international units tablet, vitamins (A, B1, B2, B3, C, D3) tablet, colecalciferol 50 000 international units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vitamins (A, B1, B2, B3, C, D3) tablet, colecalciferol 50 000 international units tablet, vitamins (A, B1, B2, B3, C, D3) tablet, colecalciferol 50 000 international units tablet, vitamins (A, B1, B2, B3, C, D3) tablet, colecalciferol 50 000 international units tablet, vitamins (A, B1, B2, B3, C, D3) tablet, colecalciferol 50 000 international units tablet</t>
  </si>
  <si>
    <t>سليمان بن محمد عايض آل حسن</t>
  </si>
  <si>
    <t>insulin glargine (lantus), atorvastatin, Insulin Pen Needle, insulin aspart</t>
  </si>
  <si>
    <t>insulin glargine (lantus) 100 international units/mL injection, 3 mL prefilled pen, atorvastatin 10 mg tablet, insulin glargine (lantus) 100 international units/mL injection, 3 mL prefilled pen, atorvastatin 10 mg tablet, insulin glargine (lantus) 100 international units/mL injection, 3 mL prefilled pen, atorvastatin 10 mg tablet, Insulin Pen Needle 4mm Needle [sc], Insulin Pen Needle 4mm Needle [sc], Insulin Pen Needle 4mm Needle [sc],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glargine (lantus) 100 international units/mL injection, 3 mL prefilled pen, insulin aspart 100 international units/mL injection, 3 mL prefilled pen, insulin glargine (lantus) 100 international units/mL injection, 3 mL prefilled pen, insulin aspart 100 international units/mL injection, 3 mL prefilled pen, insulin glargine (lantus) 100 international units/mL injection, 3 mL prefilled pen, atorvastatin 10 mg tablet, Insulin Pen Needle 4mm Needle [sc], atorvastatin 10 mg tablet, Insulin Pen Needle 4mm Needle [sc], atorvastatin 10 mg tablet, Insulin Pen Needle 4mm Needle [sc], Insulin Pen Needle 4mm Needle [sc], Insulin Pen Needle 4mm Needle [sc], Insulin Pen Needle 4mm Needle [sc], insulin aspart 100 international units/mL injection, 3 mL prefilled pen, insulin aspart 100 international units/mL injection, 3 mL prefilled pen, insulin aspart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atorvastatin 10 mg tablet, atorvastatin 10 mg tablet, atorvastatin 10 mg tablet</t>
  </si>
  <si>
    <t>معيشه مسلم سعدي العصلاني</t>
  </si>
  <si>
    <t>miconazole nitrate, colecalciferol</t>
  </si>
  <si>
    <t>miconazole nitrate 2% (20 mg/g) cream, miconazole nitrate 2% (20 mg/g) cream, miconazole nitrate 2% (20 mg/g) cream,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miconazole nitrate 2% (20 mg/g) cream, miconazole nitrate 2% (20 mg/g) cream, miconazole nitrate 2% (20 mg/g) cream, miconazole nitrate 2% (20 mg/g) cream, miconazole nitrate 2% (20 mg/g) cream, miconazole nitrate 2% (20 mg/g) cream, colecalciferol 1 000 international units capsule, colecalciferol 1 000 international units capsule, colecalciferol 1 000 international units capsule</t>
  </si>
  <si>
    <t>صالحه عبدالله مفضي الجهني</t>
  </si>
  <si>
    <t>atorvastatin, lidocaine hydrochloride, valsartan, sennosides, metFORMIN hydrochloride</t>
  </si>
  <si>
    <t>atorvastatin 20 mg tablet, lidocaine hydrochloride 2% (20 mg/g) + tribenoside 5% (50 mg/g) rectal ointment, atorvastatin 20 mg tablet, lidocaine hydrochloride 2% (20 mg/g) + tribenoside 5% (50 mg/g) rectal ointment, atorvastatin 20 mg tablet, lidocaine hydrochloride 2% (20 mg/g) + tribenoside 5% (50 mg/g) rectal ointment, valsartan 80 mg tablet, valsartan 80 mg tablet, valsartan 80 mg tablet, sennosides 12 mg tablet, metFORMIN hydrochloride 500 mg tablet, sennosides 12 mg tablet, metFORMIN hydrochloride 500 mg tablet, sennosides 12 mg tablet, metFORMIN hydrochloride 500 mg tablet, atorvastatin 20 mg tablet, valsartan 80 mg tablet, metFORMIN hydrochloride 500 mg tablet, atorvastatin 20 mg tablet, valsartan 80 mg tablet, metFORMIN hydrochloride 500 mg tablet, atorvastatin 20 mg tablet, valsartan 80 mg tablet, metFORMIN hydrochloride 500 mg tablet, lidocaine hydrochloride 2% (20 mg/g) + tribenoside 5% (50 mg/g) rectal ointment, lidocaine hydrochloride 2% (20 mg/g) + tribenoside 5% (50 mg/g) rectal ointment, lidocaine hydrochloride 2% (20 mg/g) + tribenoside 5% (50 mg/g) rectal ointment, sennosides 12 mg tablet, sennosides 12 mg tablet, sennosides 12 mg tablet, atorvastatin 20 mg tablet, atorvastatin 20 mg tablet, atorvastatin 20 mg tablet, valsartan 80 mg tablet, lidocaine hydrochloride 2% (20 mg/g) + tribenoside 5% (50 mg/g) rectal ointment, valsartan 80 mg tablet, lidocaine hydrochloride 2% (20 mg/g) + tribenoside 5% (50 mg/g) rectal ointment, valsartan 80 mg tablet, lidocaine hydrochloride 2% (20 mg/g) + tribenoside 5% (50 mg/g) rectal ointment, metFORMIN hydrochloride 500 mg tablet, metFORMIN hydrochloride 500 mg tablet, metFORMIN hydrochloride 500 mg tablet, sennosides 12 mg tablet, sennosides 12 mg tablet, sennosides 12 mg tablet</t>
  </si>
  <si>
    <t>ممدوح مقبل قبيل الزنبقي</t>
  </si>
  <si>
    <t>atorvastatin, vitamin B complex (B, B, salicylic acid, acetylsalicylic acid, vitamins (A, C, D, betamethasone (as valerate)</t>
  </si>
  <si>
    <t>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salicylic acid 10% (100 mg/g) 30 g ointment, salicylic acid 10% (100 mg/g) 30 g ointment, salicylic acid 10% (100 mg/g) 30 g ointment, salicylic acid 10% (100 mg/g) 30 g ointment, salicylic acid 10% (100 mg/g) 30 g ointment, salicylic acid 10% (100 mg/g) 30 g ointment, salicylic acid 10% (100 mg/g) 30 g ointment, acetylsalicylic acid 100 mg tablet: enteric coated, vitamins (A, B1, B2, B3, C, D3) tablet, betamethasone (as valerate) 0.1% (1 mg/g) + fusidic acid 2% (20 mg/g) cream, salicylic acid 10% (100 mg/g) 30 g ointment, acetylsalicylic acid 100 mg tablet: enteric coated, vitamins (A, B1, B2, B3, C, D3) tablet, betamethasone (as valerate) 0.1% (1 mg/g) + fusidic acid 2% (20 mg/g) cream, salicylic acid 10% (100 mg/g) 30 g ointment, acetylsalicylic acid 100 mg tablet: enteric coated, vitamins (A, B1, B2, B3, C, D3) tablet, betamethasone (as valerate) 0.1% (1 mg/g) + fusidic acid 2% (20 mg/g) cream, salicylic acid 10% (100 mg/g) 30 g ointment, acetylsalicylic acid 100 mg tablet: enteric coated, vitamins (A, B1, B2, B3, C, D3) tablet, betamethasone (as valerate) 0.1% (1 mg/g) + fusidic acid 2% (20 mg/g) cream, salicylic acid 10% (100 mg/g) 30 g ointment, acetylsalicylic acid 100 mg tablet: enteric coated, vitamins (A, B1, B2, B3, C, D3) tablet, betamethasone (as valerate) 0.1% (1 mg/g) + fusidic acid 2% (20 mg/g) cream, salicylic acid 10% (100 mg/g) 30 g ointment, acetylsalicylic acid 100 mg tablet: enteric coated, vitamins (A, B1, B2, B3, C, D3) tablet, betamethasone (as valerate) 0.1% (1 mg/g) + fusidic acid 2% (20 mg/g) cream,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acetylsalicylic acid 100 mg tablet: enteric coated, betamethasone (as valerate) 0.1% (1 mg/g) + fusidic acid 2% (20 mg/g) cream, acetylsalicylic acid 100 mg tablet: enteric coated, betamethasone (as valerate) 0.1% (1 mg/g) + fusidic acid 2% (20 mg/g) cream, acetylsalicylic acid 100 mg tablet: enteric coated, betamethasone (as valerate) 0.1% (1 mg/g) + fusidic acid 2% (20 mg/g) cream, acetylsalicylic acid 100 mg tablet: enteric coated, betamethasone (as valerate) 0.1% (1 mg/g) + fusidic acid 2% (20 mg/g) cream, acetylsalicylic acid 100 mg tablet: enteric coated, betamethasone (as valerate) 0.1% (1 mg/g) + fusidic acid 2% (20 mg/g) cream, acetylsalicylic acid 100 mg tablet: enteric coated, betamethasone (as valerate) 0.1% (1 mg/g) + fusidic acid 2% (20 mg/g) cream, salicylic acid 10% (100 mg/g) 30 g ointment, atorvastatin 20 mg tablet, vitamins (A, B1, B2, B3, C, D3) tablet, salicylic acid 10% (100 mg/g) 30 g ointment, atorvastatin 20 mg tablet, vitamins (A, B1, B2, B3, C, D3) tablet, salicylic acid 10% (100 mg/g) 30 g ointment, atorvastatin 20 mg tablet, vitamins (A, B1, B2, B3, C, D3) tablet, salicylic acid 10% (100 mg/g) 30 g ointment, atorvastatin 20 mg tablet, vitamins (A, B1, B2, B3, C, D3) tablet, salicylic acid 10% (100 mg/g) 30 g ointment, atorvastatin 20 mg tablet, vitamins (A, B1, B2, B3, C, D3) tablet, salicylic acid 10% (100 mg/g) 30 g ointment, atorvastatin 20 mg tablet, vitamins (A, B1, B2, B3, C, D3) tablet, acetylsalicylic acid 100 mg tablet: enteric coated, vitamin B complex (B1,B6,B12) 100,200,0.2 mg Film coated tablets [oral], betamethasone (as valerate) 0.1% (1 mg/g) + fusidic acid 2% (20 mg/g) cream, acetylsalicylic acid 100 mg tablet: enteric coated, vitamin B complex (B1,B6,B12) 100,200,0.2 mg Film coated tablets [oral], betamethasone (as valerate) 0.1% (1 mg/g) + fusidic acid 2% (20 mg/g) cream, acetylsalicylic acid 100 mg tablet: enteric coated, vitamin B complex (B1,B6,B12) 100,200,0.2 mg Film coated tablets [oral], betamethasone (as valerate) 0.1% (1 mg/g) + fusidic acid 2% (20 mg/g) cream, acetylsalicylic acid 100 mg tablet: enteric coated, vitamin B complex (B1,B6,B12) 100,200,0.2 mg Film coated tablets [oral], betamethasone (as valerate) 0.1% (1 mg/g) + fusidic acid 2% (20 mg/g) cream, acetylsalicylic acid 100 mg tablet: enteric coated, vitamin B complex (B1,B6,B12) 100,200,0.2 mg Film coated tablets [oral], betamethasone (as valerate) 0.1% (1 mg/g) + fusidic acid 2% (20 mg/g) cream, acetylsalicylic acid 100 mg tablet: enteric coated, vitamin B complex (B1,B6,B12) 100,200,0.2 mg Film coated tablets [oral], betamethasone (as valerate) 0.1% (1 mg/g) + fusidic acid 2% (20 mg/g) cream, atorvastatin 20 mg tablet, atorvastatin 20 mg tablet, atorvastatin 20 mg tablet, atorvastatin 20 mg tablet, atorvastatin 20 mg tablet, atorvastatin 20 mg tablet,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salicylic acid 10% (100 mg/g) 30 g ointment, salicylic acid 10% (100 mg/g) 30 g ointment, salicylic acid 10% (100 mg/g) 30 g ointment, salicylic acid 10% (100 mg/g) 30 g ointment, salicylic acid 10% (100 mg/g) 30 g ointment, salicylic acid 10% (100 mg/g) 30 g ointment</t>
  </si>
  <si>
    <t>Antiplatelet, Dyslipidemia, Vitamins/Supplements</t>
  </si>
  <si>
    <t>نهايه عبدالله علي القرني</t>
  </si>
  <si>
    <t>gliclazide, rosuvastatin, paracetamol, levothyroxine sodium, Strips (Accu-Check), metFORMIN hydrochloride, omeprazole</t>
  </si>
  <si>
    <t>gliclazide 60 mg tablet: modified release, rosuvastatin 10 mg tablet, gliclazide 60 mg tablet: modified release, rosuvastatin 10 mg tablet, gliclazide 60 mg tablet: modified release, rosuvastatin 10 mg tablet, gliclazide 60 mg tablet: modified release, rosuvastatin 10 mg tablet, paracetamol 500 mg tablet, levothyroxine sodium 25 microgram tablet, paracetamol 500 mg tablet, levothyroxine sodium 25 microgram tablet, paracetamol 500 mg tablet, levothyroxine sodium 25 microgram tablet, paracetamol 500 mg tablet, levothyroxine sodium 25 microgram tablet, levothyroxine sodium 50 microgram tablet, levothyroxine sodium 50 microgram tablet, levothyroxine sodium 50 microgram tablet, levothyroxine sodium 50 microgram tablet, Strips (Accu-Check) 1 box Strip [n/a], metFORMIN hydrochloride 750 mg tablet: modified release, Strips (Accu-Check) 1 box Strip [n/a], metFORMIN hydrochloride 750 mg tablet: modified release, Strips (Accu-Check) 1 box Strip [n/a], metFORMIN hydrochloride 750 mg tablet: modified release, Strips (Accu-Check) 1 box Strip [n/a], metFORMIN hydrochloride 750 mg tablet: modified release, omeprazole 20 mg tablet: enteric coated, omeprazole 20 mg tablet: enteric coated, omeprazole 20 mg tablet: enteric coated, omeprazole 20 mg tablet: enteric coated, gliclazide 60 mg tablet: modified release, levothyroxine sodium 50 microgram tablet, gliclazide 60 mg tablet: modified release, levothyroxine sodium 50 microgram tablet, gliclazide 60 mg tablet: modified release, levothyroxine sodium 50 microgram tablet, gliclazide 60 mg tablet: modified release, levothyroxine sodium 50 microgram tablet, paracetamol 500 mg tablet, paracetamol 500 mg tablet, paracetamol 500 mg tablet, paracetamol 500 mg tablet, Strips (Accu-Check) 1 box Strip [n/a], rosuvastatin 10 mg tablet, levothyroxine sodium 25 microgram tablet, metFORMIN hydrochloride 750 mg tablet: modified release, omeprazole 20 mg tablet: enteric coated, Strips (Accu-Check) 1 box Strip [n/a], rosuvastatin 10 mg tablet, levothyroxine sodium 25 microgram tablet, metFORMIN hydrochloride 750 mg tablet: modified release, omeprazole 20 mg tablet: enteric coated, Strips (Accu-Check) 1 box Strip [n/a], rosuvastatin 10 mg tablet, levothyroxine sodium 25 microgram tablet, metFORMIN hydrochloride 750 mg tablet: modified release, omeprazole 20 mg tablet: enteric coated, Strips (Accu-Check) 1 box Strip [n/a], rosuvastatin 10 mg tablet, levothyroxine sodium 25 microgram tablet, metFORMIN hydrochloride 750 mg tablet: modified release, omeprazole 20 mg tablet: enteric coated</t>
  </si>
  <si>
    <t>محمد هاشم محسن الحربي</t>
  </si>
  <si>
    <t>SITagliptin, gliclazide, insulin glargine (lantus), metFORMIN hydrochloride, vitamin B complex (B, B, Insulin Pen Needle</t>
  </si>
  <si>
    <t>SITagliptin 100 mg tablet, gliclazide 60 mg tablet: modified release, insulin glargine (lantus) 100 international units/mL injection, 3 mL prefilled pen, SITagliptin 100 mg tablet, gliclazide 60 mg tablet: modified release, insulin glargine (lantus) 100 international units/mL injection, 3 mL prefilled pen, SITagliptin 100 mg tablet, gliclazide 60 mg tablet: modified release, insulin glargine (lantus) 100 international units/mL injection, 3 mL prefilled pen, SITagliptin 100 mg tablet, gliclazide 60 mg tablet: modified release, insulin glargine (lantus) 100 international units/mL injection, 3 mL prefilled pen,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Insulin Pen Needle 4mm Needle [sc], Insulin Pen Needle 4mm Needle [sc], Insulin Pen Needle 4mm Needle [sc], Insulin Pen Needle 4mm Needle [sc], Insulin Pen Needle 4mm Needle [sc], insulin glargine (lantus) 100 international units/mL injection, 3 mL prefilled pen, Insulin Pen Needle 4mm Needle [sc], insulin glargine (lantus) 100 international units/mL injection, 3 mL prefilled pen, Insulin Pen Needle 4mm Needle [sc], insulin glargine (lantus) 100 international units/mL injection, 3 mL prefilled pen, Insulin Pen Needle 4mm Needle [sc], insulin glargine (lantus) 100 international units/mL injection, 3 mL prefilled pen, vitamin B complex (B1,B6,B12) 100,200,0.2 mg Film coated tablets [oral], vitamin B complex (B1,B6,B12) 100,200,0.2 mg Film coated tablets [oral], vitamin B complex (B1,B6,B12) 100,200,0.2 mg Film coated tablets [oral], vitamin B complex (B1,B6,B12) 100,200,0.2 mg Film coated tablets [oral], SITagliptin 100 mg tablet, metFORMIN hydrochloride 500 mg tablet, gliclazide 60 mg tablet: modified release, SITagliptin 100 mg tablet, metFORMIN hydrochloride 500 mg tablet, gliclazide 60 mg tablet: modified release, SITagliptin 100 mg tablet, metFORMIN hydrochloride 500 mg tablet, gliclazide 60 mg tablet: modified release, SITagliptin 100 mg tablet, metFORMIN hydrochloride 500 mg tablet, gliclazide 60 mg tablet: modified release</t>
  </si>
  <si>
    <t>يعقوب محمد جعفر علي بن نواب علي خان</t>
  </si>
  <si>
    <t>bisoprolol fumarate, acetylsalicylic acid, omeprazole, rosuvastatin</t>
  </si>
  <si>
    <t>bisoprolol fumarate 5 mg tablet, acetylsalicylic acid 100 mg tablet: enteric coated, omeprazole 20 mg tablet: enteric coated, bisoprolol fumarate 5 mg tablet, acetylsalicylic acid 100 mg tablet: enteric coated, omeprazole 20 mg tablet: enteric coated, bisoprolol fumarate 5 mg tablet, acetylsalicylic acid 100 mg tablet: enteric coated, omeprazole 20 mg tablet: enteric coated, bisoprolol fumarate 5 mg tablet, acetylsalicylic acid 100 mg tablet: enteric coated, omeprazole 20 mg tablet: enteric coated, bisoprolol fumarate 5 mg tablet, acetylsalicylic acid 100 mg tablet: enteric coated, omeprazole 20 mg tablet: enteric coated, bisoprolol fumarate 5 mg tablet, acetylsalicylic acid 100 mg tablet: enteric coated, omeprazole 20 mg tablet: enteric coated, rosuvastatin 20 mg tablet, rosuvastatin 20 mg tablet, rosuvastatin 20 mg tablet, rosuvastatin 20 mg tablet, rosuvastatin 20 mg tablet, rosuvastatin 20 mg tablet, acetylsalicylic acid 100 mg tablet: enteric coated, bisoprolol fumarate 5 mg tablet, acetylsalicylic acid 100 mg tablet: enteric coated, bisoprolol fumarate 5 mg tablet, acetylsalicylic acid 100 mg tablet: enteric coated, bisoprolol fumarate 5 mg tablet, acetylsalicylic acid 100 mg tablet: enteric coated, bisoprolol fumarate 5 mg tablet, acetylsalicylic acid 100 mg tablet: enteric coated, bisoprolol fumarate 5 mg tablet, acetylsalicylic acid 100 mg tablet: enteric coated, bisoprolol fumarate 5 mg tablet, omeprazole 20 mg tablet: enteric coated, omeprazole 20 mg tablet: enteric coated, omeprazole 20 mg tablet: enteric coated, omeprazole 20 mg tablet: enteric coated, omeprazole 20 mg tablet: enteric coated, omeprazole 20 mg tablet: enteric coated,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omeprazole 20 mg tablet: enteric coated, rosuvastatin 20 mg tablet, omeprazole 20 mg tablet: enteric coated, rosuvastatin 20 mg tablet, omeprazole 20 mg tablet: enteric coated, rosuvastatin 20 mg tablet, omeprazole 20 mg tablet: enteric coated, rosuvastatin 20 mg tablet, omeprazole 20 mg tablet: enteric coated, rosuvastatin 20 mg tablet, omeprazole 20 mg tablet: enteric coated, rosuvastatin 20 mg tablet, bisoprolol fumarate 5 mg tablet, bisoprolol fumarate 5 mg tablet, bisoprolol fumarate 5 mg tablet, bisoprolol fumarate 5 mg tablet, bisoprolol fumarate 5 mg tablet, bisoprolol fumarate 5 mg tablet, rosuvastatin 20 mg tablet, rosuvastatin 20 mg tablet, rosuvastatin 20 mg tablet, rosuvastatin 20 mg tablet, rosuvastatin 20 mg tablet, rosuvastatin 20 mg tablet, bisoprolol fumarate 5 mg tablet, bisoprolol fumarate 5 mg tablet, bisoprolol fumarate 5 mg tablet, bisoprolol fumarate 5 mg tablet, bisoprolol fumarate 5 mg tablet, bisoprolol fumarate 5 mg tablet, omeprazole 20 mg tablet: enteric coated, omeprazole 20 mg tablet: enteric coated, omeprazole 20 mg tablet: enteric coated, omeprazole 20 mg tablet: enteric coated, omeprazole 20 mg tablet: enteric coated, omeprazole 20 mg tablet: enteric coated,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omeprazole 20 mg tablet: enteric coated, acetylsalicylic acid 100 mg tablet: enteric coated, omeprazole 20 mg tablet: enteric coated, acetylsalicylic acid 100 mg tablet: enteric coated, omeprazole 20 mg tablet: enteric coated, acetylsalicylic acid 100 mg tablet: enteric coated, omeprazole 20 mg tablet: enteric coated, acetylsalicylic acid 100 mg tablet: enteric coated, omeprazole 20 mg tablet: enteric coated, acetylsalicylic acid 100 mg tablet: enteric coated, omeprazole 20 mg tablet: enteric coated, acetylsalicylic acid 100 mg tablet: enteric coated, rosuvastatin 20 mg tablet, bisoprolol fumarate 5 mg tablet, rosuvastatin 20 mg tablet, bisoprolol fumarate 5 mg tablet, rosuvastatin 20 mg tablet, bisoprolol fumarate 5 mg tablet, rosuvastatin 20 mg tablet, bisoprolol fumarate 5 mg tablet, rosuvastatin 20 mg tablet, bisoprolol fumarate 5 mg tablet, rosuvastatin 20 mg tablet, bisoprolol fumarate 5 mg tablet, rosuvastatin 20 mg tablet, rosuvastatin 20 mg tablet, rosuvastatin 20 mg tablet, rosuvastatin 20 mg tablet, rosuvastatin 20 mg tablet, rosuvastatin 20 mg tablet, acetylsalicylic acid 100 mg tablet: enteric coated, bisoprolol fumarate 5 mg tablet, omeprazole 20 mg tablet: enteric coated, acetylsalicylic acid 100 mg tablet: enteric coated, bisoprolol fumarate 5 mg tablet, omeprazole 20 mg tablet: enteric coated, acetylsalicylic acid 100 mg tablet: enteric coated, bisoprolol fumarate 5 mg tablet, omeprazole 20 mg tablet: enteric coated, acetylsalicylic acid 100 mg tablet: enteric coated, bisoprolol fumarate 5 mg tablet, omeprazole 20 mg tablet: enteric coated, acetylsalicylic acid 100 mg tablet: enteric coated, bisoprolol fumarate 5 mg tablet, omeprazole 20 mg tablet: enteric coated, acetylsalicylic acid 100 mg tablet: enteric coated, bisoprolol fumarate 5 mg tablet, omeprazole 20 mg tablet: enteric coated, bisoprolol fumarate 5 mg tablet, acetylsalicylic acid 100 mg tablet: enteric coated, omeprazole 20 mg tablet: enteric coated, bisoprolol fumarate 5 mg tablet, acetylsalicylic acid 100 mg tablet: enteric coated, omeprazole 20 mg tablet: enteric coated, bisoprolol fumarate 5 mg tablet, acetylsalicylic acid 100 mg tablet: enteric coated, omeprazole 20 mg tablet: enteric coated, bisoprolol fumarate 5 mg tablet, acetylsalicylic acid 100 mg tablet: enteric coated, omeprazole 20 mg tablet: enteric coated, bisoprolol fumarate 5 mg tablet, acetylsalicylic acid 100 mg tablet: enteric coated, omeprazole 20 mg tablet: enteric coated, bisoprolol fumarate 5 mg tablet, acetylsalicylic acid 100 mg tablet: enteric coated, omeprazole 20 mg tablet: enteric coated, rosuvastatin 20 mg tablet, rosuvastatin 20 mg tablet, rosuvastatin 20 mg tablet, rosuvastatin 20 mg tablet, rosuvastatin 20 mg tablet, rosuvastatin 20 mg tablet, bisoprolol fumarate 5 mg tablet, bisoprolol fumarate 5 mg tablet, bisoprolol fumarate 5 mg tablet, bisoprolol fumarate 5 mg tablet, bisoprolol fumarate 5 mg tablet, bisoprolol fumarate 5 mg tablet, acetylsalicylic acid 100 mg tablet: enteric coated, omeprazole 20 mg tablet: enteric coated, acetylsalicylic acid 100 mg tablet: enteric coated, omeprazole 20 mg tablet: enteric coated, acetylsalicylic acid 100 mg tablet: enteric coated, omeprazole 20 mg tablet: enteric coated, acetylsalicylic acid 100 mg tablet: enteric coated, omeprazole 20 mg tablet: enteric coated, acetylsalicylic acid 100 mg tablet: enteric coated, omeprazole 20 mg tablet: enteric coated, acetylsalicylic acid 100 mg tablet: enteric coated, omeprazole 20 mg tablet: enteric coated</t>
  </si>
  <si>
    <t>فتحيه علي عبدالله ال بخيت</t>
  </si>
  <si>
    <t>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 mometasone furoate 0.05% nasal spray</t>
  </si>
  <si>
    <t>ناصر ظافر علي الشهري</t>
  </si>
  <si>
    <t>Lancets (Accu-Check)</t>
  </si>
  <si>
    <t>Lancets (Accu-Check) 1 box Lancets [n/a], Lancets (Accu-Check) 1 box Lancets [n/a], Lancets (Accu-Check) 1 box Lancets [n/a], Lancets (Accu-Check) 1 box Lancets [n/a], Lancets (Accu-Check) 1 box Lancets [n/a], Lancets (Accu-Check) 1 box Lancets [n/a], Lancets (Accu-Check) 1 box Lancets [n/a], Lancets (Accu-Check) 1 box Lancets [n/a], Lancets (Accu-Check) 1 box Lancets [n/a]</t>
  </si>
  <si>
    <t>صالحه عطيه الله عبدالهادي الحربي</t>
  </si>
  <si>
    <t>fluconazole, diclofenac sodium, celecoxib, paraffin soft white ointment, tube</t>
  </si>
  <si>
    <t>fluconazole 150 mg capsule, fluconazole 150 mg capsule, fluconazole 150 mg capsule, fluconazole 150 mg capsule, diclofenac sodium 1% (10 mg/g) gel, diclofenac sodium 1% (10 mg/g) gel, diclofenac sodium 1% (10 mg/g) gel, diclofenac sodium 1% (10 mg/g) gel, celecoxib 200 mg capsule, paraffin soft white ointment, tube, celecoxib 200 mg capsule, paraffin soft white ointment, tube, celecoxib 200 mg capsule, paraffin soft white ointment, tube, celecoxib 200 mg capsule, paraffin soft white ointment, tube, diclofenac sodium 1% (10 mg/g) gel, fluconazole 150 mg capsule, celecoxib 200 mg capsule, diclofenac sodium 1% (10 mg/g) gel, fluconazole 150 mg capsule, celecoxib 200 mg capsule, diclofenac sodium 1% (10 mg/g) gel, fluconazole 150 mg capsule, celecoxib 200 mg capsule, diclofenac sodium 1% (10 mg/g) gel, fluconazole 150 mg capsule, celecoxib 200 mg capsule, paraffin soft white ointment, tube, paraffin soft white ointment, tube, paraffin soft white ointment, tube, paraffin soft white ointment, tube</t>
  </si>
  <si>
    <t>صالحه عويش جويبر الحمراني</t>
  </si>
  <si>
    <t>vitamins (A, B, C, D, calcium carbonate</t>
  </si>
  <si>
    <t>vitamins (A, B1, B2, B3, C, D3) tablet, vitamins (A, B1, B2, B3, C, D3) tablet, vitamins (A, B1, B2, B3, C, D3) tablet,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vitamins (A, B1, B2, B3, C, D3) tablet, calcium carbonate 600 mg - colecalciferol 200 international units Film coated tablets [oral], vitamins (A, B1, B2, B3, C, D3) tablet, calcium carbonate 600 mg - colecalciferol 200 international units Film coated tablets [oral], vitamins (A, B1, B2, B3, C, D3) tablet, vitamins (A, B1, B2, B3, C, D3) tablet, vitamins (A, B1, B2, B3, C, D3) tablet, vitamins (A, B1, B2, B3, C, D3) tablet,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vitamins (A, B1, B2, B3, C, D3) tablet, vitamins (A, B1, B2, B3, C, D3) tablet, vitamins (A, B1, B2, B3, C, D3) tablet, calcium carbonate 600 mg - colecalciferol 200 international units Film coated tablets [oral], calcium carbonate 600 mg - colecalciferol 200 international units Film coated tablets [oral], calcium carbonate 600 mg - colecalciferol 200 international units Film coated tablets [oral], vitamins (A, B1, B2, B3, C, D3) tablet, vitamins (A, B1, B2, B3, C, D3) tablet, vitamins (A, B1, B2, B3, C, D3) tablet</t>
  </si>
  <si>
    <t>حنان احمد عبدالحميد ابوالدوح</t>
  </si>
  <si>
    <t>miconazole nitrate 2% (20 mg/g) cream, miconazole nitrate 2% (20 mg/g) cream, miconazole nitrate 2% (20 mg/g) cream, miconazole nitrate 2% (20 mg/g) cream, miconazole nitrate 2% (20 mg/g) cream, miconazole nitrate 2% (20 mg/g) cream, miconazole nitrate 2% (20 mg/g) cream, miconazole nitrate 2% (20 mg/g) cream, miconazole nitrate 2% (20 mg/g) cream, miconazole nitrate 2% (20 mg/g) cream, miconazole nitrate 2% (20 mg/g) cream, miconazole nitrate 2% (20 mg/g) cream, miconazole nitrate 2% (20 mg/g) cream, miconazole nitrate 2% (20 mg/g) cream, miconazole nitrate 2% (20 mg/g) cream, miconazole nitrate 2% (20 mg/g) cream</t>
  </si>
  <si>
    <t>حمده محمد شريمط الجراري</t>
  </si>
  <si>
    <t>perindopril arginine, amLODIPine, omeprazole</t>
  </si>
  <si>
    <t>perindopril arginine 5 mg tablet, perindopril arginine 5 mg tablet, perindopril arginine 5 mg tablet, amLODIPine 5 mg tablet, omeprazole 20 mg tablet: enteric coated, amLODIPine 5 mg tablet, omeprazole 20 mg tablet: enteric coated, amLODIPine 5 mg tablet, omeprazole 20 mg tablet: enteric coated, omeprazole 20 mg tablet: enteric coated, perindopril arginine 5 mg tablet, omeprazole 20 mg tablet: enteric coated, perindopril arginine 5 mg tablet, omeprazole 20 mg tablet: enteric coated, perindopril arginine 5 mg tablet, amLODIPine 5 mg tablet, amLODIPine 5 mg tablet, amLODIPine 5 mg tablet</t>
  </si>
  <si>
    <t>ناصر عبدالله علي المالكي</t>
  </si>
  <si>
    <t>metFORMIN hydrochloride, atorvastatin, linagliptin, empagliflozin</t>
  </si>
  <si>
    <t>metFORMIN hydrochloride 750 mg tablet: modified release, metFORMIN hydrochloride 750 mg tablet: modified release, atorvastatin 20 mg tablet, atorvastatin 20 mg tablet, linagliptin 5 mg tablet, empagliflozin 10 mg tablet, linagliptin 5 mg tablet, empagliflozin 10 mg tablet, linagliptin 5 mg tablet, atorvastatin 20 mg tablet, linagliptin 5 mg tablet, atorvastatin 20 mg tablet, empagliflozin 10 mg tablet, empagliflozin 10 mg tablet, metFORMIN hydrochloride 750 mg tablet: modified release, metFORMIN hydrochloride 750 mg tablet: modified release</t>
  </si>
  <si>
    <t>مروعيه منسي حسين الهلالي</t>
  </si>
  <si>
    <t>paracetamol, Strips (Accu-Check), azithromycin, sodium chloride</t>
  </si>
  <si>
    <t>paracetamol 120 mg/5 mL oral liquid, Strips (Accu-Check) 1 box Strip [n/a], azithromycin 250 mg capsule, paracetamol 500 mg + codeine phosphate 8 mg + caffeine 30 mg tablet, paracetamol 120 mg/5 mL oral liquid, Strips (Accu-Check) 1 box Strip [n/a], azithromycin 250 mg capsule, paracetamol 500 mg + codeine phosphate 8 mg + caffeine 30 mg tablet, paracetamol 120 mg/5 mL oral liquid, Strips (Accu-Check) 1 box Strip [n/a], azithromycin 250 mg capsule, paracetamol 500 mg + codeine phosphate 8 mg + caffeine 30 mg tablet, paracetamol 120 mg/5 mL oral liquid, Strips (Accu-Check) 1 box Strip [n/a], azithromycin 250 mg capsule, paracetamol 500 mg + codeine phosphate 8 mg + caffeine 30 mg tablet, sodium chloride 0.9% (9 mg/mL) nasal spray, sodium chloride 0.9% (9 mg/mL) nasal spray, sodium chloride 0.9% (9 mg/mL) nasal spray, sodium chloride 0.9% (9 mg/mL) nasal spray, sodium chloride 0.9% (9 mg/mL) nasal spray, paracetamol 120 mg/5 mL oral liquid, azithromycin 250 mg capsule, Strips (Accu-Check) 1 box Strip [n/a], paracetamol 500 mg + codeine phosphate 8 mg + caffeine 30 mg tablet, sodium chloride 0.9% (9 mg/mL) nasal spray, paracetamol 120 mg/5 mL oral liquid, azithromycin 250 mg capsule, Strips (Accu-Check) 1 box Strip [n/a], paracetamol 500 mg + codeine phosphate 8 mg + caffeine 30 mg tablet, sodium chloride 0.9% (9 mg/mL) nasal spray, paracetamol 120 mg/5 mL oral liquid, azithromycin 250 mg capsule, Strips (Accu-Check) 1 box Strip [n/a], paracetamol 500 mg + codeine phosphate 8 mg + caffeine 30 mg tablet, sodium chloride 0.9% (9 mg/mL) nasal spray, paracetamol 120 mg/5 mL oral liquid, azithromycin 250 mg capsule, Strips (Accu-Check) 1 box Strip [n/a], paracetamol 500 mg + codeine phosphate 8 mg + caffeine 30 mg tablet</t>
  </si>
  <si>
    <t>فاطمه محمد عيسى قحل</t>
  </si>
  <si>
    <t>paracetamol, vitamins (A, B, C, D</t>
  </si>
  <si>
    <t>paracetamol 500 mg tablet, paracetamol 500 mg tablet, paracetamol 500 mg tablet, paracetamol 500 mg tablet, paracetamol 500 mg tablet, paracetamol 500 mg tablet, paracetamol 500 mg tablet, paracetamol 500 mg tablet, paracetamol 500 mg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t>
  </si>
  <si>
    <t>احمد محمد عيسى قحل</t>
  </si>
  <si>
    <t>cetirizine hydrochloride, dextromethorphan hydrobromide, chlorhexidine gluconate, paracetamol</t>
  </si>
  <si>
    <t>cetirizine hydrochloride 10 mg tablet, dextromethorphan hydrobromide 15 mg/5 mL oral liquid, cetirizine hydrochloride 10 mg tablet, dextromethorphan hydrobromide 15 mg/5 mL oral liquid, cetirizine hydrochloride 10 mg tablet, dextromethorphan hydrobromide 15 mg/5 mL oral liquid, cetirizine hydrochloride 10 mg tablet, dextromethorphan hydrobromide 15 mg/5 mL oral liquid, cetirizine hydrochloride 10 mg tablet, dextromethorphan hydrobromide 15 mg/5 mL oral liquid, chlorhexidine gluconate 0.2% (2 mg/mL) mouthwash, chlorhexidine gluconate 0.2% (2 mg/mL) mouthwash, chlorhexidine gluconate 0.2% (2 mg/mL) mouthwash, chlorhexidine gluconate 0.2% (2 mg/mL) mouthwash, chlorhexidine gluconate 0.2% (2 mg/mL) mouthwash, paracetamol 500 mg tablet, paracetamol 500 mg tablet, paracetamol 500 mg tablet, paracetamol 500 mg tablet, paracetamol 500 mg tablet, dextromethorphan hydrobromide 15 mg/5 mL oral liquid, dextromethorphan hydrobromide 15 mg/5 mL oral liquid, dextromethorphan hydrobromide 15 mg/5 mL oral liquid, dextromethorphan hydrobromide 15 mg/5 mL oral liquid, dextromethorphan hydrobromide 15 mg/5 mL oral liquid, cetirizine hydrochloride 10 mg tablet, cetirizine hydrochloride 10 mg tablet, cetirizine hydrochloride 10 mg tablet, cetirizine hydrochloride 10 mg tablet, cetirizine hydrochloride 10 mg tablet, paracetamol 500 mg tablet, chlorhexidine gluconate 0.2% (2 mg/mL) mouthwash, paracetamol 500 mg tablet, chlorhexidine gluconate 0.2% (2 mg/mL) mouthwash, paracetamol 500 mg tablet, chlorhexidine gluconate 0.2% (2 mg/mL) mouthwash, paracetamol 500 mg tablet, chlorhexidine gluconate 0.2% (2 mg/mL) mouthwash, paracetamol 500 mg tablet, chlorhexidine gluconate 0.2% (2 mg/mL) mouthwash, cetirizine hydrochloride 10 mg tablet, dextromethorphan hydrobromide 15 mg/5 mL oral liquid, chlorhexidine gluconate 0.2% (2 mg/mL) mouthwash, cetirizine hydrochloride 10 mg tablet, dextromethorphan hydrobromide 15 mg/5 mL oral liquid, chlorhexidine gluconate 0.2% (2 mg/mL) mouthwash, cetirizine hydrochloride 10 mg tablet, dextromethorphan hydrobromide 15 mg/5 mL oral liquid, chlorhexidine gluconate 0.2% (2 mg/mL) mouthwash, cetirizine hydrochloride 10 mg tablet, dextromethorphan hydrobromide 15 mg/5 mL oral liquid, chlorhexidine gluconate 0.2% (2 mg/mL) mouthwash, cetirizine hydrochloride 10 mg tablet, dextromethorphan hydrobromide 15 mg/5 mL oral liquid, chlorhexidine gluconate 0.2% (2 mg/mL) mouthwash, paracetamol 500 mg tablet, paracetamol 500 mg tablet, paracetamol 500 mg tablet, paracetamol 500 mg tablet, paracetamol 500 mg tablet</t>
  </si>
  <si>
    <t>عبدالله محمد عيسى قحل</t>
  </si>
  <si>
    <t>insulin glargine (lantus), Strips (Accu-Check), clopidogrel, rosuvastatin, valsartan, bisoprolol fumarate, insulin aspart, amLODIPine, acetylsalicylic acid, metFORMIN hydrochloride</t>
  </si>
  <si>
    <t>insulin glargine (lantus) 100 international units/mL injection, 3 mL prefilled pen, Strips (Accu-Check) 1 box Strip [n/a], insulin glargine (lantus) 100 international units/mL injection, 3 mL prefilled pen, Strips (Accu-Check) 1 box Strip [n/a], clopidogrel 75 mg tablet, rosuvastatin 20 mg tablet, valsartan 80 mg tablet, bisoprolol fumarate 5 mg tablet, clopidogrel 75 mg tablet, rosuvastatin 20 mg tablet, valsartan 80 mg tablet, bisoprolol fumarate 5 mg tablet, insulin aspart 100 international units/mL injection, 3 mL prefilled pen, amLODIPine 5 mg tablet, acetylsalicylic acid 100 mg tablet: enteric coated, insulin aspart 100 international units/mL injection, 3 mL prefilled pen, amLODIPine 5 mg tablet, acetylsalicylic acid 100 mg tablet: enteric coated, metFORMIN hydrochloride 500 mg tablet, metFORMIN hydrochloride 500 mg tablet, empagliflozin 10 mg tablet, empagliflozin 10 mg tablet, indapamide 1.5 mg tablet: modified release, indapamide 1.5 mg tablet: modified release, indapamide 1.5 mg tablet: modified release, indapamide 1.5 mg tablet: modified release, insulin glargine (lantus) 100 international units/mL injection, 3 mL prefilled pen, insulin glargine (lantus) 100 international units/mL injection, 3 mL prefilled pen, metFORMIN hydrochloride 500 mg tablet, clopidogrel 75 mg tablet, Strips (Accu-Check) 1 box Strip [n/a], empagliflozin 10 mg tablet, rosuvastatin 20 mg tablet, metFORMIN hydrochloride 500 mg tablet, clopidogrel 75 mg tablet, Strips (Accu-Check) 1 box Strip [n/a], empagliflozin 10 mg tablet, rosuvastatin 20 mg tablet, acetylsalicylic acid 100 mg tablet: enteric coated, acetylsalicylic acid 100 mg tablet: enteric coated, valsartan 80 mg tablet, insulin aspart 100 international units/mL injection, 3 mL prefilled pen, valsartan 80 mg tablet, insulin aspart 100 international units/mL injection, 3 mL prefilled pen, amLODIPine 5 mg tablet, bisoprolol fumarate 5 mg tablet, valsartan 80 mg tablet, metFORMIN hydrochloride 500 mg tablet, amLODIPine 5 mg tablet, bisoprolol fumarate 5 mg tablet, valsartan 80 mg tablet, metFORMIN hydrochloride 500 mg tablet, clopidogrel 75 mg tablet, amLODIPine 5 mg tablet, clopidogrel 75 mg tablet, amLODIPine 5 mg tablet, rosuvastatin 20 mg tablet, insulin glargine (lantus) 100 international units/mL injection, 3 mL prefilled pen, rosuvastatin 20 mg tablet, insulin glargine (lantus) 100 international units/mL injection, 3 mL prefilled pen, empagliflozin 10 mg tablet, empagliflozin 10 mg tablet, Strips (Accu-Check) 1 box Strip [n/a], insulin aspart 100 international units/mL injection, 3 mL prefilled pen, Strips (Accu-Check) 1 box Strip [n/a], insulin aspart 100 international units/mL injection, 3 mL prefilled pen, bisoprolol fumarate 5 mg tablet, indapamide 1.5 mg tablet: modified release, bisoprolol fumarate 5 mg tablet, indapamide 1.5 mg tablet: modified release, acetylsalicylic acid 100 mg tablet: enteric coated, acetylsalicylic acid 100 mg tablet: enteric coated</t>
  </si>
  <si>
    <t>صالحه الحسن محمد السفري</t>
  </si>
  <si>
    <t>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t>
  </si>
  <si>
    <t>حنان عبدالكريم عبدالغني الفارسي</t>
  </si>
  <si>
    <t>atorvastatin 10 mg tablet, atorvastatin 10 mg tablet, atorvastatin 10 mg tablet, atorvastatin 10 mg tablet, atorvastatin 10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atorvastatin 10 mg tablet, atorvastatin 10 mg tablet, atorvastatin 10 mg tablet, atorvastatin 10 mg tablet, atorvastatin 10 mg tablet, metFORMIN hydrochloride 500 mg tablet, metFORMIN hydrochloride 500 mg tablet, metFORMIN hydrochloride 500 mg tablet, metFORMIN hydrochloride 500 mg tablet, metFORMIN hydrochloride 500 mg tablet, atorvastatin 10 mg tablet, atorvastatin 10 mg tablet, atorvastatin 10 mg tablet, atorvastatin 10 mg tablet, atorvastatin 10 mg tablet, atorvastatin 10 mg tablet, atorvastatin 10 mg tablet, atorvastatin 10 mg tablet, atorvastatin 10 mg tablet, atorvastatin 10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t>
  </si>
  <si>
    <t>محمد رحيمي احمد كريم</t>
  </si>
  <si>
    <t>omeprazole, rosuvastatin, acetylsalicylic acid, amLODIPine, Insulin Pen Needle, furosemide, perindopril arginine, bisoprolol fumarate, insulin aspart, metFORMIN hydrochloride</t>
  </si>
  <si>
    <t>omeprazole 20 mg tablet: enteric coated, rosuvastatin 20 mg tablet, omeprazole 20 mg tablet: enteric coated, rosuvastatin 20 mg tablet, omeprazole 20 mg tablet: enteric coated, rosuvastatin 20 mg tablet, acetylsalicylic acid 100 mg tablet: enteric coated, amLODIPine 5 mg tablet, Insulin Pen Needle 4mm Needle [sc], acetylsalicylic acid 100 mg tablet: enteric coated, amLODIPine 5 mg tablet, Insulin Pen Needle 4mm Needle [sc], acetylsalicylic acid 100 mg tablet: enteric coated, amLODIPine 5 mg tablet, Insulin Pen Needle 4mm Needle [sc], furosemide 40 mg tablet, perindopril arginine 5 mg tablet, furosemide 40 mg tablet, perindopril arginine 5 mg tablet, furosemide 40 mg tablet, perindopril arginine 5 mg tablet, acetylsalicylic acid 100 mg tablet: enteric coated, Insulin Pen Needle 4mm Needle [sc], bisoprolol fumarate 5 mg tablet, furosemide 40 mg tablet, perindopril arginine 5 mg tablet, insulin aspart 100 international units/mL injection, 3 mL prefilled pen, rosuvastatin 20 mg tablet, metFORMIN hydrochloride 500 mg tablet, acetylsalicylic acid 100 mg tablet: enteric coated, Insulin Pen Needle 4mm Needle [sc], bisoprolol fumarate 5 mg tablet, furosemide 40 mg tablet, perindopril arginine 5 mg tablet, insulin aspart 100 international units/mL injection, 3 mL prefilled pen, rosuvastatin 20 mg tablet, metFORMIN hydrochloride 500 mg tablet, acetylsalicylic acid 100 mg tablet: enteric coated, Insulin Pen Needle 4mm Needle [sc], bisoprolol fumarate 5 mg tablet, furosemide 40 mg tablet, perindopril arginine 5 mg tablet, insulin aspart 100 international units/mL injection, 3 mL prefilled pen, rosuvastatin 20 mg tablet, metFORMIN hydrochloride 500 mg tablet, insulin glargine (lantus) 100 international units/mL injection, 3 mL prefilled pen, omeprazole 20 mg tablet: enteric coated, amLODIPine 5 mg tablet, insulin glargine (lantus) 100 international units/mL injection, 3 mL prefilled pen, omeprazole 20 mg tablet: enteric coated, amLODIPine 5 mg tablet, insulin glargine (lantus) 100 international units/mL injection, 3 mL prefilled pen, omeprazole 20 mg tablet: enteric coated, amLODIPine 5 mg tablet, insulin glargine (lantus) 100 international units/mL injection, 3 mL prefilled pen, insulin glargine (lantus) 100 international units/mL injection, 3 mL prefilled pen, insulin glargine (lantus) 100 international units/mL injection, 3 mL prefilled pen, perindopril arginine 5 mg tablet, omeprazole 20 mg tablet: enteric coated, perindopril arginine 5 mg tablet, omeprazole 20 mg tablet: enteric coated, perindopril arginine 5 mg tablet, omeprazole 20 mg tablet: enteric coated, metFORMIN hydrochloride 500 mg tablet, furosemide 40 mg tablet, rosuvastatin 20 mg tablet, metFORMIN hydrochloride 500 mg tablet, furosemide 40 mg tablet, rosuvastatin 20 mg tablet, metFORMIN hydrochloride 500 mg tablet, furosemide 40 mg tablet, rosuvastatin 20 mg tablet, Insulin Pen Needle 4mm Needle [sc], amLODIPine 5 mg tablet, bisoprolol fumarate 5 mg tablet, insulin aspart 100 international units/mL injection, 3 mL prefilled pen, Insulin Pen Needle 4mm Needle [sc], amLODIPine 5 mg tablet, bisoprolol fumarate 5 mg tablet, insulin aspart 100 international units/mL injection, 3 mL prefilled pen, Insulin Pen Needle 4mm Needle [sc], amLODIPine 5 mg tablet, bisoprolol fumarate 5 mg tablet, insulin aspart 100 international units/mL injection, 3 mL prefilled pen, acetylsalicylic acid 100 mg tablet: enteric coated, acetylsalicylic acid 100 mg tablet: enteric coated, acetylsalicylic acid 100 mg tablet: enteric coated, Insulin Pen Needle 4mm Needle [sc], Insulin Pen Needle 4mm Needle [sc], Insulin Pen Needle 4mm Needle [sc], amLODIPine 5 mg tablet, insulin aspart 100 international units/mL injection, 3 mL prefilled pen, amLODIPine 5 mg tablet, insulin aspart 100 international units/mL injection, 3 mL prefilled pen, amLODIPine 5 mg tablet, insulin aspart 100 international units/mL injection, 3 mL prefilled pen, omeprazole 20 mg tablet: enteric coated, bisoprolol fumarate 5 mg tablet, rosuvastatin 20 mg tablet, acetylsalicylic acid 100 mg tablet: enteric coated, omeprazole 20 mg tablet: enteric coated, bisoprolol fumarate 5 mg tablet, rosuvastatin 20 mg tablet, acetylsalicylic acid 100 mg tablet: enteric coated, omeprazole 20 mg tablet: enteric coated, bisoprolol fumarate 5 mg tablet, rosuvastatin 20 mg tablet, acetylsalicylic acid 100 mg tablet: enteric coated</t>
  </si>
  <si>
    <t>فاطمه حسن دخيل السريحي</t>
  </si>
  <si>
    <t>vitamins (A, B, C, D, SITagliptin, colecalciferol, escitalopram, valsartan</t>
  </si>
  <si>
    <t>vitamins (A, B1, B2, B3, C, D3) tablet, SITagliptin 100 mg tablet, vitamins (A, B1, B2, B3, C, D3) tablet, SITagliptin 100 mg tablet, vitamins (A, B1, B2, B3, C, D3) tablet, SITagliptin 100 mg tablet, vitamins (A, B1, B2, B3, C, D3) tablet, SITagliptin 100 mg tablet, vitamins (A, B1, B2, B3, C, D3) tablet, SITagliptin 100 mg tablet, colecalciferol 1 000 international units capsule, colecalciferol 1 000 international units capsule, colecalciferol 1 000 international units capsule, colecalciferol 1 000 international units capsule, colecalciferol 1 000 international units capsule, escitalopram 10 mg tablet, valsartan 80 mg tablet, escitalopram 10 mg tablet, valsartan 80 mg tablet, escitalopram 10 mg tablet, valsartan 80 mg tablet, escitalopram 10 mg tablet, valsartan 80 mg tablet, escitalopram 10 mg tablet, valsartan 80 mg tablet, colecalciferol 1 000 international units capsule, escitalopram 10 mg tablet, colecalciferol 1 000 international units capsule, escitalopram 10 mg tablet, colecalciferol 1 000 international units capsule, escitalopram 10 mg tablet, colecalciferol 1 000 international units capsule, escitalopram 10 mg tablet, colecalciferol 1 000 international units capsule, escitalopram 10 mg tablet, SITagliptin 100 mg tablet, vitamins (A, B1, B2, B3, C, D3) tablet, SITagliptin 100 mg tablet, vitamins (A, B1, B2, B3, C, D3) tablet, SITagliptin 100 mg tablet, vitamins (A, B1, B2, B3, C, D3) tablet, SITagliptin 100 mg tablet, vitamins (A, B1, B2, B3, C, D3) tablet, SITagliptin 100 mg tablet, vitamins (A, B1, B2, B3, C, D3) tablet, valsartan 80 mg tablet, valsartan 80 mg tablet, valsartan 80 mg tablet, valsartan 80 mg tablet, valsartan 80 mg tablet, escitalopram 10 mg tablet, SITagliptin 100 mg tablet, vitamins (A, B1, B2, B3, C, D3) tablet, escitalopram 10 mg tablet, SITagliptin 100 mg tablet, vitamins (A, B1, B2, B3, C, D3) tablet, escitalopram 10 mg tablet, SITagliptin 100 mg tablet, vitamins (A, B1, B2, B3, C, D3) tablet, escitalopram 10 mg tablet, SITagliptin 100 mg tablet, vitamins (A, B1, B2, B3, C, D3) tablet, escitalopram 10 mg tablet, SITagliptin 100 mg tablet, vitamins (A, B1, B2, B3, C, D3) tablet, colecalciferol 1 000 international units capsule, colecalciferol 1 000 international units capsule, colecalciferol 1 000 international units capsule, colecalciferol 1 000 international units capsule, colecalciferol 1 000 international units capsule, valsartan 80 mg tablet, valsartan 80 mg tablet, valsartan 80 mg tablet, valsartan 80 mg tablet, valsartan 80 mg tablet, escitalopram 10 mg tablet, colecalciferol 1 000 international units capsule, SITagliptin 100 mg tablet, escitalopram 10 mg tablet, colecalciferol 1 000 international units capsule, SITagliptin 100 mg tablet, escitalopram 10 mg tablet, colecalciferol 1 000 international units capsule, SITagliptin 100 mg tablet, escitalopram 10 mg tablet, colecalciferol 1 000 international units capsule, SITagliptin 100 mg tablet, escitalopram 10 mg tablet, colecalciferol 1 000 international units capsule, SITagliptin 100 mg tablet, vitamins (A, B1, B2, B3, C, D3) tablet, vitamins (A, B1, B2, B3, C, D3) tablet, vitamins (A, B1, B2, B3, C, D3) tablet, vitamins (A, B1, B2, B3, C, D3) tablet, vitamins (A, B1, B2, B3, C, D3) tablet, valsartan 80 mg tablet, escitalopram 10 mg tablet, valsartan 80 mg tablet, escitalopram 10 mg tablet, valsartan 80 mg tablet, escitalopram 10 mg tablet, valsartan 80 mg tablet, escitalopram 10 mg tablet, valsartan 80 mg tablet, escitalopram 10 mg tablet, SITagliptin 100 mg tablet, vitamins (A, B1, B2, B3, C, D3) tablet, SITagliptin 100 mg tablet, vitamins (A, B1, B2, B3, C, D3) tablet, SITagliptin 100 mg tablet, vitamins (A, B1, B2, B3, C, D3) tablet, SITagliptin 100 mg tablet, vitamins (A, B1, B2, B3, C, D3) tablet, SITagliptin 100 mg tablet, vitamins (A, B1, B2, B3, C, D3) tablet,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SITagliptin 100 mg tablet, vitamins (A, B1, B2, B3, C, D3) tablet, colecalciferol 1 000 international units capsule, SITagliptin 100 mg tablet, vitamins (A, B1, B2, B3, C, D3) tablet, colecalciferol 1 000 international units capsule, SITagliptin 100 mg tablet, vitamins (A, B1, B2, B3, C, D3) tablet, colecalciferol 1 000 international units capsule, SITagliptin 100 mg tablet, vitamins (A, B1, B2, B3, C, D3) tablet, colecalciferol 1 000 international units capsule, SITagliptin 100 mg tablet, vitamins (A, B1, B2, B3, C, D3) tablet, colecalciferol 1 000 international units capsule</t>
  </si>
  <si>
    <t>ليلى سعد هندي الزهراني</t>
  </si>
  <si>
    <t>atorvastatin, perindopril arginine</t>
  </si>
  <si>
    <t>atorvastatin 10 mg tablet, atorvastatin 10 mg tablet, atorvastatin 10 mg tablet, perindopril arginine 5 mg tablet, perindopril arginine 5 mg tablet, perindopril arginine 5 mg tablet, perindopril arginine 5 mg tablet, perindopril arginine 5 mg tablet, perindopril arginine 5 mg tablet, atorvastatin 10 mg tablet, atorvastatin 10 mg tablet, atorvastatin 10 mg tablet</t>
  </si>
  <si>
    <t>مطلوبه عبدالقادر محمد قوقندي</t>
  </si>
  <si>
    <t>diclofenac sodium 1% (10 mg/g) gel, paracetamol 500 mg tablet, diclofenac sodium 1% (10 mg/g) gel, paracetamol 500 mg tablet, diclofenac sodium 1% (10 mg/g) gel, paracetamol 500 mg tablet, diclofenac sodium 1% (10 mg/g) gel, paracetamol 500 mg tablet, diclofenac sodium 1% (10 mg/g) gel, paracetamol 500 mg tablet, paracetamol 500 mg tablet, paracetamol 500 mg tablet, paracetamol 500 mg tablet, paracetamol 500 mg tablet, paracetamol 500 mg tablet,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paracetamol 500 mg tablet, paracetamol 500 mg tablet, paracetamol 500 mg tablet, paracetamol 500 mg tablet, paracetamol 500 mg tablet</t>
  </si>
  <si>
    <t>عبدالله علي عبدالله زهراني</t>
  </si>
  <si>
    <t>escitalopram</t>
  </si>
  <si>
    <t>escitalopram 10 mg tablet, escitalopram 10 mg tablet, escitalopram 10 mg tablet, escitalopram 10 mg tablet, escitalopram 10 mg tablet, escitalopram 10 mg tablet</t>
  </si>
  <si>
    <t>فاطمه حميد علي المعبدي</t>
  </si>
  <si>
    <t>amLODIPine, atorvastatin, levothyroxine sodium</t>
  </si>
  <si>
    <t>amLODIPine 5 mg tablet, amLODIPine 5 mg tablet, amLODIPine 5 mg tablet, atorvastatin 10 mg tablet, atorvastatin 10 mg tablet, atorvastatin 10 mg tablet, levothyroxine sodium 100 microgram tablet, levothyroxine sodium 100 microgram tablet, levothyroxine sodium 100 microgram tablet, amLODIPine 5 mg tablet, amLODIPine 5 mg tablet, amLODIPine 5 mg tablet, atorvastatin 10 mg tablet, atorvastatin 10 mg tablet, atorvastatin 10 mg tablet, levothyroxine sodium 100 microgram tablet, levothyroxine sodium 100 microgram tablet, levothyroxine sodium 100 microgram tablet, levothyroxine sodium 100 microgram tablet, levothyroxine sodium 100 microgram tablet, levothyroxine sodium 100 microgram tablet, amLODIPine 5 mg tablet, amLODIPine 5 mg tablet, amLODIPine 5 mg tablet, atorvastatin 10 mg tablet, atorvastatin 10 mg tablet, atorvastatin 10 mg tablet</t>
  </si>
  <si>
    <t>عابد عبدالله مبارك السيد</t>
  </si>
  <si>
    <t>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t>
  </si>
  <si>
    <t>رمزي عابد عبدالله السيد</t>
  </si>
  <si>
    <t>amoxicillin 500 mg + clavulanic acid 125 mg tablet, amoxicillin 500 mg + clavulanic acid 125 mg tablet, amoxicillin 500 mg + clavulanic acid 125 mg tablet, amoxicillin 500 mg + clavulanic acid 125 mg tablet, paracetamol 500 mg tablet, paracetamol 500 mg tablet, paracetamol 500 mg tablet, paracetamol 500 mg tablet, paracetamol 500 mg tablet, paracetamol 500 mg tablet, paracetamol 500 mg tablet, paracetamol 500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paracetamol 500 mg tablet, paracetamol 500 mg tablet, paracetamol 500 mg tablet, paracetamol 500 mg tablet, amoxicillin 500 mg + clavulanic acid 125 mg tablet, amoxicillin 500 mg + clavulanic acid 125 mg tablet, amoxicillin 500 mg + clavulanic acid 125 mg tablet, amoxicillin 500 mg + clavulanic acid 125 mg tablet, paracetamol 500 mg tablet, paracetamol 500 mg tablet, paracetamol 500 mg tablet, paracetamol 500 mg tablet, paracetamol 500 mg tablet, amoxicillin 500 mg + clavulanic acid 125 mg tablet, paracetamol 500 mg tablet, amoxicillin 500 mg + clavulanic acid 125 mg tablet, paracetamol 500 mg tablet, amoxicillin 500 mg + clavulanic acid 125 mg tablet, paracetamol 500 mg tablet, amoxicillin 500 mg + clavulanic acid 125 mg tablet, amoxicillin 500 mg + clavulanic acid 125 mg tablet, amoxicillin 500 mg + clavulanic acid 125 mg tablet, amoxicillin 500 mg + clavulanic acid 125 mg tablet, amoxicillin 500 mg + clavulanic acid 125 mg tablet, paracetamol 500 mg tablet, paracetamol 500 mg tablet, paracetamol 500 mg tablet, paracetamol 500 mg tablet</t>
  </si>
  <si>
    <t>نوار حسين حسين السلمي</t>
  </si>
  <si>
    <t>perindopril arginine, gliclazide</t>
  </si>
  <si>
    <t>perindopril arginine 5 mg tablet, gliclazide 60 mg tablet: modified release, perindopril arginine 5 mg tablet, gliclazide 60 mg tablet: modified release, perindopril arginine 5 mg tablet, gliclazide 60 mg tablet: modified release, perindopril arginine 5 mg tablet, gliclazide 60 mg tablet: modified release, gliclazide 60 mg tablet: modified release, perindopril arginine 5 mg tablet, gliclazide 60 mg tablet: modified release, perindopril arginine 5 mg tablet, gliclazide 60 mg tablet: modified release, perindopril arginine 5 mg tablet, gliclazide 60 mg tablet: modified release, perindopril arginine 5 mg tablet</t>
  </si>
  <si>
    <t>مني عبدالله نصير الحربي</t>
  </si>
  <si>
    <t>colecalciferol, amoxicillin</t>
  </si>
  <si>
    <t>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colecalciferol 5000 international units Capsules [oral], amoxicillin 500 mg + clavulanic acid 125 mg tablet, colecalciferol 5000 international units Capsules [oral], amoxicillin 500 mg + clavulanic acid 125 mg tablet, colecalciferol 5000 international units Capsules [oral], amoxicillin 500 mg + clavulanic acid 125 mg tablet, colecalciferol 5000 international units Capsules [oral], amoxicillin 500 mg + clavulanic acid 125 mg tablet, colecalciferol 5000 international units Capsules [oral], amoxicillin 500 mg + clavulanic acid 125 mg tablet, colecalciferol 5000 international units Capsules [oral], colecalciferol 5000 international units Capsules [oral], amoxicillin 500 mg + clavulanic acid 125 mg tablet, colecalciferol 5000 international units Capsules [oral], amoxicillin 500 mg + clavulanic acid 125 mg tablet, colecalciferol 5000 international units Capsules [oral], amoxicillin 500 mg + clavulanic acid 125 mg tablet, colecalciferol 5000 international units Capsules [oral], amoxicillin 500 mg + clavulanic acid 125 mg tablet, colecalciferol 5000 international units Capsules [oral], amoxicillin 500 mg + clavulanic acid 125 mg tablet, colecalciferol 5000 international units Capsules [oral], amoxicillin 500 mg + clavulanic acid 125 mg tablet, amoxicillin 500 mg + clavulanic acid 125 mg tablet, colecalciferol 5000 international units Capsules [oral], amoxicillin 500 mg + clavulanic acid 125 mg tablet, colecalciferol 5000 international units Capsules [oral], amoxicillin 500 mg + clavulanic acid 125 mg tablet, colecalciferol 5000 international units Capsules [oral], amoxicillin 500 mg + clavulanic acid 125 mg tablet, colecalciferol 5000 international units Capsules [oral], amoxicillin 500 mg + clavulanic acid 125 mg tablet, colecalciferol 5000 international units Capsules [oral], amoxicillin 500 mg + clavulanic acid 125 mg tablet, colecalciferol 5000 international units Capsules [oral],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colecalciferol 5000 international units Capsules [oral], amoxicillin 500 mg + clavulanic acid 125 mg tablet, colecalciferol 5000 international units Capsules [oral], amoxicillin 500 mg + clavulanic acid 125 mg tablet, colecalciferol 5000 international units Capsules [oral], amoxicillin 500 mg + clavulanic acid 125 mg tablet, colecalciferol 5000 international units Capsules [oral], amoxicillin 500 mg + clavulanic acid 125 mg tablet, colecalciferol 5000 international units Capsules [oral], amoxicillin 500 mg + clavulanic acid 125 mg tablet, colecalciferol 5000 international units Capsules [oral],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t>
  </si>
  <si>
    <t>عبدالله مسفر مرضي القريعي</t>
  </si>
  <si>
    <t>tamsulosin hydrochloride, atorvastatin</t>
  </si>
  <si>
    <t>tamsulosin hydrochloride 400 microgram tablet: modified release, atorvastatin 20 mg tablet, tamsulosin hydrochloride 400 microgram tablet: modified release, atorvastatin 20 mg tablet, tamsulosin hydrochloride 400 microgram tablet: modified release, atorvastatin 20 mg tablet, tamsulosin hydrochloride 400 microgram tablet: modified release, atorvastatin 20 mg tablet, tamsulosin hydrochloride 400 microgram tablet: modified release, atorvastatin 20 mg tablet, tamsulosin hydrochloride 400 microgram tablet: modified release, atorvastatin 20 mg tablet, tamsulosin hydrochloride 400 microgram tablet: modified release, atorvastatin 20 mg tablet, tamsulosin hydrochloride 400 microgram tablet: modified release, atorvastatin 20 mg tablet, atorvastatin 20 mg tablet, atorvastatin 20 mg tablet, atorvastatin 20 mg tablet, atorvastatin 20 mg tablet, tamsulosin hydrochloride 400 microgram tablet: modified release, tamsulosin hydrochloride 400 microgram tablet: modified release, tamsulosin hydrochloride 400 microgram tablet: modified release, tamsulosin hydrochloride 400 microgram tablet: modified release</t>
  </si>
  <si>
    <t>ماجد عبدالحميد محمد الجحدلي</t>
  </si>
  <si>
    <t>ketoconazole, miconazole nitrate</t>
  </si>
  <si>
    <t>ketoconazole 2% (20 mg/g) shampoo, ketoconazole 2% (20 mg/g) shampoo, ketoconazole 2% (20 mg/g) shampoo, ketoconazole 2% (20 mg/g) shampoo, ketoconazole 2% (20 mg/g) shampoo, ketoconazole 2% (20 mg/g) shampoo, ketoconazole 2% (20 mg/g) shampoo, miconazole nitrate 2% (20 mg/g) cream, miconazole nitrate 2% (20 mg/g) cream, miconazole nitrate 2% (20 mg/g) cream, miconazole nitrate 2% (20 mg/g) cream, miconazole nitrate 2% (20 mg/g) cream, miconazole nitrate 2% (20 mg/g) cream, miconazole nitrate 2% (20 mg/g) cream, miconazole nitrate 2% (20 mg/g) cream, miconazole nitrate 2% (20 mg/g) cream, miconazole nitrate 2% (20 mg/g) cream, miconazole nitrate 2% (20 mg/g) cream, miconazole nitrate 2% (20 mg/g) cream, miconazole nitrate 2% (20 mg/g) cream, miconazole nitrate 2% (20 mg/g) cream, ketoconazole 2% (20 mg/g) shampoo, ketoconazole 2% (20 mg/g) shampoo, ketoconazole 2% (20 mg/g) shampoo, ketoconazole 2% (20 mg/g) shampoo, ketoconazole 2% (20 mg/g) shampoo, ketoconazole 2% (20 mg/g) shampoo, ketoconazole 2% (20 mg/g) shampoo, miconazole nitrate 2% (20 mg/g) cream, miconazole nitrate 2% (20 mg/g) cream, miconazole nitrate 2% (20 mg/g) cream, miconazole nitrate 2% (20 mg/g) cream, miconazole nitrate 2% (20 mg/g) cream, miconazole nitrate 2% (20 mg/g) cream, miconazole nitrate 2% (20 mg/g) cream,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miconazole nitrate 2% (20 mg/g) cream, miconazole nitrate 2% (20 mg/g) cream, miconazole nitrate 2% (20 mg/g) cream, miconazole nitrate 2% (20 mg/g) cream, miconazole nitrate 2% (20 mg/g) cream, miconazole nitrate 2% (20 mg/g) cream, miconazole nitrate 2% (20 mg/g) cream</t>
  </si>
  <si>
    <t>امنه حسين موسى بحري</t>
  </si>
  <si>
    <t>valsartan, levothyroxine sodium, amLODIPine</t>
  </si>
  <si>
    <t>valsartan 80 mg tablet, valsartan 80 mg tablet, levothyroxine sodium 100 microgram tablet, levothyroxine sodium 100 microgram tablet, amLODIPine 5 mg tablet, amLODIPine 5 mg tablet, amLODIPine 5 mg tablet, amLODIPine 5 mg tablet, levothyroxine sodium 100 microgram tablet, levothyroxine sodium 100 microgram tablet, valsartan 80 mg tablet, valsartan 80 mg tablet</t>
  </si>
  <si>
    <t>محمد حسن محمد بحري</t>
  </si>
  <si>
    <t>atenolol, atorvastatin, valsartan, amLODIPine</t>
  </si>
  <si>
    <t>atenolol 50 mg tablet, atenolol 50 mg tablet, atenolol 50 mg tablet, atorvastatin 20 mg tablet, atorvastatin 20 mg tablet, atorvastatin 20 mg tablet, valsartan 80 mg tablet, amLODIPine 10 mg capsule, valsartan 80 mg tablet, amLODIPine 10 mg capsule, valsartan 80 mg tablet, amLODIPine 10 mg capsule, valsartan 80 mg tablet, amLODIPine 10 mg capsule, atenolol 50 mg tablet, valsartan 80 mg tablet, amLODIPine 10 mg capsule, atenolol 50 mg tablet, valsartan 80 mg tablet, amLODIPine 10 mg capsule, atenolol 50 mg tablet, atorvastatin 20 mg tablet, atorvastatin 20 mg tablet, atorvastatin 20 mg tablet</t>
  </si>
  <si>
    <t>وفاء علي حسين العلاسي</t>
  </si>
  <si>
    <t>sodium chloride, acetylsalicylic acid, cetirizine hydrochloride, insulin glargine, metFORMIN hydrochloride, empagliflozin, ferrous sulfate, SITagliptin, rosuvastatin, perindopril arginine</t>
  </si>
  <si>
    <t>sodium chloride 0.9% (9 mg/mL) nasal spray, acetylsalicylic acid 100 mg tablet: enteric coated, sodium chloride 0.9% (9 mg/mL) nasal spray, acetylsalicylic acid 100 mg tablet: enteric coated, sodium chloride 0.9% (9 mg/mL) nasal spray, acetylsalicylic acid 100 mg tablet: enteric coated, sodium chloride 0.9% (9 mg/mL) nasal spray, acetylsalicylic acid 100 mg tablet: enteric coated, sodium chloride 0.9% (9 mg/mL) nasal spray, acetylsalicylic acid 100 mg tablet: enteric coated, sodium chloride 0.9% (9 mg/mL) nasal spray, acetylsalicylic acid 100 mg tablet: enteric coated, cetirizine hydrochloride 10 mg tablet, insulin glargine 300 international units/mL injection, 1.5 mL prefilled pen, metFORMIN hydrochloride 500 mg tablet, empagliflozin 25 mg tablet, ferrous sulfate 190 mg Tablets [oral], SITagliptin 100 mg tablet, cetirizine hydrochloride 10 mg tablet, insulin glargine 300 international units/mL injection, 1.5 mL prefilled pen, metFORMIN hydrochloride 500 mg tablet, empagliflozin 25 mg tablet, ferrous sulfate 190 mg Tablets [oral], SITagliptin 100 mg tablet, cetirizine hydrochloride 10 mg tablet, insulin glargine 300 international units/mL injection, 1.5 mL prefilled pen, metFORMIN hydrochloride 500 mg tablet, empagliflozin 25 mg tablet, ferrous sulfate 190 mg Tablets [oral], SITagliptin 100 mg tablet, cetirizine hydrochloride 10 mg tablet, insulin glargine 300 international units/mL injection, 1.5 mL prefilled pen, metFORMIN hydrochloride 500 mg tablet, empagliflozin 25 mg tablet, ferrous sulfate 190 mg Tablets [oral], SITagliptin 100 mg tablet, cetirizine hydrochloride 10 mg tablet, insulin glargine 300 international units/mL injection, 1.5 mL prefilled pen, metFORMIN hydrochloride 500 mg tablet, empagliflozin 25 mg tablet, ferrous sulfate 190 mg Tablets [oral], SITagliptin 100 mg tablet, cetirizine hydrochloride 10 mg tablet, insulin glargine 300 international units/mL injection, 1.5 mL prefilled pen, metFORMIN hydrochloride 500 mg tablet, empagliflozin 25 mg tablet, ferrous sulfate 190 mg Tablets [oral], SITagliptin 100 mg tablet, rosuvastatin 20 mg tablet, rosuvastatin 20 mg tablet, rosuvastatin 20 mg tablet, rosuvastatin 20 mg tablet, rosuvastatin 20 mg tablet, rosuvastatin 20 mg tablet, perindopril arginine 5 mg tablet, colecalciferol 1 000 international units capsule, vitamin B complex (B1,B6,B12) 100,200,0.2 mg Film coated tablets [oral], Strips (Accu-Check) 1 box Strip [n/a], perindopril arginine 5 mg tablet, colecalciferol 1 000 international units capsule, vitamin B complex (B1,B6,B12) 100,200,0.2 mg Film coated tablets [oral], Strips (Accu-Check) 1 box Strip [n/a], perindopril arginine 5 mg tablet, colecalciferol 1 000 international units capsule, vitamin B complex (B1,B6,B12) 100,200,0.2 mg Film coated tablets [oral], Strips (Accu-Check) 1 box Strip [n/a], perindopril arginine 5 mg tablet, colecalciferol 1 000 international units capsule, vitamin B complex (B1,B6,B12) 100,200,0.2 mg Film coated tablets [oral], Strips (Accu-Check) 1 box Strip [n/a], perindopril arginine 5 mg tablet, colecalciferol 1 000 international units capsule, vitamin B complex (B1,B6,B12) 100,200,0.2 mg Film coated tablets [oral], Strips (Accu-Check) 1 box Strip [n/a], perindopril arginine 5 mg tablet, colecalciferol 1 000 international units capsule, vitamin B complex (B1,B6,B12) 100,200,0.2 mg Film coated tablets [oral], Strips (Accu-Check) 1 box Strip [n/a], perindopril arginine 5 mg tablet, metFORMIN hydrochloride 500 mg tablet, insulin glargine 300 international units/mL injection, 1.5 mL prefilled pen, vitamin B complex (B1,B6,B12) 100,200,0.2 mg Film coated tablets [oral], colecalciferol 1 000 international units capsule, perindopril arginine 5 mg tablet, metFORMIN hydrochloride 500 mg tablet, insulin glargine 300 international units/mL injection, 1.5 mL prefilled pen, vitamin B complex (B1,B6,B12) 100,200,0.2 mg Film coated tablets [oral], colecalciferol 1 000 international units capsule, perindopril arginine 5 mg tablet, metFORMIN hydrochloride 500 mg tablet, insulin glargine 300 international units/mL injection, 1.5 mL prefilled pen, vitamin B complex (B1,B6,B12) 100,200,0.2 mg Film coated tablets [oral], colecalciferol 1 000 international units capsule, perindopril arginine 5 mg tablet, metFORMIN hydrochloride 500 mg tablet, insulin glargine 300 international units/mL injection, 1.5 mL prefilled pen, vitamin B complex (B1,B6,B12) 100,200,0.2 mg Film coated tablets [oral], colecalciferol 1 000 international units capsule, perindopril arginine 5 mg tablet, metFORMIN hydrochloride 500 mg tablet, insulin glargine 300 international units/mL injection, 1.5 mL prefilled pen, vitamin B complex (B1,B6,B12) 100,200,0.2 mg Film coated tablets [oral], colecalciferol 1 000 international units capsule, perindopril arginine 5 mg tablet, metFORMIN hydrochloride 500 mg tablet, insulin glargine 300 international units/mL injection, 1.5 mL prefilled pen, vitamin B complex (B1,B6,B12) 100,200,0.2 mg Film coated tablets [oral], colecalciferol 1 000 international units capsule, Strips (Accu-Check) 1 box Strip [n/a], sodium chloride 0.9% (9 mg/mL) nasal spray, Strips (Accu-Check) 1 box Strip [n/a], sodium chloride 0.9% (9 mg/mL) nasal spray, Strips (Accu-Check) 1 box Strip [n/a], sodium chloride 0.9% (9 mg/mL) nasal spray, Strips (Accu-Check) 1 box Strip [n/a], sodium chloride 0.9% (9 mg/mL) nasal spray, Strips (Accu-Check) 1 box Strip [n/a], sodium chloride 0.9% (9 mg/mL) nasal spray, Strips (Accu-Check) 1 box Strip [n/a], sodium chloride 0.9% (9 mg/mL) nasal spray, cetirizine hydrochloride 10 mg tablet, acetylsalicylic acid 100 mg tablet: enteric coated, cetirizine hydrochloride 10 mg tablet, acetylsalicylic acid 100 mg tablet: enteric coated, cetirizine hydrochloride 10 mg tablet, acetylsalicylic acid 100 mg tablet: enteric coated, cetirizine hydrochloride 10 mg tablet, acetylsalicylic acid 100 mg tablet: enteric coated, cetirizine hydrochloride 10 mg tablet, acetylsalicylic acid 100 mg tablet: enteric coated, cetirizine hydrochloride 10 mg tablet, acetylsalicylic acid 100 mg tablet: enteric coated, SITagliptin 100 mg tablet, ferrous sulfate 190 mg Tablets [oral], empagliflozin 25 mg tablet, rosuvastatin 20 mg tablet, SITagliptin 100 mg tablet, ferrous sulfate 190 mg Tablets [oral], empagliflozin 25 mg tablet, rosuvastatin 20 mg tablet, SITagliptin 100 mg tablet, ferrous sulfate 190 mg Tablets [oral], empagliflozin 25 mg tablet, rosuvastatin 20 mg tablet, SITagliptin 100 mg tablet, ferrous sulfate 190 mg Tablets [oral], empagliflozin 25 mg tablet, rosuvastatin 20 mg tablet, SITagliptin 100 mg tablet, ferrous sulfate 190 mg Tablets [oral], empagliflozin 25 mg tablet, rosuvastatin 20 mg tablet, SITagliptin 100 mg tablet, ferrous sulfate 190 mg Tablets [oral], empagliflozin 25 mg tablet, rosuvastatin 20 mg tablet, sodium chloride 0.9% (9 mg/mL) nasal spray, rosuvastatin 20 mg tablet, sodium chloride 0.9% (9 mg/mL) nasal spray, rosuvastatin 20 mg tablet, sodium chloride 0.9% (9 mg/mL) nasal spray, rosuvastatin 20 mg tablet, sodium chloride 0.9% (9 mg/mL) nasal spray, rosuvastatin 20 mg tablet, sodium chloride 0.9% (9 mg/mL) nasal spray, rosuvastatin 20 mg tablet, sodium chloride 0.9% (9 mg/mL) nasal spray, rosuvastatin 20 mg tablet, vitamin B complex (B1,B6,B12) 100,200,0.2 mg Film coated tablets [oral], SITagliptin 100 mg tablet, ferrous sulfate 190 mg Tablets [oral], cetirizine hydrochloride 10 mg tablet, vitamin B complex (B1,B6,B12) 100,200,0.2 mg Film coated tablets [oral], SITagliptin 100 mg tablet, ferrous sulfate 190 mg Tablets [oral], cetirizine hydrochloride 10 mg tablet, vitamin B complex (B1,B6,B12) 100,200,0.2 mg Film coated tablets [oral], SITagliptin 100 mg tablet, ferrous sulfate 190 mg Tablets [oral], cetirizine hydrochloride 10 mg tablet, vitamin B complex (B1,B6,B12) 100,200,0.2 mg Film coated tablets [oral], SITagliptin 100 mg tablet, ferrous sulfate 190 mg Tablets [oral], cetirizine hydrochloride 10 mg tablet, vitamin B complex (B1,B6,B12) 100,200,0.2 mg Film coated tablets [oral], SITagliptin 100 mg tablet, ferrous sulfate 190 mg Tablets [oral], cetirizine hydrochloride 10 mg tablet, vitamin B complex (B1,B6,B12) 100,200,0.2 mg Film coated tablets [oral], SITagliptin 100 mg tablet, ferrous sulfate 190 mg Tablets [oral], cetirizine hydrochloride 10 mg tablet, metFORMIN hydrochloride 500 mg tablet, metFORMIN hydrochloride 500 mg tablet, metFORMIN hydrochloride 500 mg tablet, metFORMIN hydrochloride 500 mg tablet, metFORMIN hydrochloride 500 mg tablet, metFORMIN hydrochloride 500 mg tablet, perindopril arginine 5 mg tablet, colecalciferol 1 000 international units capsule, Strips (Accu-Check) 1 box Strip [n/a], perindopril arginine 5 mg tablet, colecalciferol 1 000 international units capsule, Strips (Accu-Check) 1 box Strip [n/a], perindopril arginine 5 mg tablet, colecalciferol 1 000 international units capsule, Strips (Accu-Check) 1 box Strip [n/a], perindopril arginine 5 mg tablet, colecalciferol 1 000 international units capsule, Strips (Accu-Check) 1 box Strip [n/a], perindopril arginine 5 mg tablet, colecalciferol 1 000 international units capsule, Strips (Accu-Check) 1 box Strip [n/a], perindopril arginine 5 mg tablet, colecalciferol 1 000 international units capsule, Strips (Accu-Check) 1 box Strip [n/a], acetylsalicylic acid 100 mg tablet: enteric coated, insulin glargine 300 international units/mL injection, 1.5 mL prefilled pen, empagliflozin 25 mg tablet, acetylsalicylic acid 100 mg tablet: enteric coated, insulin glargine 300 international units/mL injection, 1.5 mL prefilled pen, empagliflozin 25 mg tablet, acetylsalicylic acid 100 mg tablet: enteric coated, insulin glargine 300 international units/mL injection, 1.5 mL prefilled pen, empagliflozin 25 mg tablet, acetylsalicylic acid 100 mg tablet: enteric coated, insulin glargine 300 international units/mL injection, 1.5 mL prefilled pen, empagliflozin 25 mg tablet, acetylsalicylic acid 100 mg tablet: enteric coated, insulin glargine 300 international units/mL injection, 1.5 mL prefilled pen, empagliflozin 25 mg tablet, acetylsalicylic acid 100 mg tablet: enteric coated, insulin glargine 300 international units/mL injection, 1.5 mL prefilled pen, empagliflozin 25 mg tablet</t>
  </si>
  <si>
    <t>خالد ابوبكر سعيد باعقيل</t>
  </si>
  <si>
    <t>cetirizine hydrochloride, metFORMIN hydrochloride, atorvastatin, paracetamol, empagliflozin, colecalciferol, sodium chloride, SITagliptin</t>
  </si>
  <si>
    <t>cetirizine hydrochloride 10 mg tablet, metFORMIN hydrochloride 750 mg tablet: modified release, atorvastatin 20 mg tablet, cetirizine hydrochloride 10 mg tablet, metFORMIN hydrochloride 750 mg tablet: modified release, atorvastatin 20 mg tablet, cetirizine hydrochloride 10 mg tablet, metFORMIN hydrochloride 750 mg tablet: modified release, atorvastatin 20 mg tablet, paracetamol 500 mg tablet, empagliflozin 10 mg tablet, paracetamol 500 mg tablet, empagliflozin 10 mg tablet, paracetamol 500 mg tablet, empagliflozin 10 mg tablet, colecalciferol 5000 international units Capsules [oral], colecalciferol 5000 international units Capsules [oral], colecalciferol 5000 international units Capsules [oral], sodium chloride 0.9% (9 mg/mL) nasal spray, sodium chloride 0.9% (9 mg/mL) nasal spray, sodium chloride 0.9% (9 mg/mL) nasal spray, SITagliptin 100 mg tablet, SITagliptin 100 mg tablet, SITagliptin 100 mg tablet, empagliflozin 10 mg tablet, empagliflozin 10 mg tablet, empagliflozin 10 mg tablet, sodium chloride 0.9% (9 mg/mL) nasal spray, sodium chloride 0.9% (9 mg/mL) nasal spray, sodium chloride 0.9% (9 mg/mL) nasal spray, atorvastatin 20 mg tablet, SITagliptin 100 mg tablet, atorvastatin 20 mg tablet, SITagliptin 100 mg tablet, atorvastatin 20 mg tablet, SITagliptin 100 mg tablet, metFORMIN hydrochloride 750 mg tablet: modified release, paracetamol 500 mg tablet, metFORMIN hydrochloride 750 mg tablet: modified release, paracetamol 500 mg tablet, metFORMIN hydrochloride 750 mg tablet: modified release, paracetamol 500 mg tablet, colecalciferol 5000 international units Capsules [oral], cetirizine hydrochloride 10 mg tablet, colecalciferol 5000 international units Capsules [oral], cetirizine hydrochloride 10 mg tablet, colecalciferol 5000 international units Capsules [oral], cetirizine hydrochloride 10 mg tablet, SITagliptin 100 mg tablet, sodium chloride 0.9% (9 mg/mL) nasal spray, colecalciferol 5000 international units Capsules [oral], SITagliptin 100 mg tablet, sodium chloride 0.9% (9 mg/mL) nasal spray, colecalciferol 5000 international units Capsules [oral], SITagliptin 100 mg tablet, sodium chloride 0.9% (9 mg/mL) nasal spray, colecalciferol 5000 international units Capsules [oral], empagliflozin 10 mg tablet, empagliflozin 10 mg tablet, empagliflozin 10 mg tablet, paracetamol 500 mg tablet, paracetamol 500 mg tablet, paracetamol 500 mg tablet, cetirizine hydrochloride 10 mg tablet, cetirizine hydrochloride 10 mg tablet, cetirizine hydrochloride 10 mg tablet, metFORMIN hydrochloride 750 mg tablet: modified release, metFORMIN hydrochloride 750 mg tablet: modified release, metFORMIN hydrochloride 750 mg tablet: modified release, atorvastatin 20 mg tablet, atorvastatin 20 mg tablet, atorvastatin 20 mg tablet</t>
  </si>
  <si>
    <t>نوال احمد مسفر الحسني الزهراني</t>
  </si>
  <si>
    <t>levothyroxine sodium, atorvastatin, insulin glargine (lantus), vitamin B complex (B, B, insulin aspart, paraffin soft white ointment, tube</t>
  </si>
  <si>
    <t>levothyroxine sodium 100 microgram tablet, levothyroxine sodium 25 microgram tablet, atorvastatin 20 mg tablet, insulin glargine (lantus) 100 international units/mL injection, 3 mL prefilled pen, levothyroxine sodium 100 microgram tablet, levothyroxine sodium 25 microgram tablet, atorvastatin 20 mg tablet, insulin glargine (lantus) 100 international units/mL injection, 3 mL prefilled pen, levothyroxine sodium 100 microgram tablet, levothyroxine sodium 25 microgram tablet, atorvastatin 20 mg tablet, insulin glargine (lantus) 100 international units/mL injection, 3 mL prefilled pen, levothyroxine sodium 100 microgram tablet, levothyroxine sodium 25 microgram tablet, atorvastatin 20 mg tablet, insulin glargine (lantus) 100 international units/mL injection, 3 mL prefilled pen, vitamin B complex (B1,B6,B12) 100,200,0.2 mg Film coated tablets [oral], vitamin B complex (B1,B6,B12) 100,200,0.2 mg Film coated tablets [oral], vitamin B complex (B1,B6,B12) 100,200,0.2 mg Film coated tablets [oral], vitamin B complex (B1,B6,B12) 100,200,0.2 mg Film coated tablets [oral], levothyroxine sodium 50 microgram tablet, insulin aspart 100 international units/mL injection, 3 mL prefilled pen, levothyroxine sodium 50 microgram tablet, insulin aspart 100 international units/mL injection, 3 mL prefilled pen, levothyroxine sodium 50 microgram tablet, insulin aspart 100 international units/mL injection, 3 mL prefilled pen, levothyroxine sodium 50 microgram tablet, insulin aspart 100 international units/mL injection, 3 mL prefilled pen, paraffin soft white ointment, tube, paraffin soft white ointment, tube, paraffin soft white ointment, tube, paraffin soft white ointment, tube, levothyroxine sodium 100 microgram tablet, atorvastatin 20 mg tablet, vitamin B complex (B1,B6,B12) 100,200,0.2 mg Film coated tablets [oral], paraffin soft white ointment, tube, insulin glargine (lantus) 100 international units/mL injection, 3 mL prefilled pen, levothyroxine sodium 25 microgram tablet, levothyroxine sodium 100 microgram tablet, atorvastatin 20 mg tablet, vitamin B complex (B1,B6,B12) 100,200,0.2 mg Film coated tablets [oral], paraffin soft white ointment, tube, insulin glargine (lantus) 100 international units/mL injection, 3 mL prefilled pen, levothyroxine sodium 25 microgram tablet, levothyroxine sodium 100 microgram tablet, atorvastatin 20 mg tablet, vitamin B complex (B1,B6,B12) 100,200,0.2 mg Film coated tablets [oral], paraffin soft white ointment, tube, insulin glargine (lantus) 100 international units/mL injection, 3 mL prefilled pen, levothyroxine sodium 25 microgram tablet, levothyroxine sodium 100 microgram tablet, atorvastatin 20 mg tablet, vitamin B complex (B1,B6,B12) 100,200,0.2 mg Film coated tablets [oral], paraffin soft white ointment, tube, insulin glargine (lantus) 100 international units/mL injection, 3 mL prefilled pen, levothyroxine sodium 25 microgram tablet, levothyroxine sodium 50 microgram tablet, levothyroxine sodium 50 microgram tablet, levothyroxine sodium 50 microgram tablet, levothyroxine sodium 50 microgram tablet, levothyroxine sodium 100 microgram tablet, levothyroxine sodium 25 microgram tablet, insulin aspart 100 international units/mL injection, 3 mL prefilled pen, levothyroxine sodium 100 microgram tablet, levothyroxine sodium 25 microgram tablet, insulin aspart 100 international units/mL injection, 3 mL prefilled pen, levothyroxine sodium 100 microgram tablet, levothyroxine sodium 25 microgram tablet, insulin aspart 100 international units/mL injection, 3 mL prefilled pen, levothyroxine sodium 100 microgram tablet, levothyroxine sodium 25 microgram tablet, insulin aspart 100 international units/mL injection, 3 mL prefilled pen, levothyroxine sodium 50 microgram tablet, vitamin B complex (B1,B6,B12) 100,200,0.2 mg Film coated tablets [oral], levothyroxine sodium 50 microgram tablet, vitamin B complex (B1,B6,B12) 100,200,0.2 mg Film coated tablets [oral], levothyroxine sodium 50 microgram tablet, vitamin B complex (B1,B6,B12) 100,200,0.2 mg Film coated tablets [oral], levothyroxine sodium 50 microgram tablet, vitamin B complex (B1,B6,B12) 100,200,0.2 mg Film coated tablets [oral], atorvastatin 20 mg tablet, paraffin soft white ointment, tube, atorvastatin 20 mg tablet, paraffin soft white ointment, tube, atorvastatin 20 mg tablet, paraffin soft white ointment, tube, atorvastatin 20 mg tablet, paraffin soft white ointment, tube,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aspart 100 international units/mL injection, 3 mL prefilled pen, levothyroxine sodium 50 microgram tablet, atorvastatin 20 mg tablet, insulin aspart 100 international units/mL injection, 3 mL prefilled pen, levothyroxine sodium 50 microgram tablet, atorvastatin 20 mg tablet, insulin aspart 100 international units/mL injection, 3 mL prefilled pen, levothyroxine sodium 50 microgram tablet, atorvastatin 20 mg tablet, insulin aspart 100 international units/mL injection, 3 mL prefilled pen, levothyroxine sodium 50 microgram tablet, atorvastatin 20 mg tablet, levothyroxine sodium 100 microgram tablet, insulin glargine (lantus) 100 international units/mL injection, 3 mL prefilled pen, levothyroxine sodium 100 microgram tablet, insulin glargine (lantus) 100 international units/mL injection, 3 mL prefilled pen, levothyroxine sodium 100 microgram tablet, insulin glargine (lantus) 100 international units/mL injection, 3 mL prefilled pen, levothyroxine sodium 100 microgram tablet, insulin glargine (lantus) 100 international units/mL injection, 3 mL prefilled pen, levothyroxine sodium 25 microgram tablet, paraffin soft white ointment, tube, levothyroxine sodium 25 microgram tablet, paraffin soft white ointment, tube, levothyroxine sodium 25 microgram tablet, paraffin soft white ointment, tube, levothyroxine sodium 25 microgram tablet, paraffin soft white ointment, tube, vitamin B complex (B1,B6,B12) 100,200,0.2 mg Film coated tablets [oral], vitamin B complex (B1,B6,B12) 100,200,0.2 mg Film coated tablets [oral], vitamin B complex (B1,B6,B12) 100,200,0.2 mg Film coated tablets [oral], vitamin B complex (B1,B6,B12) 100,200,0.2 mg Film coated tablets [oral],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t>
  </si>
  <si>
    <t>آمال محمد الحربي</t>
  </si>
  <si>
    <t>حميد حمدي محمد الخضيري</t>
  </si>
  <si>
    <t>charcoal-activated powder, mebeverine hydrochloride</t>
  </si>
  <si>
    <t>charcoal-activated powder, mebeverine hydrochloride 200 mg capsule: modified release, charcoal-activated powder, mebeverine hydrochloride 200 mg capsule: modified release, charcoal-activated powder, mebeverine hydrochloride 200 mg capsule: modified release, charcoal-activated powder,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charcoal-activated powder, charcoal-activated powder, charcoal-activated powder, charcoal-activated powder, charcoal-activated powder, charcoal-activated powder, charcoal-activated powder, charcoal-activated powder, mebeverine hydrochloride 200 mg capsule: modified release, mebeverine hydrochloride 200 mg capsule: modified release, mebeverine hydrochloride 200 mg capsule: modified release, mebeverine hydrochloride 200 mg capsule: modified release, charcoal-activated powder, charcoal-activated powder, charcoal-activated powder, charcoal-activated powder,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charcoal-activated powder, mebeverine hydrochloride 200 mg capsule: modified release, charcoal-activated powder, mebeverine hydrochloride 200 mg capsule: modified release, charcoal-activated powder, mebeverine hydrochloride 200 mg capsule: modified release, charcoal-activated powder</t>
  </si>
  <si>
    <t>عدنان قاسم عبداللطيف ابوحربه</t>
  </si>
  <si>
    <t>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Strips (Accu-Check) 1 box Strip [n/a], Strips (Accu-Check) 1 box Strip [n/a], Strips (Accu-Check) 1 box Strip [n/a], Strips (Accu-Check) 1 box Strip [n/a], Strips (Accu-Check) 1 box Strip [n/a], Strips (Accu-Check) 1 box Strip [n/a], Strips (Accu-Check) 1 box Strip [n/a], Strips (Accu-Check) 1 box Strip [n/a], Lancets (Accu-Check) 1 box Lancets [n/a], Lancets (Accu-Check) 1 box Lancets [n/a], Lancets (Accu-Check) 1 box Lancets [n/a], Lancets (Accu-Check) 1 box Lancets [n/a], Lancets (Accu-Check) 1 box Lancets [n/a], Lancets (Accu-Check) 1 box Lancets [n/a], Lancets (Accu-Check) 1 box Lancets [n/a], Lancets (Accu-Check) 1 box Lancets [n/a], Lancets (Accu-Check) 1 box Lancets [n/a], Lancets (Accu-Check) 1 box Lancets [n/a], Lancets (Accu-Check) 1 box Lancets [n/a], Lancets (Accu-Check) 1 box Lancets [n/a], Lancets (Accu-Check) 1 box Lancets [n/a], Lancets (Accu-Check) 1 box Lancets [n/a], Lancets (Accu-Check) 1 box Lancets [n/a], Lancets (Accu-Check) 1 box Lancets [n/a], Strips (Accu-Check) 1 box Strip [n/a], Strips (Accu-Check) 1 box Strip [n/a], Strips (Accu-Check) 1 box Strip [n/a], Strips (Accu-Check) 1 box Strip [n/a], Strips (Accu-Check) 1 box Strip [n/a], Strips (Accu-Check) 1 box Strip [n/a], Strips (Accu-Check) 1 box Strip [n/a], Strips (Accu-Check) 1 box Strip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Lancets (Accu-Check) 1 box Lancets [n/a], Lancets (Accu-Check) 1 box Lancets [n/a], Lancets (Accu-Check) 1 box Lancets [n/a], Lancets (Accu-Check) 1 box Lancets [n/a], Lancets (Accu-Check) 1 box Lancets [n/a], Lancets (Accu-Check) 1 box Lancets [n/a], Lancets (Accu-Check) 1 box Lancets [n/a], Lancets (Accu-Check) 1 box Lancets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Strips (Accu-Check) 1 box Strip [n/a], Strips (Accu-Check) 1 box Strip [n/a], Strips (Accu-Check) 1 box Strip [n/a], Strips (Accu-Check) 1 box Strip [n/a], Strips (Accu-Check) 1 box Strip [n/a], Strips (Accu-Check) 1 box Strip [n/a], Strips (Accu-Check) 1 box Strip [n/a], Strips (Accu-Check) 1 box Strip [n/a]</t>
  </si>
  <si>
    <t>غنيه عبدالمجيد عنايةالله الصحفي</t>
  </si>
  <si>
    <t>metFORMIN hydrochloride, empagliflozin, gliclazide, linagliptin, vitamin B complex (B, B, atorvastatin</t>
  </si>
  <si>
    <t>metFORMIN hydrochloride 500 mg tablet, metFORMIN hydrochloride 500 mg tablet, metFORMIN hydrochloride 500 mg tablet, empagliflozin 10 mg tablet, empagliflozin 10 mg tablet, empagliflozin 10 mg tablet, gliclazide 60 mg tablet: modified release, gliclazide 60 mg tablet: modified release, gliclazide 60 mg tablet: modified release, linagliptin 5 mg tablet, linagliptin 5 mg tablet, linagliptin 5 mg tablet, empagliflozin 10 mg tablet, linagliptin 5 mg tablet, vitamin B complex (B1,B6,B12) 100,200,0.2 mg Film coated tablets [oral], empagliflozin 10 mg tablet, linagliptin 5 mg tablet, vitamin B complex (B1,B6,B12) 100,200,0.2 mg Film coated tablets [oral], empagliflozin 10 mg tablet, linagliptin 5 mg tablet, vitamin B complex (B1,B6,B12) 100,200,0.2 mg Film coated tablets [oral], metFORMIN hydrochloride 500 mg tablet, atorvastatin 20 mg tablet, metFORMIN hydrochloride 500 mg tablet, atorvastatin 20 mg tablet, metFORMIN hydrochloride 500 mg tablet, atorvastatin 20 mg tablet, gliclazide 60 mg tablet: modified release, gliclazide 60 mg tablet: modified release, gliclazide 60 mg tablet: modified release, vitamin B complex (B1,B6,B12) 100,200,0.2 mg Film coated tablets [oral], vitamin B complex (B1,B6,B12) 100,200,0.2 mg Film coated tablets [oral], vitamin B complex (B1,B6,B12) 100,200,0.2 mg Film coated tablets [oral], gliclazide 60 mg tablet: modified release, metFORMIN hydrochloride 500 mg tablet, linagliptin 5 mg tablet, atorvastatin 20 mg tablet, gliclazide 60 mg tablet: modified release, metFORMIN hydrochloride 500 mg tablet, linagliptin 5 mg tablet, atorvastatin 20 mg tablet, gliclazide 60 mg tablet: modified release, metFORMIN hydrochloride 500 mg tablet, linagliptin 5 mg tablet, atorvastatin 20 mg tablet, empagliflozin 10 mg tablet, empagliflozin 10 mg tablet, empagliflozin 10 mg tablet, empagliflozin 10 mg tablet, atorvastatin 20 mg tablet, empagliflozin 10 mg tablet, atorvastatin 20 mg tablet, empagliflozin 10 mg tablet, atorvastatin 20 mg tablet, vitamin B complex (B1,B6,B12) 100,200,0.2 mg Film coated tablets [oral], metFORMIN hydrochloride 500 mg tablet, gliclazide 60 mg tablet: modified release, linagliptin 5 mg tablet, vitamin B complex (B1,B6,B12) 100,200,0.2 mg Film coated tablets [oral], metFORMIN hydrochloride 500 mg tablet, gliclazide 60 mg tablet: modified release, linagliptin 5 mg tablet, vitamin B complex (B1,B6,B12) 100,200,0.2 mg Film coated tablets [oral], metFORMIN hydrochloride 500 mg tablet, gliclazide 60 mg tablet: modified release, linagliptin 5 mg tablet</t>
  </si>
  <si>
    <t>علي جميل حسن العمري</t>
  </si>
  <si>
    <t>diclofenac sodium, celecoxib, vitamin B complex (B, B, perindopril arginine, metFORMIN hydrochloride, omeprazole, rosuvastatin, Strips (Accu-Check), tamsulosin hydrochloride</t>
  </si>
  <si>
    <t>diclofenac sodium 1% (10 mg/g) gel, celecoxib 200 mg capsule, diclofenac sodium 1% (10 mg/g) gel, celecoxib 200 mg capsule, diclofenac sodium 1% (10 mg/g) gel, celecoxib 200 mg capsule, diclofenac sodium 1% (10 mg/g) gel, celecoxib 200 mg capsule, diclofenac sodium 1% (10 mg/g) gel, celecoxib 200 mg capsule, vitamin B complex (B1,B6,B12) 100,200,0.2 mg Film coated tablets [oral], perindopril arginine 5 mg tablet, metFORMIN hydrochloride 750 mg tablet: modified release, omeprazole 20 mg tablet: enteric coated, vitamin B complex (B1,B6,B12) 100,200,0.2 mg Film coated tablets [oral], perindopril arginine 5 mg tablet, metFORMIN hydrochloride 750 mg tablet: modified release, omeprazole 20 mg tablet: enteric coated, vitamin B complex (B1,B6,B12) 100,200,0.2 mg Film coated tablets [oral], perindopril arginine 5 mg tablet, metFORMIN hydrochloride 750 mg tablet: modified release, omeprazole 20 mg tablet: enteric coated, vitamin B complex (B1,B6,B12) 100,200,0.2 mg Film coated tablets [oral], perindopril arginine 5 mg tablet, metFORMIN hydrochloride 750 mg tablet: modified release, omeprazole 20 mg tablet: enteric coated, vitamin B complex (B1,B6,B12) 100,200,0.2 mg Film coated tablets [oral], perindopril arginine 5 mg tablet, metFORMIN hydrochloride 750 mg tablet: modified release, omeprazole 20 mg tablet: enteric coated, rosuvastatin 10 mg tablet, rosuvastatin 10 mg tablet, rosuvastatin 10 mg tablet, rosuvastatin 10 mg tablet, rosuvastatin 10 mg tablet, Strips (Accu-Check) 1 box Strip [n/a], Strips (Accu-Check) 1 box Strip [n/a], Strips (Accu-Check) 1 box Strip [n/a], Strips (Accu-Check) 1 box Strip [n/a], Strips (Accu-Check) 1 box Strip [n/a], tamsulosin hydrochloride 400 microgram tablet: modified release, tamsulosin hydrochloride 400 microgram tablet: modified release, tamsulosin hydrochloride 400 microgram tablet: modified release, tamsulosin hydrochloride 400 microgram tablet: modified release, tamsulosin hydrochloride 400 microgram tablet: modified release, celecoxib 200 mg capsule, celecoxib 200 mg capsule, celecoxib 200 mg capsule, celecoxib 200 mg capsule, celecoxib 200 mg capsule, vitamin B complex (B1,B6,B12) 100,200,0.2 mg Film coated tablets [oral], metFORMIN hydrochloride 750 mg tablet: modified release, rosuvastatin 10 mg tablet, vitamin B complex (B1,B6,B12) 100,200,0.2 mg Film coated tablets [oral], metFORMIN hydrochloride 750 mg tablet: modified release, rosuvastatin 10 mg tablet, vitamin B complex (B1,B6,B12) 100,200,0.2 mg Film coated tablets [oral], metFORMIN hydrochloride 750 mg tablet: modified release, rosuvastatin 10 mg tablet, vitamin B complex (B1,B6,B12) 100,200,0.2 mg Film coated tablets [oral], metFORMIN hydrochloride 750 mg tablet: modified release, rosuvastatin 10 mg tablet, vitamin B complex (B1,B6,B12) 100,200,0.2 mg Film coated tablets [oral], metFORMIN hydrochloride 750 mg tablet: modified release, rosuvastatin 10 mg tablet, Strips (Accu-Check) 1 box Strip [n/a], perindopril arginine 5 mg tablet, tamsulosin hydrochloride 400 microgram tablet: modified release, omeprazole 20 mg tablet: enteric coated, Strips (Accu-Check) 1 box Strip [n/a], perindopril arginine 5 mg tablet, tamsulosin hydrochloride 400 microgram tablet: modified release, omeprazole 20 mg tablet: enteric coated, Strips (Accu-Check) 1 box Strip [n/a], perindopril arginine 5 mg tablet, tamsulosin hydrochloride 400 microgram tablet: modified release, omeprazole 20 mg tablet: enteric coated, Strips (Accu-Check) 1 box Strip [n/a], perindopril arginine 5 mg tablet, tamsulosin hydrochloride 400 microgram tablet: modified release, omeprazole 20 mg tablet: enteric coated, Strips (Accu-Check) 1 box Strip [n/a], perindopril arginine 5 mg tablet, tamsulosin hydrochloride 400 microgram tablet: modified release, omeprazole 20 mg tablet: enteric coated, diclofenac sodium 1% (10 mg/g) gel, diclofenac sodium 1% (10 mg/g) gel, diclofenac sodium 1% (10 mg/g) gel, diclofenac sodium 1% (10 mg/g) gel, diclofenac sodium 1% (10 mg/g) gel, tamsulosin hydrochloride 400 microgram tablet: modified release, metFORMIN hydrochloride 750 mg tablet: modified release, vitamin B complex (B1,B6,B12) 100,200,0.2 mg Film coated tablets [oral], perindopril arginine 5 mg tablet, tamsulosin hydrochloride 400 microgram tablet: modified release, metFORMIN hydrochloride 750 mg tablet: modified release, vitamin B complex (B1,B6,B12) 100,200,0.2 mg Film coated tablets [oral], perindopril arginine 5 mg tablet, tamsulosin hydrochloride 400 microgram tablet: modified release, metFORMIN hydrochloride 750 mg tablet: modified release, vitamin B complex (B1,B6,B12) 100,200,0.2 mg Film coated tablets [oral], perindopril arginine 5 mg tablet, tamsulosin hydrochloride 400 microgram tablet: modified release, metFORMIN hydrochloride 750 mg tablet: modified release, vitamin B complex (B1,B6,B12) 100,200,0.2 mg Film coated tablets [oral], perindopril arginine 5 mg tablet, tamsulosin hydrochloride 400 microgram tablet: modified release, metFORMIN hydrochloride 750 mg tablet: modified release, vitamin B complex (B1,B6,B12) 100,200,0.2 mg Film coated tablets [oral], perindopril arginine 5 mg tablet, omeprazole 20 mg tablet: enteric coated, Strips (Accu-Check) 1 box Strip [n/a], omeprazole 20 mg tablet: enteric coated, Strips (Accu-Check) 1 box Strip [n/a], omeprazole 20 mg tablet: enteric coated, Strips (Accu-Check) 1 box Strip [n/a], omeprazole 20 mg tablet: enteric coated, Strips (Accu-Check) 1 box Strip [n/a], omeprazole 20 mg tablet: enteric coated, Strips (Accu-Check) 1 box Strip [n/a], rosuvastatin 10 mg tablet, celecoxib 200 mg capsule, rosuvastatin 10 mg tablet, celecoxib 200 mg capsule, rosuvastatin 10 mg tablet, celecoxib 200 mg capsule, rosuvastatin 10 mg tablet, celecoxib 200 mg capsule, rosuvastatin 10 mg tablet, celecoxib 200 mg capsule, diclofenac sodium 1% (10 mg/g) gel, diclofenac sodium 1% (10 mg/g) gel, diclofenac sodium 1% (10 mg/g) gel, diclofenac sodium 1% (10 mg/g) gel, diclofenac sodium 1% (10 mg/g) gel</t>
  </si>
  <si>
    <t>زانه سعيد شايع عسيري</t>
  </si>
  <si>
    <t>rosuvastatin, SITagliptin, colecalciferol, vitamin B complex (B, B, empagliflozin, metFORMIN hydrochloride</t>
  </si>
  <si>
    <t>rosuvastatin 10 mg tablet, rosuvastatin 10 mg tablet, rosuvastatin 10 mg tablet, SITagliptin 100 mg tablet, SITagliptin 100 mg tablet, SITagliptin 100 mg tablet, colecalciferol 50 000 international units tablet, vitamin B complex (B1,B6,B12) 100,200,0.2 mg Film coated tablets [oral], colecalciferol 50 000 international units tablet, vitamin B complex (B1,B6,B12) 100,200,0.2 mg Film coated tablets [oral], colecalciferol 50 000 international units tablet, vitamin B complex (B1,B6,B12) 100,200,0.2 mg Film coated tablets [oral], empagliflozin 25 mg tablet, empagliflozin 25 mg tablet, empagliflozin 25 mg tablet,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vitamin B complex (B1,B6,B12) 100,200,0.2 mg Film coated tablets [oral], empagliflozin 25 mg tablet, vitamin B complex (B1,B6,B12) 100,200,0.2 mg Film coated tablets [oral], empagliflozin 25 mg tablet, vitamin B complex (B1,B6,B12) 100,200,0.2 mg Film coated tablets [oral], empagliflozin 25 mg tablet, colecalciferol 50 000 international units tablet, colecalciferol 50 000 international units tablet, colecalciferol 50 000 international units tablet, rosuvastatin 10 mg tablet, SITagliptin 100 mg tablet, rosuvastatin 10 mg tablet, SITagliptin 100 mg tablet, rosuvastatin 10 mg tablet, SITagliptin 100 mg tablet</t>
  </si>
  <si>
    <t>ماجد بن سعد بن ناصر الشريف</t>
  </si>
  <si>
    <t>cetirizine hydrochloride, sodium chloride, dextromethorphan hydrobromide, paracetamol</t>
  </si>
  <si>
    <t>cetirizine hydrochloride 10 mg tablet, cetirizine hydrochloride 10 mg tablet, cetirizine hydrochloride 10 mg tablet, cetirizine hydrochloride 10 mg tablet, sodium chloride 0.9% (9 mg/mL) nasal spray, sodium chloride 0.9% (9 mg/mL) nasal spray, sodium chloride 0.9% (9 mg/mL) nasal spray, sodium chloride 0.9% (9 mg/mL) nasal spray, cetirizine hydrochloride 10 mg tablet, cetirizine hydrochloride 10 mg tablet, cetirizine hydrochloride 10 mg tablet, cetirizine hydrochloride 10 mg tablet,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cetirizine hydrochloride 10 mg tablet, dextromethorphan hydrobromide 15 mg/5 mL oral liquid, cetirizine hydrochloride 10 mg tablet, dextromethorphan hydrobromide 15 mg/5 mL oral liquid, cetirizine hydrochloride 10 mg tablet, dextromethorphan hydrobromide 15 mg/5 mL oral liquid, cetirizine hydrochloride 10 mg tablet, dextromethorphan hydrobromide 15 mg/5 mL oral liquid, paracetamol 500 mg tablet, paracetamol 500 mg tablet, paracetamol 500 mg tablet, paracetamol 500 mg tablet, paracetamol 500 mg tablet, paracetamol 500 mg tablet, paracetamol 500 mg tablet, paracetamol 500 mg tablet, dextromethorphan hydrobromide 15 mg/5 mL oral liquid, dextromethorphan hydrobromide 15 mg/5 mL oral liquid, dextromethorphan hydrobromide 15 mg/5 mL oral liquid, dextromethorphan hydrobromide 15 mg/5 mL oral liquid, sodium chloride 0.9% (9 mg/mL) nasal spray, sodium chloride 0.9% (9 mg/mL) nasal spray, sodium chloride 0.9% (9 mg/mL) nasal spray, sodium chloride 0.9% (9 mg/mL) nasal spray, cetirizine hydrochloride 10 mg tablet, cetirizine hydrochloride 10 mg tablet, cetirizine hydrochloride 10 mg tablet, cetirizine hydrochloride 10 mg tablet, paracetamol 500 mg tablet, sodium chloride 0.9% (9 mg/mL) nasal spray, paracetamol 500 mg tablet, sodium chloride 0.9% (9 mg/mL) nasal spray, paracetamol 500 mg tablet, sodium chloride 0.9% (9 mg/mL) nasal spray, paracetamol 500 mg tablet, sodium chloride 0.9% (9 mg/mL) nasal spray, dextromethorphan hydrobromide 15 mg/5 mL oral liquid, dextromethorphan hydrobromide 15 mg/5 mL oral liquid, dextromethorphan hydrobromide 15 mg/5 mL oral liquid, dextromethorphan hydrobromide 15 mg/5 mL oral liquid, cetirizine hydrochloride 10 mg tablet, paracetamol 500 mg tablet, cetirizine hydrochloride 10 mg tablet, paracetamol 500 mg tablet, cetirizine hydrochloride 10 mg tablet, paracetamol 500 mg tablet, cetirizine hydrochloride 10 mg tablet, paracetamol 500 mg tablet, dextromethorphan hydrobromide 15 mg/5 mL oral liquid, sodium chloride 0.9% (9 mg/mL) nasal spray, dextromethorphan hydrobromide 15 mg/5 mL oral liquid, sodium chloride 0.9% (9 mg/mL) nasal spray, dextromethorphan hydrobromide 15 mg/5 mL oral liquid, sodium chloride 0.9% (9 mg/mL) nasal spray, dextromethorphan hydrobromide 15 mg/5 mL oral liquid, sodium chloride 0.9% (9 mg/mL) nasal spray</t>
  </si>
  <si>
    <t>مبيريك عون محيسن السلمي</t>
  </si>
  <si>
    <t>vitamins (A, B, C, D, valsartan, acetylsalicylic acid, amLODIPine</t>
  </si>
  <si>
    <t>vitamins (A, B1, B2, B3, C, D3) tablet, vitamins (A, B1, B2, B3, C, D3) tablet, vitamins (A, B1, B2, B3, C, D3) tablet, vitamins (A, B1, B2, B3, C, D3) tablet, valsartan 80 mg tablet, valsartan 80 mg tablet, valsartan 80 mg tablet, valsartan 80 mg tablet, acetylsalicylic acid 100 mg tablet: enteric coated, amLODIPine 5 mg tablet, acetylsalicylic acid 100 mg tablet: enteric coated, amLODIPine 5 mg tablet, acetylsalicylic acid 100 mg tablet: enteric coated, amLODIPine 5 mg tablet, acetylsalicylic acid 100 mg tablet: enteric coated, amLODIPine 5 mg tablet, vitamins (A, B1, B2, B3, C, D3) tablet, vitamins (A, B1, B2, B3, C, D3) tablet, vitamins (A, B1, B2, B3, C, D3) tablet, vitamins (A, B1, B2, B3, C, D3) tablet, acetylsalicylic acid 100 mg tablet: enteric coated, acetylsalicylic acid 100 mg tablet: enteric coated, acetylsalicylic acid 100 mg tablet: enteric coated, acetylsalicylic acid 100 mg tablet: enteric coated, amLODIPine 5 mg tablet, valsartan 80 mg tablet, amLODIPine 5 mg tablet, valsartan 80 mg tablet, amLODIPine 5 mg tablet, valsartan 80 mg tablet, amLODIPine 5 mg tablet, valsartan 80 mg tablet</t>
  </si>
  <si>
    <t>نوف محمد الرفاعي</t>
  </si>
  <si>
    <t>فهد عبدالعزيز نصار الاحمدى</t>
  </si>
  <si>
    <t>acetylsalicylic acid, empagliflozin, vitamin B complex (B, B, rosuvastatin</t>
  </si>
  <si>
    <t>acetylsalicylic acid 100 mg tablet: enteric coated, acetylsalicylic acid 100 mg tablet: enteric coated, acetylsalicylic acid 100 mg tablet: enteric coated, acetylsalicylic acid 100 mg tablet: enteric coated, acetylsalicylic acid 100 mg tablet: enteric coated, empagliflozin 25 mg tablet, empagliflozin 25 mg tablet, empagliflozin 25 mg tablet, empagliflozin 25 mg tablet, empagliflozin 25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rosuvastatin 20 mg tablet, rosuvastatin 20 mg tablet, rosuvastatin 20 mg tablet, rosuvastatin 20 mg tablet, rosuvastatin 20 mg tablet, rosuvastatin 20 mg tablet, empagliflozin 25 mg tablet, rosuvastatin 20 mg tablet, empagliflozin 25 mg tablet, rosuvastatin 20 mg tablet, empagliflozin 25 mg tablet, rosuvastatin 20 mg tablet, empagliflozin 25 mg tablet, rosuvastatin 20 mg tablet, empagliflozin 25 mg tablet, vitamin B complex (B1,B6,B12) 100,200,0.2 mg Film coated tablets [oral], acetylsalicylic acid 100 mg tablet: enteric coated, vitamin B complex (B1,B6,B12) 100,200,0.2 mg Film coated tablets [oral], acetylsalicylic acid 100 mg tablet: enteric coated, vitamin B complex (B1,B6,B12) 100,200,0.2 mg Film coated tablets [oral], acetylsalicylic acid 100 mg tablet: enteric coated, vitamin B complex (B1,B6,B12) 100,200,0.2 mg Film coated tablets [oral], acetylsalicylic acid 100 mg tablet: enteric coated, vitamin B complex (B1,B6,B12) 100,200,0.2 mg Film coated tablets [oral], acetylsalicylic acid 100 mg tablet: enteric coated, rosuvastatin 20 mg tablet, rosuvastatin 20 mg tablet, rosuvastatin 20 mg tablet, rosuvastatin 20 mg tablet, rosuvastatin 20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acetylsalicylic acid 100 mg tablet: enteric coated, acetylsalicylic acid 100 mg tablet: enteric coated, acetylsalicylic acid 100 mg tablet: enteric coated, acetylsalicylic acid 100 mg tablet: enteric coated, acetylsalicylic acid 100 mg tablet: enteric coated, vitamin B complex (B1,B6,B12) 100,200,0.2 mg Film coated tablets [oral], empagliflozin 25 mg tablet, vitamin B complex (B1,B6,B12) 100,200,0.2 mg Film coated tablets [oral], empagliflozin 25 mg tablet, vitamin B complex (B1,B6,B12) 100,200,0.2 mg Film coated tablets [oral], empagliflozin 25 mg tablet, vitamin B complex (B1,B6,B12) 100,200,0.2 mg Film coated tablets [oral], empagliflozin 25 mg tablet, vitamin B complex (B1,B6,B12) 100,200,0.2 mg Film coated tablets [oral], empagliflozin 25 mg tablet, rosuvastatin 20 mg tablet, acetylsalicylic acid 100 mg tablet: enteric coated, rosuvastatin 20 mg tablet, acetylsalicylic acid 100 mg tablet: enteric coated, rosuvastatin 20 mg tablet, acetylsalicylic acid 100 mg tablet: enteric coated, rosuvastatin 20 mg tablet, acetylsalicylic acid 100 mg tablet: enteric coated, rosuvastatin 20 mg tablet,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rosuvastatin 20 mg tablet, empagliflozin 25 mg tablet, rosuvastatin 20 mg tablet, empagliflozin 25 mg tablet, rosuvastatin 20 mg tablet, empagliflozin 25 mg tablet, rosuvastatin 20 mg tablet, empagliflozin 25 mg tablet, rosuvastatin 20 mg tablet, empagliflozin 25 mg tablet, rosuvastatin 20 mg tablet, empagliflozin 25 mg tablet, rosuvastatin 20 mg tablet, empagliflozin 25 mg tablet, rosuvastatin 20 mg tablet, empagliflozin 25 mg tablet, rosuvastatin 20 mg tablet, empagliflozin 25 mg tablet, rosuvastatin 20 mg tablet, empagliflozin 25 mg tablet, acetylsalicylic acid 100 mg tablet: enteric coated, acetylsalicylic acid 100 mg tablet: enteric coated, acetylsalicylic acid 100 mg tablet: enteric coated, acetylsalicylic acid 100 mg tablet: enteric coated, acetylsalicylic acid 100 mg tablet: enteric coated,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acetylsalicylic acid 100 mg tablet: enteric coated, acetylsalicylic acid 100 mg tablet: enteric coated, acetylsalicylic acid 100 mg tablet: enteric coated, acetylsalicylic acid 100 mg tablet: enteric coated, acetylsalicylic acid 100 mg tablet: enteric coated, empagliflozin 25 mg tablet, empagliflozin 25 mg tablet, empagliflozin 25 mg tablet, empagliflozin 25 mg tablet, empagliflozin 25 mg tablet</t>
  </si>
  <si>
    <t>نجلاء فرج نافع الأحمدي</t>
  </si>
  <si>
    <t>cetirizine hydrochloride 10 mg tablet, cetirizine hydrochloride 10 mg tablet, cetirizine hydrochloride 10 mg tablet, cetirizine hydrochloride 10 mg tablet, cetirizine hydrochloride 10 mg tablet, cetirizine hydrochloride 10 mg tablet,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cetirizine hydrochloride 10 mg tablet, cetirizine hydrochloride 10 mg tablet, cetirizine hydrochloride 10 mg tablet, cetirizine hydrochloride 10 mg tablet, cetirizine hydrochloride 10 mg tablet, cetirizine hydrochloride 10 mg tablet,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cetirizine hydrochloride 10 mg tablet, cetirizine hydrochloride 10 mg tablet, cetirizine hydrochloride 10 mg tablet, cetirizine hydrochloride 10 mg tablet, cetirizine hydrochloride 10 mg tablet, cetirizine hydrochloride 10 mg tablet,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t>
  </si>
  <si>
    <t>عبدالرحمن حسن زيدي الشيخي</t>
  </si>
  <si>
    <t>diclofenac sodium, celecoxib</t>
  </si>
  <si>
    <t>diclofenac sodium 50 mg tablet, diclofenac sodium 50 mg tablet, diclofenac sodium 1% (10 mg/g) gel, celecoxib 200 mg capsule, diclofenac sodium 1% (10 mg/g) gel, celecoxib 200 mg capsule, diclofenac sodium 1% (10 mg/g) gel, diclofenac sodium 1% (10 mg/g) gel, celecoxib 200 mg capsule, celecoxib 200 mg capsule, diclofenac sodium 50 mg tablet, diclofenac sodium 50 mg tablet</t>
  </si>
  <si>
    <t>عبدالله غرم الله خضران المالكي</t>
  </si>
  <si>
    <t>vitamin B complex (B, B, Strips (Accu-Check), tamsulosin hydrochloride, escitalopram, insulin glargine (lantus), insulin aspart</t>
  </si>
  <si>
    <t>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Strips (Accu-Check) 1 box Strip [n/a], Strips (Accu-Check) 1 box Strip [n/a], Strips (Accu-Check) 1 box Strip [n/a], Strips (Accu-Check) 1 box Strip [n/a], Strips (Accu-Check) 1 box Strip [n/a], Strips (Accu-Check) 1 box Strip [n/a], Strips (Accu-Check) 1 box Strip [n/a], tamsulosin hydrochloride 400 microgram tablet: modified release, escitalopram 10 mg tablet, tamsulosin hydrochloride 400 microgram tablet: modified release, escitalopram 10 mg tablet, tamsulosin hydrochloride 400 microgram tablet: modified release, escitalopram 10 mg tablet, tamsulosin hydrochloride 400 microgram tablet: modified release, escitalopram 10 mg tablet, tamsulosin hydrochloride 400 microgram tablet: modified release, escitalopram 10 mg tablet, tamsulosin hydrochloride 400 microgram tablet: modified release, escitalopram 10 mg tablet, tamsulosin hydrochloride 400 microgram tablet: modified release, escitalopram 10 mg tablet, insulin glargine (lantus) 100 international units/mL injection, 3 mL prefilled pen, insulin aspart 100 international units/mL injection, 3 mL prefilled pen, insulin glargine (lantus) 100 international units/mL injection, 3 mL prefilled pen, insulin aspart 100 international units/mL injection, 3 mL prefilled pen, insulin glargine (lantus) 100 international units/mL injection, 3 mL prefilled pen, insulin aspart 100 international units/mL injection, 3 mL prefilled pen, insulin glargine (lantus) 100 international units/mL injection, 3 mL prefilled pen, insulin aspart 100 international units/mL injection, 3 mL prefilled pen, insulin glargine (lantus) 100 international units/mL injection, 3 mL prefilled pen, insulin aspart 100 international units/mL injection, 3 mL prefilled pen, insulin glargine (lantus) 100 international units/mL injection, 3 mL prefilled pen, insulin aspart 100 international units/mL injection, 3 mL prefilled pen, insulin glargine (lantus) 100 international units/mL injection, 3 mL prefilled pen, insulin aspart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escitalopram 10 mg tablet, escitalopram 10 mg tablet, escitalopram 10 mg tablet, escitalopram 10 mg tablet, escitalopram 10 mg tablet, escitalopram 10 mg tablet, escitalopram 10 mg tablet, Strips (Accu-Check) 1 box Strip [n/a], tamsulosin hydrochloride 400 microgram tablet: modified release, Strips (Accu-Check) 1 box Strip [n/a], tamsulosin hydrochloride 400 microgram tablet: modified release, Strips (Accu-Check) 1 box Strip [n/a], tamsulosin hydrochloride 400 microgram tablet: modified release, Strips (Accu-Check) 1 box Strip [n/a], tamsulosin hydrochloride 400 microgram tablet: modified release, Strips (Accu-Check) 1 box Strip [n/a], tamsulosin hydrochloride 400 microgram tablet: modified release, Strips (Accu-Check) 1 box Strip [n/a], tamsulosin hydrochloride 400 microgram tablet: modified release, Strips (Accu-Check) 1 box Strip [n/a], tamsulosin hydrochloride 400 microgram tablet: modified release, vitamin B complex (B1,B6,B12) 100,200,0.2 mg Film coated tablets [oral], insulin aspart 100 international units/mL injection, 3 mL prefilled pen, vitamin B complex (B1,B6,B12) 100,200,0.2 mg Film coated tablets [oral], insulin aspart 100 international units/mL injection, 3 mL prefilled pen, vitamin B complex (B1,B6,B12) 100,200,0.2 mg Film coated tablets [oral], insulin aspart 100 international units/mL injection, 3 mL prefilled pen, vitamin B complex (B1,B6,B12) 100,200,0.2 mg Film coated tablets [oral], insulin aspart 100 international units/mL injection, 3 mL prefilled pen, vitamin B complex (B1,B6,B12) 100,200,0.2 mg Film coated tablets [oral], insulin aspart 100 international units/mL injection, 3 mL prefilled pen, vitamin B complex (B1,B6,B12) 100,200,0.2 mg Film coated tablets [oral], insulin aspart 100 international units/mL injection, 3 mL prefilled pen, vitamin B complex (B1,B6,B12) 100,200,0.2 mg Film coated tablets [oral], insulin aspart 100 international units/mL injection, 3 mL prefilled pen</t>
  </si>
  <si>
    <t>عطيه الله عبدالعزيز عبدالقادر الشيخ</t>
  </si>
  <si>
    <t>colecalciferol 50 000 international units tablet, colecalciferol 50 000 international units tablet, colecalciferol 50 000 international units tablet</t>
  </si>
  <si>
    <t>مريم عبدالجليل نجم الدين</t>
  </si>
  <si>
    <t>colecalciferol 50 000 international units tablet, colecalciferol 50 000 international units tablet, colecalciferol 50 000 international units tablet, colecalciferol 50 000 international units tablet,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colecalciferol 50 000 international units tablet, colecalciferol 50 000 international units tablet, colecalciferol 50 000 international units tablet, colecalciferol 50 000 international units tablet,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colecalciferol 50 000 international units tablet, colecalciferol 50 000 international units tablet, colecalciferol 50 000 international units tablet, colecalciferol 50 000 international units tablet,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t>
  </si>
  <si>
    <t>ظافر محمد علي الشهري</t>
  </si>
  <si>
    <t>ابتسام محمد عبدالرحمن عقيل</t>
  </si>
  <si>
    <t>metFORMIN hydrochloride, empagliflozin</t>
  </si>
  <si>
    <t>metFORMIN hydrochloride 500 mg tablet, metFORMIN hydrochloride 500 mg tablet, metFORMIN hydrochloride 500 mg tablet, metFORMIN hydrochloride 500 mg tablet, metFORMIN hydrochloride 500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metFORMIN hydrochloride 500 mg tablet, metFORMIN hydrochloride 500 mg tablet, metFORMIN hydrochloride 500 mg tablet, metFORMIN hydrochloride 500 mg tablet, metFORMIN hydrochloride 500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metFORMIN hydrochloride 500 mg tablet, metFORMIN hydrochloride 500 mg tablet, metFORMIN hydrochloride 500 mg tablet, metFORMIN hydrochloride 500 mg tablet, metFORMIN hydrochloride 500 mg tablet, empagliflozin 10 mg tablet, empagliflozin 10 mg tablet, empagliflozin 10 mg tablet, empagliflozin 10 mg tablet, empagliflozin 10 mg tablet, metFORMIN hydrochloride 500 mg tablet, metFORMIN hydrochloride 500 mg tablet, metFORMIN hydrochloride 500 mg tablet, metFORMIN hydrochloride 500 mg tablet, metFORMIN hydrochloride 500 mg tablet</t>
  </si>
  <si>
    <t>حاتم عبدالرزاق صالح سلامه</t>
  </si>
  <si>
    <t>atorvastatin, vitamin B complex (B, B, insulin aspart, perindopril arginine, SITagliptin, Strips (Accu-Check), metFORMIN hydrochloride</t>
  </si>
  <si>
    <t>atorvastatin 10 mg tablet, atorvastatin 10 mg tablet, atorvastatin 10 mg tablet, atorvastatin 10 mg tablet, vitamin B complex (B1,B6,B12) 100,200,0.2 mg Film coated tablets [oral], insulin aspart 100 international units/mL injection, 3 mL prefilled pen, perindopril arginine 5 mg tablet, SITagliptin 100 mg tablet, Strips (Accu-Check) 1 box Strip [n/a], vitamin B complex (B1,B6,B12) 100,200,0.2 mg Film coated tablets [oral], insulin aspart 100 international units/mL injection, 3 mL prefilled pen, perindopril arginine 5 mg tablet, SITagliptin 100 mg tablet, Strips (Accu-Check) 1 box Strip [n/a], vitamin B complex (B1,B6,B12) 100,200,0.2 mg Film coated tablets [oral], insulin aspart 100 international units/mL injection, 3 mL prefilled pen, perindopril arginine 5 mg tablet, SITagliptin 100 mg tablet, Strips (Accu-Check) 1 box Strip [n/a], vitamin B complex (B1,B6,B12) 100,200,0.2 mg Film coated tablets [oral], insulin aspart 100 international units/mL injection, 3 mL prefilled pen, perindopril arginine 5 mg tablet, SITagliptin 100 mg tablet, Strips (Accu-Check) 1 box Strip [n/a], metFORMIN hydrochloride 500 mg tablet, metFORMIN hydrochloride 500 mg tablet, metFORMIN hydrochloride 500 mg tablet, metFORMIN hydrochloride 500 mg tablet, Strips (Accu-Check) 1 box Strip [n/a], SITagliptin 100 mg tablet, Strips (Accu-Check) 1 box Strip [n/a], SITagliptin 100 mg tablet, Strips (Accu-Check) 1 box Strip [n/a], SITagliptin 100 mg tablet, Strips (Accu-Check) 1 box Strip [n/a], SITagliptin 100 mg tablet, metFORMIN hydrochloride 500 mg tablet, metFORMIN hydrochloride 500 mg tablet, metFORMIN hydrochloride 500 mg tablet, metFORMIN hydrochloride 500 mg tablet, atorvastatin 10 mg tablet, atorvastatin 10 mg tablet, atorvastatin 10 mg tablet, atorvastatin 10 mg tablet, perindopril arginine 5 mg tablet, vitamin B complex (B1,B6,B12) 100,200,0.2 mg Film coated tablets [oral], perindopril arginine 5 mg tablet, vitamin B complex (B1,B6,B12) 100,200,0.2 mg Film coated tablets [oral], perindopril arginine 5 mg tablet, vitamin B complex (B1,B6,B12) 100,200,0.2 mg Film coated tablets [oral], perindopril arginine 5 mg tablet, vitamin B complex (B1,B6,B12) 100,200,0.2 mg Film coated tablets [oral],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Strips (Accu-Check) 1 box Strip [n/a], Strips (Accu-Check) 1 box Strip [n/a], Strips (Accu-Check) 1 box Strip [n/a], Strips (Accu-Check) 1 box Strip [n/a], metFORMIN hydrochloride 500 mg tablet, metFORMIN hydrochloride 500 mg tablet, metFORMIN hydrochloride 500 mg tablet, metFORMIN hydrochloride 500 mg tablet, atorvastatin 10 mg tablet, perindopril arginine 5 mg tablet, atorvastatin 10 mg tablet, perindopril arginine 5 mg tablet, atorvastatin 10 mg tablet, perindopril arginine 5 mg tablet, atorvastatin 10 mg tablet, perindopril arginine 5 mg tablet, SITagliptin 100 mg tablet, insulin aspart 100 international units/mL injection, 3 mL prefilled pen, vitamin B complex (B1,B6,B12) 100,200,0.2 mg Film coated tablets [oral], SITagliptin 100 mg tablet, insulin aspart 100 international units/mL injection, 3 mL prefilled pen, vitamin B complex (B1,B6,B12) 100,200,0.2 mg Film coated tablets [oral], SITagliptin 100 mg tablet, insulin aspart 100 international units/mL injection, 3 mL prefilled pen, vitamin B complex (B1,B6,B12) 100,200,0.2 mg Film coated tablets [oral], SITagliptin 100 mg tablet, insulin aspart 100 international units/mL injection, 3 mL prefilled pen, vitamin B complex (B1,B6,B12) 100,200,0.2 mg Film coated tablets [oral]</t>
  </si>
  <si>
    <t>مروه حسن مصطفي كمال صابر</t>
  </si>
  <si>
    <t>insulin aspart, insulin glargine (lantus), Insulin Pen Needle</t>
  </si>
  <si>
    <t>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glargine (lantus) 100 international units/mL injection, 3 mL prefilled pen, Insulin Pen Needle 4mm Needle [sc], insulin glargine (lantus) 100 international units/mL injection, 3 mL prefilled pen, Insulin Pen Needle 4mm Needle [sc], insulin glargine (lantus) 100 international units/mL injection, 3 mL prefilled pen, Insulin Pen Needle 4mm Needle [sc], insulin glargine (lantus) 100 international units/mL injection, 3 mL prefilled pen, Insulin Pen Needle 4mm Needle [sc],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Pen Needle 4mm Needle [sc], Insulin Pen Needle 4mm Needle [sc], Insulin Pen Needle 4mm Needle [sc], Insulin Pen Needle 4mm Needle [sc]</t>
  </si>
  <si>
    <t>ربى محمد مالك حمدان</t>
  </si>
  <si>
    <t>سلمي ذياب محمد الحازمي</t>
  </si>
  <si>
    <t>mometasone furoate, fusidic acid, metFORMIN hydrochloride</t>
  </si>
  <si>
    <t>mometasone furoate 0.1% (1 mg/g) cream, fusidic acid 2% (20 mg/g) cream, mometasone furoate 0.1% (1 mg/g) cream, fusidic acid 2% (20 mg/g) cream, mometasone furoate 0.1% (1 mg/g) cream, fusidic acid 2% (20 mg/g) cream, metFORMIN hydrochloride 500 mg tablet, metFORMIN hydrochloride 500 mg tablet, metFORMIN hydrochloride 500 mg tablet, metFORMIN hydrochloride 500 mg tablet, metFORMIN hydrochloride 500 mg tablet, metFORMIN hydrochloride 500 mg tablet, mometasone furoate 0.1% (1 mg/g) cream, mometasone furoate 0.1% (1 mg/g) cream, mometasone furoate 0.1% (1 mg/g) cream, fusidic acid 2% (20 mg/g) cream, fusidic acid 2% (20 mg/g) cream, fusidic acid 2% (20 mg/g) cream, mometasone furoate 0.1% (1 mg/g) cream, fusidic acid 2% (20 mg/g) cream, mometasone furoate 0.1% (1 mg/g) cream, fusidic acid 2% (20 mg/g) cream, mometasone furoate 0.1% (1 mg/g) cream, fusidic acid 2% (20 mg/g) cream, metFORMIN hydrochloride 500 mg tablet, metFORMIN hydrochloride 500 mg tablet, metFORMIN hydrochloride 500 mg tablet, metFORMIN hydrochloride 500 mg tablet, mometasone furoate 0.1% (1 mg/g) cream, metFORMIN hydrochloride 500 mg tablet, mometasone furoate 0.1% (1 mg/g) cream, metFORMIN hydrochloride 500 mg tablet, mometasone furoate 0.1% (1 mg/g) cream, fusidic acid 2% (20 mg/g) cream, fusidic acid 2% (20 mg/g) cream, fusidic acid 2% (20 mg/g) cream</t>
  </si>
  <si>
    <t>حاتم حميدي حمدان داود</t>
  </si>
  <si>
    <t>vitamin B complex (B, B, metFORMIN hydrochloride, clopidogrel, bisoprolol fumarate, rosuvastatin</t>
  </si>
  <si>
    <t>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metFORMIN hydrochloride 750 mg tablet: modified release, clopidogrel 75 mg tablet, metFORMIN hydrochloride 750 mg tablet: modified release, clopidogrel 75 mg tablet, metFORMIN hydrochloride 750 mg tablet: modified release, clopidogrel 75 mg tablet, metFORMIN hydrochloride 750 mg tablet: modified release, clopidogrel 75 mg tablet, metFORMIN hydrochloride 750 mg tablet: modified release, clopidogrel 75 mg tablet, bisoprolol fumarate 5 mg tablet, bisoprolol fumarate 5 mg tablet, bisoprolol fumarate 5 mg tablet, bisoprolol fumarate 5 mg tablet, bisoprolol fumarate 5 mg tablet, rosuvastatin 20 mg tablet, rosuvastatin 20 mg tablet, rosuvastatin 20 mg tablet, rosuvastatin 20 mg tablet, rosuvastatin 20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metFORMIN hydrochloride 750 mg tablet: modified release, metFORMIN hydrochloride 750 mg tablet: modified release, metFORMIN hydrochloride 750 mg tablet: modified release, metFORMIN hydrochloride 750 mg tablet: modified release, metFORMIN hydrochloride 750 mg tablet: modified release, bisoprolol fumarate 5 mg tablet, bisoprolol fumarate 5 mg tablet, bisoprolol fumarate 5 mg tablet, bisoprolol fumarate 5 mg tablet, bisoprolol fumarate 5 mg tablet, clopidogrel 75 mg tablet, rosuvastatin 20 mg tablet, clopidogrel 75 mg tablet, rosuvastatin 20 mg tablet, clopidogrel 75 mg tablet, rosuvastatin 20 mg tablet, clopidogrel 75 mg tablet, rosuvastatin 20 mg tablet, clopidogrel 75 mg tablet, rosuvastatin 20 mg tablet, bisoprolol fumarate 5 mg tablet, metFORMIN hydrochloride 750 mg tablet: modified release, bisoprolol fumarate 5 mg tablet, metFORMIN hydrochloride 750 mg tablet: modified release, bisoprolol fumarate 5 mg tablet, metFORMIN hydrochloride 750 mg tablet: modified release, bisoprolol fumarate 5 mg tablet, metFORMIN hydrochloride 750 mg tablet: modified release, bisoprolol fumarate 5 mg tablet, metFORMIN hydrochloride 750 mg tablet: modified release, rosuvastatin 20 mg tablet, clopidogrel 75 mg tablet, bisoprolol fumarate 5 mg tablet, metFORMIN hydrochloride 750 mg tablet: modified release, rosuvastatin 20 mg tablet, clopidogrel 75 mg tablet, bisoprolol fumarate 5 mg tablet, metFORMIN hydrochloride 750 mg tablet: modified release, rosuvastatin 20 mg tablet, clopidogrel 75 mg tablet, bisoprolol fumarate 5 mg tablet, metFORMIN hydrochloride 750 mg tablet: modified release, rosuvastatin 20 mg tablet, clopidogrel 75 mg tablet, bisoprolol fumarate 5 mg tablet, metFORMIN hydrochloride 750 mg tablet: modified release, rosuvastatin 20 mg tablet, clopidogrel 75 mg tablet, bisoprolol fumarate 5 mg tablet, metFORMIN hydrochloride 750 mg tablet: modified release,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t>
  </si>
  <si>
    <t>على احمد على بغدادي</t>
  </si>
  <si>
    <t>هارون يوسف اسماعيل فطاني</t>
  </si>
  <si>
    <t>amLODIPine, rosuvastatin</t>
  </si>
  <si>
    <t>amLODIPine 5 mg tablet, rosuvastatin 10 mg tablet, amLODIPine 5 mg tablet, rosuvastatin 10 mg tablet, amLODIPine 5 mg tablet, rosuvastatin 10 mg tablet, rosuvastatin 10 mg tablet, rosuvastatin 10 mg tablet, rosuvastatin 10 mg tablet, amLODIPine 5 mg tablet, amLODIPine 5 mg tablet, amLODIPine 5 mg tablet, amLODIPine 5 mg tablet, amLODIPine 5 mg tablet, amLODIPine 5 mg tablet, rosuvastatin 10 mg tablet, rosuvastatin 10 mg tablet, rosuvastatin 10 mg tablet, amLODIPine 5 mg tablet, amLODIPine 5 mg tablet, amLODIPine 5 mg tablet, rosuvastatin 10 mg tablet, rosuvastatin 10 mg tablet, rosuvastatin 10 mg tablet, amLODIPine 5 mg tablet, amLODIPine 5 mg tablet, amLODIPine 5 mg tablet, rosuvastatin 10 mg tablet, rosuvastatin 10 mg tablet, rosuvastatin 10 mg tablet, amLODIPine 5 mg tablet, amLODIPine 5 mg tablet, amLODIPine 5 mg tablet, rosuvastatin 10 mg tablet, rosuvastatin 10 mg tablet, rosuvastatin 10 mg tablet</t>
  </si>
  <si>
    <t>ناصر يعن الله سعد الغامدي</t>
  </si>
  <si>
    <t>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t>
  </si>
  <si>
    <t>صابر أمين احمد جمبي</t>
  </si>
  <si>
    <t>metFORMIN hydrochloride, empagliflozin, linagliptin</t>
  </si>
  <si>
    <t>metFORMIN hydrochloride 750 mg tablet: modified release, metFORMIN hydrochloride 750 mg tablet: modified release, metFORMIN hydrochloride 750 mg tablet: modified release, empagliflozin 10 mg tablet, empagliflozin 10 mg tablet, empagliflozin 10 mg tablet, linagliptin 5 mg tablet, linagliptin 5 mg tablet, linagliptin 5 mg tablet, empagliflozin 10 mg tablet, metFORMIN hydrochloride 750 mg tablet: modified release, empagliflozin 10 mg tablet, metFORMIN hydrochloride 750 mg tablet: modified release, empagliflozin 10 mg tablet, metFORMIN hydrochloride 750 mg tablet: modified release, linagliptin 5 mg tablet, linagliptin 5 mg tablet, linagliptin 5 mg tablet</t>
  </si>
  <si>
    <t>علي حسن سالم العروي</t>
  </si>
  <si>
    <t>empagliflozin, SITagliptin, atorvastatin, metFORMIN hydrochloride</t>
  </si>
  <si>
    <t>empagliflozin 25 mg tablet, SITagliptin 100 mg tablet, atorvastatin 20 mg tablet, empagliflozin 25 mg tablet, SITagliptin 100 mg tablet, atorvastatin 20 mg tablet, empagliflozin 25 mg tablet, SITagliptin 100 mg tablet, atorvastatin 20 mg tablet, empagliflozin 25 mg tablet, SITagliptin 100 mg tablet, atorvastatin 20 mg tablet, empagliflozin 25 mg tablet, SITagliptin 100 mg tablet, atorvastatin 20 mg tablet, empagliflozin 25 mg tablet, SITagliptin 100 mg tablet, atorvastatin 20 mg tablet, metFORMIN hydrochloride 500 mg tablet, metFORMIN hydrochloride 500 mg tablet, metFORMIN hydrochloride 500 mg tablet, metFORMIN hydrochloride 500 mg tablet, metFORMIN hydrochloride 500 mg tablet, metFORMIN hydrochloride 500 mg tablet, atorvastatin 20 mg tablet, atorvastatin 20 mg tablet, atorvastatin 20 mg tablet, atorvastatin 20 mg tablet, atorvastatin 20 mg tablet, atorvastatin 20 mg tablet, SITagliptin 100 mg tablet, empagliflozin 25 mg tablet, SITagliptin 100 mg tablet, empagliflozin 25 mg tablet, SITagliptin 100 mg tablet, empagliflozin 25 mg tablet, SITagliptin 100 mg tablet, empagliflozin 25 mg tablet, SITagliptin 100 mg tablet, empagliflozin 25 mg tablet, SITagliptin 100 mg tablet, empagliflozin 25 mg tablet, metFORMIN hydrochloride 500 mg tablet, metFORMIN hydrochloride 500 mg tablet, metFORMIN hydrochloride 500 mg tablet, metFORMIN hydrochloride 500 mg tablet, metFORMIN hydrochloride 500 mg tablet, metFORMIN hydrochloride 500 mg tablet, SITagliptin 100 mg tablet, atorvastatin 20 mg tablet, metFORMIN hydrochloride 500 mg tablet, SITagliptin 100 mg tablet, atorvastatin 20 mg tablet, metFORMIN hydrochloride 500 mg tablet, SITagliptin 100 mg tablet, atorvastatin 20 mg tablet, metFORMIN hydrochloride 500 mg tablet, SITagliptin 100 mg tablet, atorvastatin 20 mg tablet, metFORMIN hydrochloride 500 mg tablet, SITagliptin 100 mg tablet, atorvastatin 20 mg tablet, metFORMIN hydrochloride 500 mg tablet, SITagliptin 100 mg tablet, atorvastatin 20 mg tablet, metFORMIN hydrochloride 500 mg tablet, empagliflozin 25 mg tablet, empagliflozin 25 mg tablet, empagliflozin 25 mg tablet, empagliflozin 25 mg tablet, empagliflozin 25 mg tablet, empagliflozin 25 mg tablet, SITagliptin 100 mg tablet, SITagliptin 100 mg tablet, SITagliptin 100 mg tablet, SITagliptin 100 mg tablet, SITagliptin 100 mg tablet, SITagliptin 100 mg tablet, atorvastatin 20 mg tablet, atorvastatin 20 mg tablet, atorvastatin 20 mg tablet, atorvastatin 20 mg tablet, atorvastatin 20 mg tablet, atorvastatin 20 mg tablet, metFORMIN hydrochloride 500 mg tablet, metFORMIN hydrochloride 500 mg tablet, metFORMIN hydrochloride 500 mg tablet, metFORMIN hydrochloride 500 mg tablet, metFORMIN hydrochloride 500 mg tablet, metFORMIN hydrochloride 500 mg tablet, empagliflozin 25 mg tablet, empagliflozin 25 mg tablet, empagliflozin 25 mg tablet, empagliflozin 25 mg tablet, empagliflozin 25 mg tablet, empagliflozin 25 mg tablet, SITagliptin 100 mg tablet, empagliflozin 25 mg tablet, SITagliptin 100 mg tablet, empagliflozin 25 mg tablet, SITagliptin 100 mg tablet, empagliflozin 25 mg tablet, SITagliptin 100 mg tablet, empagliflozin 25 mg tablet, SITagliptin 100 mg tablet, empagliflozin 25 mg tablet, SITagliptin 100 mg tablet, empagliflozin 25 mg tablet, atorvastatin 20 mg tablet, atorvastatin 20 mg tablet, atorvastatin 20 mg tablet, atorvastatin 20 mg tablet, atorvastatin 20 mg tablet, atorvastatin 20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SITagliptin 100 mg tablet, SITagliptin 100 mg tablet, SITagliptin 100 mg tablet, SITagliptin 100 mg tablet, SITagliptin 100 mg tablet, SITagliptin 100 mg tablet, empagliflozin 25 mg tablet, empagliflozin 25 mg tablet, empagliflozin 25 mg tablet, empagliflozin 25 mg tablet, empagliflozin 25 mg tablet, empagliflozin 25 mg tablet, atorvastatin 20 mg tablet, atorvastatin 20 mg tablet, atorvastatin 20 mg tablet, atorvastatin 20 mg tablet, atorvastatin 20 mg tablet, atorvastatin 20 mg tablet, SITagliptin 100 mg tablet, empagliflozin 25 mg tablet, SITagliptin 100 mg tablet, empagliflozin 25 mg tablet, SITagliptin 100 mg tablet, empagliflozin 25 mg tablet, SITagliptin 100 mg tablet, empagliflozin 25 mg tablet, SITagliptin 100 mg tablet, empagliflozin 25 mg tablet, SITagliptin 100 mg tablet, empagliflozin 25 mg tablet, atorvastatin 20 mg tablet, metFORMIN hydrochloride 500 mg tablet, atorvastatin 20 mg tablet, metFORMIN hydrochloride 500 mg tablet, atorvastatin 20 mg tablet, metFORMIN hydrochloride 500 mg tablet, atorvastatin 20 mg tablet, metFORMIN hydrochloride 500 mg tablet, atorvastatin 20 mg tablet, metFORMIN hydrochloride 500 mg tablet, atorvastatin 20 mg tablet, metFORMIN hydrochloride 500 mg tablet</t>
  </si>
  <si>
    <t>منصور حمدان سمران المطيري</t>
  </si>
  <si>
    <t>Strips (Accu-Check) 1 box Strip [n/a], Strips (Accu-Check) 1 box Strip [n/a], Strips (Accu-Check) 1 box Strip [n/a], Strips (Accu-Check) 1 box Strip [n/a], Strips (Accu-Check) 1 box Strip [n/a], Strips (Accu-Check) 1 box Strip [n/a], Strips (Accu-Check) 1 box Strip [n/a], Strips (Accu-Check) 1 box Strip [n/a]</t>
  </si>
  <si>
    <t>احمد عارف احمد الغامدي</t>
  </si>
  <si>
    <t>paraffin soft white ointment, tube, allopurinol, vitamin B complex (B, B, atorvastatin</t>
  </si>
  <si>
    <t>paraffin soft white ointment, tube, allopurinol 100 mg tablet, paraffin soft white ointment, tube, allopurinol 100 mg tablet, paraffin soft white ointment, tube, allopurinol 100 mg tablet, paraffin soft white ointment, tube, allopurinol 100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atorvastatin 20 mg tablet, atorvastatin 20 mg tablet, atorvastatin 20 mg tablet, atorvastatin 20 mg tablet, vitamin B complex (B1,B6,B12) 100,200,0.2 mg Film coated tablets [oral], paraffin soft white ointment, tube, allopurinol 100 mg tablet, vitamin B complex (B1,B6,B12) 100,200,0.2 mg Film coated tablets [oral], paraffin soft white ointment, tube, allopurinol 100 mg tablet, vitamin B complex (B1,B6,B12) 100,200,0.2 mg Film coated tablets [oral], paraffin soft white ointment, tube, allopurinol 100 mg tablet, vitamin B complex (B1,B6,B12) 100,200,0.2 mg Film coated tablets [oral], paraffin soft white ointment, tube, allopurinol 100 mg tablet</t>
  </si>
  <si>
    <t>عوض احمد عوض المالكي</t>
  </si>
  <si>
    <t>mebeverine hydrochloride, valsartan, budesonide</t>
  </si>
  <si>
    <t>mebeverine hydrochloride 200 mg capsule: modified release, valsartan 80 mg tablet, mebeverine hydrochloride 200 mg capsule: modified release, valsartan 80 mg tablet, mebeverine hydrochloride 200 mg capsule: modified release, valsartan 80 mg tablet, mebeverine hydrochloride 200 mg capsule: modified release, valsartan 80 mg tablet, valsartan 80 mg tablet, valsartan 80 mg tablet, valsartan 80 mg tablet, valsartan 80 mg tablet, budesonide 160 microgram/actuation + formoterol fumarate dihydrate 4.5 microgram/actuation inhalation: powder for, mebeverine hydrochloride 200 mg capsule: modified release, budesonide 160 microgram/actuation + formoterol fumarate dihydrate 4.5 microgram/actuation inhalation: powder for, mebeverine hydrochloride 200 mg capsule: modified release, budesonide 160 microgram/actuation + formoterol fumarate dihydrate 4.5 microgram/actuation inhalation: powder for, mebeverine hydrochloride 200 mg capsule: modified release, budesonide 160 microgram/actuation + formoterol fumarate dihydrate 4.5 microgram/actuation inhalation: powder for, mebeverine hydrochloride 200 mg capsule: modified release, valsartan 80 mg tablet, valsartan 80 mg tablet, valsartan 80 mg tablet, valsartan 80 mg tablet, mebeverine hydrochloride 200 mg capsule: modified release, budesonide 160 microgram/actuation + formoterol fumarate dihydrate 4.5 microgram/actuation inhalation: powder for, mebeverine hydrochloride 200 mg capsule: modified release, budesonide 160 microgram/actuation + formoterol fumarate dihydrate 4.5 microgram/actuation inhalation: powder for, mebeverine hydrochloride 200 mg capsule: modified release, budesonide 160 microgram/actuation + formoterol fumarate dihydrate 4.5 microgram/actuation inhalation: powder for, mebeverine hydrochloride 200 mg capsule: modified release,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valsartan 80 mg tablet, valsartan 80 mg tablet, valsartan 80 mg tablet, valsartan 80 mg tablet, mebeverine hydrochloride 200 mg capsule: modified release, mebeverine hydrochloride 200 mg capsule: modified release, mebeverine hydrochloride 200 mg capsule: modified release, mebeverine hydrochloride 200 mg capsule: modified release</t>
  </si>
  <si>
    <t>عبدالمحسن بادي خضر المالكي</t>
  </si>
  <si>
    <t>Glucometer Device (Accu-Chek), Strips (Accu-Check), Lancets (Accu-Check), Insulin Pen Needle</t>
  </si>
  <si>
    <t>Glucometer Device (Accu-Chek) 1 device Device [n/a], Strips (Accu-Check) 1 box Strip [n/a], Glucometer Device (Accu-Chek) 1 device Device [n/a], Strips (Accu-Check) 1 box Strip [n/a], Glucometer Device (Accu-Chek) 1 device Device [n/a], Strips (Accu-Check) 1 box Strip [n/a], Glucometer Device (Accu-Chek) 1 device Device [n/a], Strips (Accu-Check) 1 box Strip [n/a], Glucometer Device (Accu-Chek) 1 device Device [n/a], Strips (Accu-Check) 1 box Strip [n/a], Glucometer Device (Accu-Chek) 1 device Device [n/a], Strips (Accu-Check) 1 box Strip [n/a], Strips (Accu-Check) 1 box Strip [n/a], Lancets (Accu-Check) 1 box Lancets [n/a], Glucometer Device (Accu-Chek) 1 device Device [n/a], Insulin Pen Needle 4mm Needle [sc], Strips (Accu-Check) 1 box Strip [n/a], Lancets (Accu-Check) 1 box Lancets [n/a], Glucometer Device (Accu-Chek) 1 device Device [n/a], Insulin Pen Needle 4mm Needle [sc], Strips (Accu-Check) 1 box Strip [n/a], Lancets (Accu-Check) 1 box Lancets [n/a], Glucometer Device (Accu-Chek) 1 device Device [n/a], Insulin Pen Needle 4mm Needle [sc], Strips (Accu-Check) 1 box Strip [n/a], Lancets (Accu-Check) 1 box Lancets [n/a], Glucometer Device (Accu-Chek) 1 device Device [n/a], Insulin Pen Needle 4mm Needle [sc], Strips (Accu-Check) 1 box Strip [n/a], Lancets (Accu-Check) 1 box Lancets [n/a], Glucometer Device (Accu-Chek) 1 device Device [n/a], Insulin Pen Needle 4mm Needle [sc], Strips (Accu-Check) 1 box Strip [n/a], Lancets (Accu-Check) 1 box Lancets [n/a], Glucometer Device (Accu-Chek) 1 device Device [n/a], Insulin Pen Needle 4mm Needle [sc], Strips (Accu-Check) 1 box Strip [n/a], Strips (Accu-Check) 1 box Strip [n/a], Strips (Accu-Check) 1 box Strip [n/a], Strips (Accu-Check) 1 box Strip [n/a], Strips (Accu-Check) 1 box Strip [n/a], Strips (Accu-Check) 1 box Strip [n/a], Lancets (Accu-Check) 1 box Lancets [n/a], Lancets (Accu-Check) 1 box Lancets [n/a], Lancets (Accu-Check) 1 box Lancets [n/a], Lancets (Accu-Check) 1 box Lancets [n/a], Lancets (Accu-Check) 1 box Lancets [n/a], Lancets (Accu-Check) 1 box Lancets [n/a], Insulin Pen Needle 4mm Needle [sc], Insulin Pen Needle 4mm Needle [sc], Insulin Pen Needle 4mm Needle [sc], Insulin Pen Needle 4mm Needle [sc], Insulin Pen Needle 4mm Needle [sc], Insulin Pen Needle 4mm Needle [sc], Glucometer Device (Accu-Chek) 1 device Device [n/a], Glucometer Device (Accu-Chek) 1 device Device [n/a], Glucometer Device (Accu-Chek) 1 device Device [n/a], Glucometer Device (Accu-Chek) 1 device Device [n/a], Glucometer Device (Accu-Chek) 1 device Device [n/a], Glucometer Device (Accu-Chek) 1 device Device [n/a]</t>
  </si>
  <si>
    <t>بدريه ابراهيم محمد عناني</t>
  </si>
  <si>
    <t>sodium chloride</t>
  </si>
  <si>
    <t>sodium chloride 0.9% (9 mg/mL) nasal spray, sodium chloride 0.9% (9 mg/mL) nasal spray, sodium chloride 0.9% (9 mg/mL) nasal spray, sodium chloride 0.9% (9 mg/mL) nasal spray, sodium chloride 0.9% (9 mg/mL) nasal spray, sodium chloride 0.9% (9 mg/mL) nasal spray</t>
  </si>
  <si>
    <t>محمد سعد صالح الزهراني</t>
  </si>
  <si>
    <t>محمد عبدالله عثمان الشهري</t>
  </si>
  <si>
    <t>clotrimazole 1% (10 mg/g) ear drops, clotrimazole 1% (10 mg/g) ear drops, clotrimazole 1% (10 mg/g) ear drops, clotrimazole 1% (10 mg/g) ear drops, clotrimazole 1% (10 mg/g) ear drops, clotrimazole 1% (10 mg/g) ear drops, clotrimazole 1% (10 mg/g) ear drops, clotrimazole 1% (10 mg/g) ear drops, clotrimazole 1% (10 mg/g) ear drops, clotrimazole 1% (10 mg/g) ear drops, clotrimazole 1% (10 mg/g) ear drops, clotrimazole 1% (10 mg/g) ear drops, clotrimazole 1% (10 mg/g) ear drops, clotrimazole 1% (10 mg/g) ear drops, clotrimazole 1% (10 mg/g) ear drops, clotrimazole 1% (10 mg/g) ear drops, clotrimazole 1% (10 mg/g) ear drops, clotrimazole 1% (10 mg/g) ear drops, clotrimazole 1% (10 mg/g) ear drops, clotrimazole 1% (10 mg/g) ear drops, clotrimazole 1% (10 mg/g) ear drops, clotrimazole 1% (10 mg/g) ear drops, clotrimazole 1% (10 mg/g) ear drops, clotrimazole 1% (10 mg/g) ear drops, clotrimazole 1% (10 mg/g) ear drops, clotrimazole 1% (10 mg/g) ear drops, clotrimazole 1% (10 mg/g) ear drops, clotrimazole 1% (10 mg/g) ear drops, clotrimazole 1% (10 mg/g) ear drops, clotrimazole 1% (10 mg/g) ear drops</t>
  </si>
  <si>
    <t>نبيل حسين على الرميحى</t>
  </si>
  <si>
    <t>empagliflozin, cetirizine hydrochloride, lactulose, Strips (Accu-Check), insulin aspart, insulin glargine (lantus), omeprazole, paraffin soft white ointment, tube, levothyroxine sodium</t>
  </si>
  <si>
    <t>empagliflozin 25 mg tablet, empagliflozin 25 mg tablet, empagliflozin 25 mg tablet, empagliflozin 25 mg tablet, cetirizine hydrochloride 10 mg tablet, empagliflozin 25 mg tablet, cetirizine hydrochloride 10 mg tablet, empagliflozin 25 mg tablet, cetirizine hydrochloride 10 mg tablet, lactulose 3.35 g/5 mL oral liquid, Strips (Accu-Check) 1 box Strip [n/a], insulin aspart 100 international units/mL injection, 3 mL prefilled pen, insulin glargine (lantus) 100 international units/mL injection, 3 mL prefilled pen, omeprazole 20 mg tablet: enteric coated, paraffin soft white ointment, tube, lactulose 3.35 g/5 mL oral liquid, Strips (Accu-Check) 1 box Strip [n/a], insulin aspart 100 international units/mL injection, 3 mL prefilled pen, insulin glargine (lantus) 100 international units/mL injection, 3 mL prefilled pen, omeprazole 20 mg tablet: enteric coated, paraffin soft white ointment, tube, lactulose 3.35 g/5 mL oral liquid, Strips (Accu-Check) 1 box Strip [n/a], insulin aspart 100 international units/mL injection, 3 mL prefilled pen, insulin glargine (lantus) 100 international units/mL injection, 3 mL prefilled pen, omeprazole 20 mg tablet: enteric coated, paraffin soft white ointment, tube, levothyroxine sodium 50 microgram tablet, levothyroxine sodium 25 microgram tablet, levothyroxine sodium 50 microgram tablet, levothyroxine sodium 25 microgram tablet, levothyroxine sodium 50 microgram tablet, levothyroxine sodium 25 microgram tablet, Insulin Pen Needle 4mm Needle [sc], Insulin Pen Needle 4mm Needle [sc], Insulin Pen Needle 4mm Needle [sc], levothyroxine sodium 25 microgram tablet, rosuvastatin 20 mg tablet, levothyroxine sodium 25 microgram tablet, rosuvastatin 20 mg tablet, levothyroxine sodium 25 microgram tablet, rosuvastatin 20 mg tablet, insulin glargine (lantus) 100 international units/mL injection, 3 mL prefilled pen, omeprazole 20 mg tablet: enteric coated, paraffin soft white ointment, tube, insulin aspart 100 international units/mL injection, 3 mL prefilled pen, insulin glargine (lantus) 100 international units/mL injection, 3 mL prefilled pen, omeprazole 20 mg tablet: enteric coated, paraffin soft white ointment, tube, insulin aspart 100 international units/mL injection, 3 mL prefilled pen, insulin glargine (lantus) 100 international units/mL injection, 3 mL prefilled pen, omeprazole 20 mg tablet: enteric coated, paraffin soft white ointment, tube, insulin aspart 100 international units/mL injection, 3 mL prefilled pen, lactulose 3.35 g/5 mL oral liquid, metFORMIN hydrochloride 750 mg tablet: modified release, empagliflozin 25 mg tablet, lactulose 3.35 g/5 mL oral liquid, metFORMIN hydrochloride 750 mg tablet: modified release, empagliflozin 25 mg tablet, lactulose 3.35 g/5 mL oral liquid, metFORMIN hydrochloride 750 mg tablet: modified release, empagliflozin 25 mg tablet, Insulin Pen Needle 4mm Needle [sc], cetirizine hydrochloride 10 mg tablet, Strips (Accu-Check) 1 box Strip [n/a], levothyroxine sodium 50 microgram tablet, Insulin Pen Needle 4mm Needle [sc], cetirizine hydrochloride 10 mg tablet, Strips (Accu-Check) 1 box Strip [n/a], levothyroxine sodium 50 microgram tablet, Insulin Pen Needle 4mm Needle [sc], cetirizine hydrochloride 10 mg tablet, Strips (Accu-Check) 1 box Strip [n/a], levothyroxine sodium 50 microgram tablet, metFORMIN hydrochloride 750 mg tablet: modified release, cetirizine hydrochloride 10 mg tablet, lactulose 3.35 g/5 mL oral liquid, rosuvastatin 20 mg tablet, metFORMIN hydrochloride 750 mg tablet: modified release, cetirizine hydrochloride 10 mg tablet, lactulose 3.35 g/5 mL oral liquid, rosuvastatin 20 mg tablet, metFORMIN hydrochloride 750 mg tablet: modified release, cetirizine hydrochloride 10 mg tablet, lactulose 3.35 g/5 mL oral liquid, rosuvastatin 20 mg tablet, Strips (Accu-Check) 1 box Strip [n/a], insulin aspart 100 international units/mL injection, 3 mL prefilled pen, paraffin soft white ointment, tube, Strips (Accu-Check) 1 box Strip [n/a], insulin aspart 100 international units/mL injection, 3 mL prefilled pen, paraffin soft white ointment, tube, Strips (Accu-Check) 1 box Strip [n/a], insulin aspart 100 international units/mL injection, 3 mL prefilled pen, paraffin soft white ointment, tube, levothyroxine sodium 25 microgram tablet, levothyroxine sodium 50 microgram tablet, omeprazole 20 mg tablet: enteric coated, insulin glargine (lantus) 100 international units/mL injection, 3 mL prefilled pen, Insulin Pen Needle 4mm Needle [sc], levothyroxine sodium 25 microgram tablet, levothyroxine sodium 50 microgram tablet, omeprazole 20 mg tablet: enteric coated, insulin glargine (lantus) 100 international units/mL injection, 3 mL prefilled pen, Insulin Pen Needle 4mm Needle [sc], levothyroxine sodium 25 microgram tablet, levothyroxine sodium 50 microgram tablet, omeprazole 20 mg tablet: enteric coated, insulin glargine (lantus) 100 international units/mL injection, 3 mL prefilled pen, Insulin Pen Needle 4mm Needle [sc], omeprazole 20 mg tablet: enteric coated, empagliflozin 25 mg tablet, levothyroxine sodium 25 microgram tablet, omeprazole 20 mg tablet: enteric coated, empagliflozin 25 mg tablet, levothyroxine sodium 25 microgram tablet, omeprazole 20 mg tablet: enteric coated, empagliflozin 25 mg tablet, levothyroxine sodium 25 microgram tablet, metFORMIN hydrochloride 750 mg tablet: modified release, Insulin Pen Needle 4mm Needle [sc], metFORMIN hydrochloride 750 mg tablet: modified release, Insulin Pen Needle 4mm Needle [sc], metFORMIN hydrochloride 750 mg tablet: modified release, Insulin Pen Needle 4mm Needle [sc], cetirizine hydrochloride 10 mg tablet, lactulose 3.35 g/5 mL oral liquid, Strips (Accu-Check) 1 box Strip [n/a], paraffin soft white ointment, tube, cetirizine hydrochloride 10 mg tablet, lactulose 3.35 g/5 mL oral liquid, Strips (Accu-Check) 1 box Strip [n/a], paraffin soft white ointment, tube, cetirizine hydrochloride 10 mg tablet, lactulose 3.35 g/5 mL oral liquid, Strips (Accu-Check) 1 box Strip [n/a], paraffin soft white ointment, tube, insulin glargine (lantus) 100 international units/mL injection, 3 mL prefilled pen, levothyroxine sodium 50 microgram tablet, rosuvastatin 20 mg tablet, insulin aspart 100 international units/mL injection, 3 mL prefilled pen, insulin glargine (lantus) 100 international units/mL injection, 3 mL prefilled pen, levothyroxine sodium 50 microgram tablet, rosuvastatin 20 mg tablet, insulin aspart 100 international units/mL injection, 3 mL prefilled pen, insulin glargine (lantus) 100 international units/mL injection, 3 mL prefilled pen, levothyroxine sodium 50 microgram tablet, rosuvastatin 20 mg tablet, insulin aspart 100 international units/mL injection, 3 mL prefilled pen, insulin aspart 100 international units/mL injection, 3 mL prefilled pen, omeprazole 20 mg tablet: enteric coated, levothyroxine sodium 50 microgram tablet, levothyroxine sodium 25 microgram tablet, insulin aspart 100 international units/mL injection, 3 mL prefilled pen, omeprazole 20 mg tablet: enteric coated, levothyroxine sodium 50 microgram tablet, levothyroxine sodium 25 microgram tablet, insulin aspart 100 international units/mL injection, 3 mL prefilled pen, omeprazole 20 mg tablet: enteric coated, levothyroxine sodium 50 microgram tablet, levothyroxine sodium 25 microgram tablet, Insulin Pen Needle 4mm Needle [sc], Insulin Pen Needle 4mm Needle [sc], Insulin Pen Needle 4mm Needle [sc]</t>
  </si>
  <si>
    <t>صالح جابر نكري السلمي</t>
  </si>
  <si>
    <t>metFORMIN hydrochloride, atorvastatin, tamsulosin hydrochloride</t>
  </si>
  <si>
    <t>metFORMIN hydrochloride 500 mg tablet, atorvastatin 10 mg tablet, metFORMIN hydrochloride 500 mg tablet, atorvastatin 10 mg tablet, metFORMIN hydrochloride 500 mg tablet, atorvastatin 10 mg tablet, metFORMIN hydrochloride 500 mg tablet, atorvastatin 10 mg tablet, metFORMIN hydrochloride 500 mg tablet, atorvastatin 10 mg tablet, tamsulosin hydrochloride 400 microgram tablet: modified release, tamsulosin hydrochloride 400 microgram tablet: modified release, tamsulosin hydrochloride 400 microgram tablet: modified release, tamsulosin hydrochloride 400 microgram tablet: modified release, tamsulosin hydrochloride 400 microgram tablet: modified release, metFORMIN hydrochloride 500 mg tablet, metFORMIN hydrochloride 500 mg tablet, metFORMIN hydrochloride 500 mg tablet, metFORMIN hydrochloride 500 mg tablet, metFORMIN hydrochloride 500 mg tablet, atorvastatin 10 mg tablet, atorvastatin 10 mg tablet, atorvastatin 10 mg tablet, atorvastatin 10 mg tablet, atorvastatin 10 mg tablet, metFORMIN hydrochloride 500 mg tablet, metFORMIN hydrochloride 500 mg tablet, metFORMIN hydrochloride 500 mg tablet, metFORMIN hydrochloride 500 mg tablet, metFORMIN hydrochloride 500 mg tablet, atorvastatin 10 mg tablet, atorvastatin 10 mg tablet, atorvastatin 10 mg tablet, atorvastatin 10 mg tablet, atorvastatin 10 mg tablet, tamsulosin hydrochloride 400 microgram tablet: modified release, tamsulosin hydrochloride 400 microgram tablet: modified release, tamsulosin hydrochloride 400 microgram tablet: modified release, tamsulosin hydrochloride 400 microgram tablet: modified release, tamsulosin hydrochloride 400 microgram tablet: modified release, atorvastatin 10 mg tablet, atorvastatin 10 mg tablet, atorvastatin 10 mg tablet, atorvastatin 10 mg tablet, atorvastatin 10 mg tablet, metFORMIN hydrochloride 500 mg tablet, metFORMIN hydrochloride 500 mg tablet, metFORMIN hydrochloride 500 mg tablet, metFORMIN hydrochloride 500 mg tablet, metFORMIN hydrochloride 500 mg tablet, tamsulosin hydrochloride 400 microgram tablet: modified release, tamsulosin hydrochloride 400 microgram tablet: modified release, tamsulosin hydrochloride 400 microgram tablet: modified release, tamsulosin hydrochloride 400 microgram tablet: modified release, tamsulosin hydrochloride 400 microgram tablet: modified release, tamsulosin hydrochloride 400 microgram tablet: modified release, tamsulosin hydrochloride 400 microgram tablet: modified release, tamsulosin hydrochloride 400 microgram tablet: modified release, tamsulosin hydrochloride 400 microgram tablet: modified release, tamsulosin hydrochloride 400 microgram tablet: modified release, metFORMIN hydrochloride 500 mg tablet, metFORMIN hydrochloride 500 mg tablet, metFORMIN hydrochloride 500 mg tablet, metFORMIN hydrochloride 500 mg tablet, metFORMIN hydrochloride 500 mg tablet, atorvastatin 10 mg tablet, atorvastatin 10 mg tablet, atorvastatin 10 mg tablet, atorvastatin 10 mg tablet, atorvastatin 10 mg tablet</t>
  </si>
  <si>
    <t>شموخ خليل علي الشيخي</t>
  </si>
  <si>
    <t>perindopril arginine, metFORMIN hydrochloride, amLODIPine, colecalciferol, rosuvastatin, vitamins (A, B, C, D</t>
  </si>
  <si>
    <t>perindopril arginine 5 mg tablet, perindopril arginine 5 mg tablet, perindopril arginine 5 mg tablet, perindopril arginine 5 mg tablet, metFORMIN hydrochloride 500 mg tablet, metFORMIN hydrochloride 500 mg tablet, metFORMIN hydrochloride 500 mg tablet, metFORMIN hydrochloride 500 mg tablet, amLODIPine 5 mg tablet, colecalciferol 50 000 international units tablet, rosuvastatin 20 mg tablet, vitamins (A, B1, B2, B3, C, D3) tablet, amLODIPine 5 mg tablet, colecalciferol 50 000 international units tablet, rosuvastatin 20 mg tablet, vitamins (A, B1, B2, B3, C, D3) tablet, amLODIPine 5 mg tablet, colecalciferol 50 000 international units tablet, rosuvastatin 20 mg tablet, vitamins (A, B1, B2, B3, C, D3) tablet, amLODIPine 5 mg tablet, colecalciferol 50 000 international units tablet, rosuvastatin 20 mg tablet, vitamins (A, B1, B2, B3, C, D3) tablet, colecalciferol 50 000 international units tablet, vitamins (A, B1, B2, B3, C, D3) tablet, colecalciferol 50 000 international units tablet, vitamins (A, B1, B2, B3, C, D3) tablet, colecalciferol 50 000 international units tablet, vitamins (A, B1, B2, B3, C, D3) tablet, colecalciferol 50 000 international units tablet, vitamins (A, B1, B2, B3, C, D3) tablet, perindopril arginine 5 mg tablet, perindopril arginine 5 mg tablet, perindopril arginine 5 mg tablet, perindopril arginine 5 mg tablet, amLODIPine 5 mg tablet, rosuvastatin 20 mg tablet, metFORMIN hydrochloride 500 mg tablet, amLODIPine 5 mg tablet, rosuvastatin 20 mg tablet, metFORMIN hydrochloride 500 mg tablet, amLODIPine 5 mg tablet, rosuvastatin 20 mg tablet, metFORMIN hydrochloride 500 mg tablet, amLODIPine 5 mg tablet, rosuvastatin 20 mg tablet, metFORMIN hydrochloride 500 mg tablet, rosuvastatin 20 mg tablet, rosuvastatin 20 mg tablet, rosuvastatin 20 mg tablet, rosuvastatin 20 mg tablet, perindopril arginine 5 mg tablet, vitamins (A, B1, B2, B3, C, D3) tablet, colecalciferol 50 000 international units tablet, perindopril arginine 5 mg tablet, vitamins (A, B1, B2, B3, C, D3) tablet, colecalciferol 50 000 international units tablet, perindopril arginine 5 mg tablet, vitamins (A, B1, B2, B3, C, D3) tablet, colecalciferol 50 000 international units tablet, perindopril arginine 5 mg tablet, vitamins (A, B1, B2, B3, C, D3) tablet, colecalciferol 50 000 international units tablet, amLODIPine 5 mg tablet, amLODIPine 5 mg tablet, amLODIPine 5 mg tablet, amLODIPine 5 mg tablet, metFORMIN hydrochloride 500 mg tablet, metFORMIN hydrochloride 500 mg tablet, metFORMIN hydrochloride 500 mg tablet, metFORMIN hydrochloride 500 mg tablet, vitamins (A, B1, B2, B3, C, D3) tablet, perindopril arginine 5 mg tablet, colecalciferol 50 000 international units tablet, vitamins (A, B1, B2, B3, C, D3) tablet, perindopril arginine 5 mg tablet, colecalciferol 50 000 international units tablet, vitamins (A, B1, B2, B3, C, D3) tablet, perindopril arginine 5 mg tablet, colecalciferol 50 000 international units tablet, vitamins (A, B1, B2, B3, C, D3) tablet, perindopril arginine 5 mg tablet, colecalciferol 50 000 international units tablet, amLODIPine 5 mg tablet, amLODIPine 5 mg tablet, amLODIPine 5 mg tablet, amLODIPine 5 mg tablet, perindopril arginine 5 mg tablet, perindopril arginine 5 mg tablet, perindopril arginine 5 mg tablet, perindopril arginine 5 mg tablet, rosuvastatin 20 mg tablet, vitamins (A, B1, B2, B3, C, D3) tablet, rosuvastatin 20 mg tablet, vitamins (A, B1, B2, B3, C, D3) tablet, rosuvastatin 20 mg tablet, vitamins (A, B1, B2, B3, C, D3) tablet, rosuvastatin 20 mg tablet, vitamins (A, B1, B2, B3, C, D3) tablet, amLODIPine 5 mg tablet, colecalciferol 50 000 international units tablet, amLODIPine 5 mg tablet, colecalciferol 50 000 international units tablet, amLODIPine 5 mg tablet, colecalciferol 50 000 international units tablet, amLODIPine 5 mg tablet, colecalciferol 50 000 international units tablet, metFORMIN hydrochloride 500 mg tablet, metFORMIN hydrochloride 500 mg tablet, metFORMIN hydrochloride 500 mg tablet, metFORMIN hydrochloride 500 mg tablet, perindopril arginine 5 mg tablet, perindopril arginine 5 mg tablet, perindopril arginine 5 mg tablet, perindopril arginine 5 mg tablet, vitamins (A, B1, B2, B3, C, D3) tablet, vitamins (A, B1, B2, B3, C, D3) tablet, vitamins (A, B1, B2, B3, C, D3) tablet, vitamins (A, B1, B2, B3, C, D3) tablet, rosuvastatin 20 mg tablet, rosuvastatin 20 mg tablet, rosuvastatin 20 mg tablet, rosuvastatin 20 mg tablet, amLODIPine 5 mg tablet, amLODIPine 5 mg tablet, amLODIPine 5 mg tablet, amLODIPine 5 mg tablet</t>
  </si>
  <si>
    <t>عبدالرحمن غرم الله حامد القرني</t>
  </si>
  <si>
    <t>valsartan, atorvastatin</t>
  </si>
  <si>
    <t>valsartan 80 mg tablet, valsartan 80 mg tablet, valsartan 80 mg tablet, valsartan 80 mg tablet, valsartan 80 mg tablet, valsartan 80 mg tablet, valsartan 80 mg tablet, valsartan 80 mg tablet, valsartan 80 mg tablet, valsartan 80 mg tablet, atorvastatin 20 mg tablet, atorvastatin 20 mg tablet, atorvastatin 20 mg tablet, atorvastatin 20 mg tablet, atorvastatin 20 mg tablet, valsartan 80 mg tablet, valsartan 80 mg tablet, valsartan 80 mg tablet, valsartan 80 mg tablet, valsartan 80 mg tablet, atorvastatin 20 mg tablet, atorvastatin 20 mg tablet, atorvastatin 20 mg tablet, atorvastatin 20 mg tablet, atorvastatin 20 mg tablet, valsartan 80 mg tablet, valsartan 80 mg tablet, valsartan 80 mg tablet, valsartan 80 mg tablet, valsartan 80 mg tablet, atorvastatin 20 mg tablet, atorvastatin 20 mg tablet, atorvastatin 20 mg tablet, atorvastatin 20 mg tablet, atorvastatin 20 mg tablet, valsartan 80 mg tablet, valsartan 80 mg tablet, valsartan 80 mg tablet, valsartan 80 mg tablet, valsartan 80 mg tablet</t>
  </si>
  <si>
    <t>خالد عازب عبدالرحمن المالكي</t>
  </si>
  <si>
    <t>atorvastatin 10 mg tablet, atorvastatin 10 mg tablet, atorvastatin 10 mg tablet, atorvastatin 10 mg tablet, atorvastatin 10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atorvastatin 10 mg tablet, atorvastatin 10 mg tablet, atorvastatin 10 mg tablet, atorvastatin 10 mg tablet, atorvastatin 10 mg tablet, metFORMIN hydrochloride 500 mg tablet, metFORMIN hydrochloride 500 mg tablet, metFORMIN hydrochloride 500 mg tablet, metFORMIN hydrochloride 500 mg tablet, metFORMIN hydrochloride 500 mg tablet, atorvastatin 10 mg tablet, atorvastatin 10 mg tablet, atorvastatin 10 mg tablet, atorvastatin 10 mg tablet, atorvastatin 10 mg tablet</t>
  </si>
  <si>
    <t>عزه علي عبدالرزاق الغامدي</t>
  </si>
  <si>
    <t>vitamin B complex (B, B, atorvastatin, indapamide, gliclazide, empagliflozin, metFORMIN hydrochloride, levothyroxine sodium, amLODIPine</t>
  </si>
  <si>
    <t>vitamin B complex (B1,B6,B12) 100,200,0.2 mg Film coated tablets [oral], atorvastatin 20 mg tablet, indapamide 1.5 mg tablet: modified release, vitamin B complex (B1,B6,B12) 100,200,0.2 mg Film coated tablets [oral], atorvastatin 20 mg tablet, indapamide 1.5 mg tablet: modified release, gliclazide 60 mg tablet: modified release, gliclazide 60 mg tablet: modified release, empagliflozin 10 mg tablet, metFORMIN hydrochloride 500 mg tablet, levothyroxine sodium 25 microgram tablet, levothyroxine sodium 100 microgram tablet, amLODIPine 5 mg tablet, empagliflozin 10 mg tablet, metFORMIN hydrochloride 500 mg tablet, levothyroxine sodium 25 microgram tablet, levothyroxine sodium 100 microgram tablet, amLODIPine 5 mg tablet, levothyroxine sodium 100 microgram tablet, atorvastatin 20 mg tablet, levothyroxine sodium 100 microgram tablet, atorvastatin 20 mg tablet, levothyroxine sodium 25 microgram tablet, gliclazide 60 mg tablet: modified release, amLODIPine 5 mg tablet, metFORMIN hydrochloride 500 mg tablet, levothyroxine sodium 25 microgram tablet, gliclazide 60 mg tablet: modified release, amLODIPine 5 mg tablet, metFORMIN hydrochloride 500 mg tablet, empagliflozin 10 mg tablet, indapamide 1.5 mg tablet: modified release, vitamin B complex (B1,B6,B12) 100,200,0.2 mg Film coated tablets [oral], empagliflozin 10 mg tablet, indapamide 1.5 mg tablet: modified release, vitamin B complex (B1,B6,B12) 100,200,0.2 mg Film coated tablets [oral]</t>
  </si>
  <si>
    <t>هيله حميد محمد الجدعاني</t>
  </si>
  <si>
    <t>norethisterone</t>
  </si>
  <si>
    <t>norethisterone 5 mg tablet, norethisterone 5 mg tablet, norethisterone 5 mg tablet, norethisterone 5 mg tablet, norethisterone 5 mg tablet, norethisterone 5 mg tablet</t>
  </si>
  <si>
    <t>هنادي سعود بن سعيد الحربي</t>
  </si>
  <si>
    <t>amLODIPine, valsartan, hydroCHLOROthiazide, SITagliptin, atorvastatin</t>
  </si>
  <si>
    <t>amLODIPine 5 mg tablet, amLODIPine 5 mg tablet, amLODIPine 5 mg tablet, valsartan 80 mg tablet, valsartan 80 mg tablet, valsartan 80 mg tablet, hydroCHLOROthiazide 25 mg tablet: scored, SITagliptin 100 mg tablet, atorvastatin 10 mg tablet, hydroCHLOROthiazide 25 mg tablet: scored, SITagliptin 100 mg tablet, atorvastatin 10 mg tablet, hydroCHLOROthiazide 25 mg tablet: scored, SITagliptin 100 mg tablet, atorvastatin 10 mg tablet, valsartan 80 mg tablet, amLODIPine 5 mg tablet, SITagliptin 100 mg tablet, valsartan 80 mg tablet, amLODIPine 5 mg tablet, SITagliptin 100 mg tablet, valsartan 80 mg tablet, amLODIPine 5 mg tablet, SITagliptin 100 mg tablet, atorvastatin 10 mg tablet, atorvastatin 10 mg tablet, atorvastatin 10 mg tablet, hydroCHLOROthiazide 25 mg tablet: scored, hydroCHLOROthiazide 25 mg tablet: scored, hydroCHLOROthiazide 25 mg tablet: scored, valsartan 80 mg tablet, amLODIPine 5 mg tablet, valsartan 80 mg tablet, amLODIPine 5 mg tablet, valsartan 80 mg tablet, amLODIPine 5 mg tablet, SITagliptin 100 mg tablet, hydroCHLOROthiazide 25 mg tablet: scored, SITagliptin 100 mg tablet, hydroCHLOROthiazide 25 mg tablet: scored, SITagliptin 100 mg tablet, hydroCHLOROthiazide 25 mg tablet: scored, atorvastatin 10 mg tablet, atorvastatin 10 mg tablet, atorvastatin 10 mg tablet</t>
  </si>
  <si>
    <t>ايمن حسن حسين الشريف</t>
  </si>
  <si>
    <t>omeprazole, domperidone</t>
  </si>
  <si>
    <t>omeprazole 20 mg tablet: enteric coated, omeprazole 20 mg tablet: enteric coated, domperidone 10 mg tablet, domperidone 10 mg tablet, omeprazole 20 mg tablet: enteric coated, omeprazole 20 mg tablet: enteric coated, domperidone 10 mg tablet, domperidone 10 mg tablet, omeprazole 20 mg tablet: enteric coated, omeprazole 20 mg tablet: enteric coated, omeprazole 20 mg tablet: enteric coated, domperidone 10 mg tablet, omeprazole 20 mg tablet: enteric coated, domperidone 10 mg tablet, omeprazole 20 mg tablet: enteric coated, omeprazole 20 mg tablet: enteric coated, domperidone 10 mg tablet, domperidone 10 mg tablet, omeprazole 20 mg tablet: enteric coated, omeprazole 20 mg tablet: enteric coated, domperidone 10 mg tablet, domperidone 10 mg tablet, omeprazole 20 mg tablet: enteric coated, omeprazole 20 mg tablet: enteric coated</t>
  </si>
  <si>
    <t>طلال محمدسعيد عثمان شحبر</t>
  </si>
  <si>
    <t>celecoxib, colecalciferol, vitamin B complex (B, B, levothyroxine sodium, ferrous sulfate, hydroCHLOROthiazide, Lancets (Accu-Check), valsartan, metFORMIN hydrochloride</t>
  </si>
  <si>
    <t>celecoxib 200 mg capsule, celecoxib 200 mg capsule, celecoxib 200 mg capsule, colecalciferol 50 000 international units tablet, vitamin B complex (B1,B6,B12) 100,200,0.2 mg Film coated tablets [oral], levothyroxine sodium 25 microgram tablet, colecalciferol 50 000 international units tablet, vitamin B complex (B1,B6,B12) 100,200,0.2 mg Film coated tablets [oral], levothyroxine sodium 25 microgram tablet, colecalciferol 50 000 international units tablet, vitamin B complex (B1,B6,B12) 100,200,0.2 mg Film coated tablets [oral], levothyroxine sodium 25 microgram tablet, levothyroxine sodium 50 microgram tablet, ferrous sulfate 150 mg + folic acid 500 microgram capsule: modified release, hydroCHLOROthiazide 25 mg tablet: scored, levothyroxine sodium 50 microgram tablet, ferrous sulfate 150 mg + folic acid 500 microgram capsule: modified release, hydroCHLOROthiazide 25 mg tablet: scored, levothyroxine sodium 50 microgram tablet, ferrous sulfate 150 mg + folic acid 500 microgram capsule: modified release, hydroCHLOROthiazide 25 mg tablet: scored, Lancets (Accu-Check) 1 box Lancets [n/a], valsartan 80 mg tablet, metFORMIN hydrochloride 750 mg tablet: modified release, Lancets (Accu-Check) 1 box Lancets [n/a], valsartan 80 mg tablet, metFORMIN hydrochloride 750 mg tablet: modified release, Lancets (Accu-Check) 1 box Lancets [n/a], valsartan 80 mg tablet, metFORMIN hydrochloride 750 mg tablet: modified release, Strips (Accu-Check) 1 box Strip [n/a], diclofenac sodium 1% (10 mg/g) gel, Strips (Accu-Check) 1 box Strip [n/a], diclofenac sodium 1% (10 mg/g) gel, Strips (Accu-Check) 1 box Strip [n/a], diclofenac sodium 1% (10 mg/g) gel, metFORMIN hydrochloride 750 mg tablet: modified release, celecoxib 200 mg capsule, valsartan 80 mg tablet, ferrous sulfate 150 mg + folic acid 500 microgram capsule: modified release, Lancets (Accu-Check) 1 box Lancets [n/a], colecalciferol 50 000 international units tablet, metFORMIN hydrochloride 750 mg tablet: modified release, celecoxib 200 mg capsule, valsartan 80 mg tablet, ferrous sulfate 150 mg + folic acid 500 microgram capsule: modified release, Lancets (Accu-Check) 1 box Lancets [n/a], colecalciferol 50 000 international units tablet, metFORMIN hydrochloride 750 mg tablet: modified release, celecoxib 200 mg capsule, valsartan 80 mg tablet, ferrous sulfate 150 mg + folic acid 500 microgram capsule: modified release, Lancets (Accu-Check) 1 box Lancets [n/a], colecalciferol 50 000 international units tablet, levothyroxine sodium 50 microgram tablet, Strips (Accu-Check) 1 box Strip [n/a], levothyroxine sodium 25 microgram tablet, diclofenac sodium 1% (10 mg/g) gel, hydroCHLOROthiazide 25 mg tablet: scored, vitamin B complex (B1,B6,B12) 100,200,0.2 mg Film coated tablets [oral], levothyroxine sodium 50 microgram tablet, Strips (Accu-Check) 1 box Strip [n/a], levothyroxine sodium 25 microgram tablet, diclofenac sodium 1% (10 mg/g) gel, hydroCHLOROthiazide 25 mg tablet: scored, vitamin B complex (B1,B6,B12) 100,200,0.2 mg Film coated tablets [oral], levothyroxine sodium 50 microgram tablet, Strips (Accu-Check) 1 box Strip [n/a], levothyroxine sodium 25 microgram tablet, diclofenac sodium 1% (10 mg/g) gel, hydroCHLOROthiazide 25 mg tablet: scored, vitamin B complex (B1,B6,B12) 100,200,0.2 mg Film coated tablets [oral], Strips (Accu-Check) 1 box Strip [n/a], levothyroxine sodium 25 microgram tablet, Strips (Accu-Check) 1 box Strip [n/a], levothyroxine sodium 25 microgram tablet, Strips (Accu-Check) 1 box Strip [n/a], levothyroxine sodium 25 microgram tablet, colecalciferol 50 000 international units tablet, ferrous sulfate 150 mg + folic acid 500 microgram capsule: modified release, colecalciferol 50 000 international units tablet, ferrous sulfate 150 mg + folic acid 500 microgram capsule: modified release, colecalciferol 50 000 international units tablet, ferrous sulfate 150 mg + folic acid 500 microgram capsule: modified release, vitamin B complex (B1,B6,B12) 100,200,0.2 mg Film coated tablets [oral], vitamin B complex (B1,B6,B12) 100,200,0.2 mg Film coated tablets [oral], vitamin B complex (B1,B6,B12) 100,200,0.2 mg Film coated tablets [oral], Strips (Accu-Check) 1 box Strip [n/a], valsartan 80 mg tablet, Strips (Accu-Check) 1 box Strip [n/a], valsartan 80 mg tablet, Strips (Accu-Check) 1 box Strip [n/a], valsartan 80 mg tablet, hydroCHLOROthiazide 25 mg tablet: scored, metFORMIN hydrochloride 750 mg tablet: modified release, levothyroxine sodium 25 microgram tablet, colecalciferol 50 000 international units tablet, hydroCHLOROthiazide 25 mg tablet: scored, metFORMIN hydrochloride 750 mg tablet: modified release, levothyroxine sodium 25 microgram tablet, colecalciferol 50 000 international units tablet, hydroCHLOROthiazide 25 mg tablet: scored, metFORMIN hydrochloride 750 mg tablet: modified release, levothyroxine sodium 25 microgram tablet, colecalciferol 50 000 international units tablet, vitamin B complex (B1,B6,B12) 100,200,0.2 mg Film coated tablets [oral], levothyroxine sodium 50 microgram tablet, vitamin B complex (B1,B6,B12) 100,200,0.2 mg Film coated tablets [oral], levothyroxine sodium 50 microgram tablet, vitamin B complex (B1,B6,B12) 100,200,0.2 mg Film coated tablets [oral], levothyroxine sodium 50 microgram tablet</t>
  </si>
  <si>
    <t>بكر احمد محمد باجبير</t>
  </si>
  <si>
    <t>gliclazide, vitamin B complex (B, B, SITagliptin, metFORMIN hydrochloride, rosuvastatin</t>
  </si>
  <si>
    <t>gliclazide 60 mg tablet: modified release, gliclazide 60 mg tablet: modified release, gliclazide 60 mg tablet: modified release, gliclazide 60 mg tablet: modified release, vitamin B complex (B1,B6,B12) 100,200,0.2 mg Film coated tablets [oral], vitamin B complex (B1,B6,B12) 100,200,0.2 mg Film coated tablets [oral], vitamin B complex (B1,B6,B12) 100,200,0.2 mg Film coated tablets [oral], vitamin B complex (B1,B6,B12) 100,200,0.2 mg Film coated tablets [oral], SITagliptin 100 mg tablet, metFORMIN hydrochloride 750 mg tablet: modified release, SITagliptin 100 mg tablet, metFORMIN hydrochloride 750 mg tablet: modified release, SITagliptin 100 mg tablet, metFORMIN hydrochloride 750 mg tablet: modified release, SITagliptin 100 mg tablet, metFORMIN hydrochloride 750 mg tablet: modified release, rosuvastatin 10 mg tablet, rosuvastatin 10 mg tablet, rosuvastatin 10 mg tablet, rosuvastatin 10 mg tablet, gliclazide 60 mg tablet: modified release, gliclazide 60 mg tablet: modified release, gliclazide 60 mg tablet: modified release, gliclazide 60 mg tablet: modified release, vitamin B complex (B1,B6,B12) 100,200,0.2 mg Film coated tablets [oral], metFORMIN hydrochloride 750 mg tablet: modified release, vitamin B complex (B1,B6,B12) 100,200,0.2 mg Film coated tablets [oral], metFORMIN hydrochloride 750 mg tablet: modified release, vitamin B complex (B1,B6,B12) 100,200,0.2 mg Film coated tablets [oral], metFORMIN hydrochloride 750 mg tablet: modified release, vitamin B complex (B1,B6,B12) 100,200,0.2 mg Film coated tablets [oral], metFORMIN hydrochloride 750 mg tablet: modified release, rosuvastatin 10 mg tablet, rosuvastatin 10 mg tablet, rosuvastatin 10 mg tablet, rosuvastatin 10 mg tablet, SITagliptin 100 mg tablet, SITagliptin 100 mg tablet, SITagliptin 100 mg tablet, SITagliptin 100 mg tablet</t>
  </si>
  <si>
    <t>فاطمه حامد عايش الجحدلي</t>
  </si>
  <si>
    <t>colecalciferol, amLODIPine, rosuvastatin, diclofenac sodium, metFORMIN hydrochloride, calcium carbonate, perindopril arginine, paracetamol</t>
  </si>
  <si>
    <t>colecalciferol 50 000 international units tablet, amLODIPine 5 mg tablet, rosuvastatin 10 mg tablet, diclofenac sodium 1% (10 mg/g) gel, metFORMIN hydrochloride 500 mg tablet, calcium carbonate 600 mg - colecalciferol 200 international units Film coated tablets [oral], perindopril arginine 5 mg tablet, paracetamol 500 mg tablet, colecalciferol 50 000 international units tablet, amLODIPine 5 mg tablet, rosuvastatin 10 mg tablet, diclofenac sodium 1% (10 mg/g) gel, metFORMIN hydrochloride 500 mg tablet, calcium carbonate 600 mg - colecalciferol 200 international units Film coated tablets [oral], perindopril arginine 5 mg tablet, paracetamol 500 mg tablet, colecalciferol 50 000 international units tablet, amLODIPine 5 mg tablet, rosuvastatin 10 mg tablet, diclofenac sodium 1% (10 mg/g) gel, metFORMIN hydrochloride 500 mg tablet, calcium carbonate 600 mg - colecalciferol 200 international units Film coated tablets [oral], perindopril arginine 5 mg tablet, paracetamol 500 mg tablet, colecalciferol 50 000 international units tablet, amLODIPine 5 mg tablet, rosuvastatin 10 mg tablet, diclofenac sodium 1% (10 mg/g) gel, metFORMIN hydrochloride 500 mg tablet, calcium carbonate 600 mg - colecalciferol 200 international units Film coated tablets [oral], perindopril arginine 5 mg tablet, paracetamol 500 mg tablet, colecalciferol 50 000 international units tablet, amLODIPine 5 mg tablet, rosuvastatin 10 mg tablet, diclofenac sodium 1% (10 mg/g) gel, metFORMIN hydrochloride 500 mg tablet, calcium carbonate 600 mg - colecalciferol 200 international units Film coated tablets [oral], perindopril arginine 5 mg tablet, paracetamol 500 mg tablet, metFORMIN hydrochloride 500 mg tablet, rosuvastatin 10 mg tablet, metFORMIN hydrochloride 500 mg tablet, rosuvastatin 10 mg tablet, metFORMIN hydrochloride 500 mg tablet, rosuvastatin 10 mg tablet, metFORMIN hydrochloride 500 mg tablet, rosuvastatin 10 mg tablet, metFORMIN hydrochloride 500 mg tablet, rosuvastatin 10 mg tablet, calcium carbonate 600 mg - colecalciferol 200 international units Film coated tablets [oral], amLODIPine 5 mg tablet, calcium carbonate 600 mg - colecalciferol 200 international units Film coated tablets [oral], amLODIPine 5 mg tablet, calcium carbonate 600 mg - colecalciferol 200 international units Film coated tablets [oral], amLODIPine 5 mg tablet, calcium carbonate 600 mg - colecalciferol 200 international units Film coated tablets [oral], amLODIPine 5 mg tablet, calcium carbonate 600 mg - colecalciferol 200 international units Film coated tablets [oral], amLODIPine 5 mg tablet, perindopril arginine 5 mg tablet, perindopril arginine 5 mg tablet, perindopril arginine 5 mg tablet, perindopril arginine 5 mg tablet, perindopril arginine 5 mg tablet, diclofenac sodium 1% (10 mg/g) gel, diclofenac sodium 1% (10 mg/g) gel, diclofenac sodium 1% (10 mg/g) gel, diclofenac sodium 1% (10 mg/g) gel, diclofenac sodium 1% (10 mg/g) gel, colecalciferol 50 000 international units tablet, paracetamol 500 mg tablet, colecalciferol 50 000 international units tablet, paracetamol 500 mg tablet, colecalciferol 50 000 international units tablet, paracetamol 500 mg tablet, colecalciferol 50 000 international units tablet, paracetamol 500 mg tablet, colecalciferol 50 000 international units tablet, paracetamol 500 mg tablet, diclofenac sodium 1% (10 mg/g) gel, diclofenac sodium 1% (10 mg/g) gel, diclofenac sodium 1% (10 mg/g) gel, diclofenac sodium 1% (10 mg/g) gel, diclofenac sodium 1% (10 mg/g) gel, metFORMIN hydrochloride 500 mg tablet, calcium carbonate 600 mg - colecalciferol 200 international units Film coated tablets [oral], metFORMIN hydrochloride 500 mg tablet, calcium carbonate 600 mg - colecalciferol 200 international units Film coated tablets [oral], metFORMIN hydrochloride 500 mg tablet, calcium carbonate 600 mg - colecalciferol 200 international units Film coated tablets [oral], metFORMIN hydrochloride 500 mg tablet, calcium carbonate 600 mg - colecalciferol 200 international units Film coated tablets [oral], metFORMIN hydrochloride 500 mg tablet, calcium carbonate 600 mg - colecalciferol 200 international units Film coated tablets [oral], amLODIPine 5 mg tablet, amLODIPine 5 mg tablet, amLODIPine 5 mg tablet, amLODIPine 5 mg tablet, amLODIPine 5 mg tablet, paracetamol 500 mg tablet, paracetamol 500 mg tablet, paracetamol 500 mg tablet, paracetamol 500 mg tablet, paracetamol 500 mg tablet, rosuvastatin 10 mg tablet, colecalciferol 50 000 international units tablet, perindopril arginine 5 mg tablet, rosuvastatin 10 mg tablet, colecalciferol 50 000 international units tablet, perindopril arginine 5 mg tablet, rosuvastatin 10 mg tablet, colecalciferol 50 000 international units tablet, perindopril arginine 5 mg tablet, rosuvastatin 10 mg tablet, colecalciferol 50 000 international units tablet, perindopril arginine 5 mg tablet, rosuvastatin 10 mg tablet, colecalciferol 50 000 international units tablet, perindopril arginine 5 mg tablet, paracetamol 500 mg tablet, paracetamol 500 mg tablet, paracetamol 500 mg tablet, paracetamol 500 mg tablet, paracetamol 500 mg tablet, calcium carbonate 600 mg - colecalciferol 200 international units Film coated tablets [oral], metFORMIN hydrochloride 500 mg tablet, amLODIPine 5 mg tablet, colecalciferol 50 000 international units tablet, calcium carbonate 600 mg - colecalciferol 200 international units Film coated tablets [oral], metFORMIN hydrochloride 500 mg tablet, amLODIPine 5 mg tablet, colecalciferol 50 000 international units tablet, calcium carbonate 600 mg - colecalciferol 200 international units Film coated tablets [oral], metFORMIN hydrochloride 500 mg tablet, amLODIPine 5 mg tablet, colecalciferol 50 000 international units tablet, calcium carbonate 600 mg - colecalciferol 200 international units Film coated tablets [oral], metFORMIN hydrochloride 500 mg tablet, amLODIPine 5 mg tablet, colecalciferol 50 000 international units tablet, calcium carbonate 600 mg - colecalciferol 200 international units Film coated tablets [oral], metFORMIN hydrochloride 500 mg tablet, amLODIPine 5 mg tablet, colecalciferol 50 000 international units tablet, perindopril arginine 5 mg tablet, perindopril arginine 5 mg tablet, perindopril arginine 5 mg tablet, perindopril arginine 5 mg tablet, perindopril arginine 5 mg tablet, diclofenac sodium 1% (10 mg/g) gel, rosuvastatin 10 mg tablet, diclofenac sodium 1% (10 mg/g) gel, rosuvastatin 10 mg tablet, diclofenac sodium 1% (10 mg/g) gel, rosuvastatin 10 mg tablet, diclofenac sodium 1% (10 mg/g) gel, rosuvastatin 10 mg tablet, diclofenac sodium 1% (10 mg/g) gel, rosuvastatin 10 mg tablet, colecalciferol 50 000 international units tablet, paracetamol 500 mg tablet, diclofenac sodium 1% (10 mg/g) gel, colecalciferol 50 000 international units tablet, paracetamol 500 mg tablet, diclofenac sodium 1% (10 mg/g) gel, colecalciferol 50 000 international units tablet, paracetamol 500 mg tablet, diclofenac sodium 1% (10 mg/g) gel, colecalciferol 50 000 international units tablet, paracetamol 500 mg tablet, diclofenac sodium 1% (10 mg/g) gel, colecalciferol 50 000 international units tablet, paracetamol 500 mg tablet, diclofenac sodium 1% (10 mg/g) gel, perindopril arginine 5 mg tablet, perindopril arginine 5 mg tablet, perindopril arginine 5 mg tablet, perindopril arginine 5 mg tablet, perindopril arginine 5 mg tablet, amLODIPine 5 mg tablet, rosuvastatin 10 mg tablet, amLODIPine 5 mg tablet, rosuvastatin 10 mg tablet, amLODIPine 5 mg tablet, rosuvastatin 10 mg tablet, amLODIPine 5 mg tablet, rosuvastatin 10 mg tablet, amLODIPine 5 mg tablet, rosuvastatin 10 mg tablet, calcium carbonate 600 mg - colecalciferol 200 international units Film coated tablets [oral], metFORMIN hydrochloride 500 mg tablet, calcium carbonate 600 mg - colecalciferol 200 international units Film coated tablets [oral], metFORMIN hydrochloride 500 mg tablet, calcium carbonate 600 mg - colecalciferol 200 international units Film coated tablets [oral], metFORMIN hydrochloride 500 mg tablet, calcium carbonate 600 mg - colecalciferol 200 international units Film coated tablets [oral], metFORMIN hydrochloride 500 mg tablet, calcium carbonate 600 mg - colecalciferol 200 international units Film coated tablets [oral], metFORMIN hydrochloride 500 mg tablet, diclofenac sodium 1% (10 mg/g) gel, diclofenac sodium 1% (10 mg/g) gel, diclofenac sodium 1% (10 mg/g) gel, diclofenac sodium 1% (10 mg/g) gel, diclofenac sodium 1% (10 mg/g) gel, paracetamol 500 mg tablet, colecalciferol 50 000 international units tablet, rosuvastatin 10 mg tablet, calcium carbonate 600 mg - colecalciferol 200 international units Film coated tablets [oral], metFORMIN hydrochloride 500 mg tablet, paracetamol 500 mg tablet, colecalciferol 50 000 international units tablet, rosuvastatin 10 mg tablet, calcium carbonate 600 mg - colecalciferol 200 international units Film coated tablets [oral], metFORMIN hydrochloride 500 mg tablet, paracetamol 500 mg tablet, colecalciferol 50 000 international units tablet, rosuvastatin 10 mg tablet, calcium carbonate 600 mg - colecalciferol 200 international units Film coated tablets [oral], metFORMIN hydrochloride 500 mg tablet, paracetamol 500 mg tablet, colecalciferol 50 000 international units tablet, rosuvastatin 10 mg tablet, calcium carbonate 600 mg - colecalciferol 200 international units Film coated tablets [oral], metFORMIN hydrochloride 500 mg tablet, paracetamol 500 mg tablet, colecalciferol 50 000 international units tablet, rosuvastatin 10 mg tablet, calcium carbonate 600 mg - colecalciferol 200 international units Film coated tablets [oral], metFORMIN hydrochloride 500 mg tablet, perindopril arginine 5 mg tablet, perindopril arginine 5 mg tablet, perindopril arginine 5 mg tablet, perindopril arginine 5 mg tablet, perindopril arginine 5 mg tablet, amLODIPine 5 mg tablet, amLODIPine 5 mg tablet, amLODIPine 5 mg tablet, amLODIPine 5 mg tablet, amLODIPine 5 mg tablet</t>
  </si>
  <si>
    <t>عبدالحميد محمد عبدالحميد الجحدلي</t>
  </si>
  <si>
    <t>metFORMIN hydrochloride, gliclazide, atorvastatin, vitamin B complex (B, B, empagliflozin, perindopril arginine, acetylsalicylic acid</t>
  </si>
  <si>
    <t>metFORMIN hydrochloride 500 mg tablet, gliclazide 60 mg tablet: modified release, metFORMIN hydrochloride 500 mg tablet, gliclazide 60 mg tablet: modified release, metFORMIN hydrochloride 500 mg tablet, gliclazide 60 mg tablet: modified release, atorvastatin 10 mg tablet, vitamin B complex (B1,B6,B12) 100,200,0.2 mg Film coated tablets [oral], empagliflozin 10 mg tablet, perindopril arginine 5 mg tablet, acetylsalicylic acid 100 mg tablet: enteric coated, atorvastatin 10 mg tablet, vitamin B complex (B1,B6,B12) 100,200,0.2 mg Film coated tablets [oral], empagliflozin 10 mg tablet, perindopril arginine 5 mg tablet, acetylsalicylic acid 100 mg tablet: enteric coated, atorvastatin 10 mg tablet, vitamin B complex (B1,B6,B12) 100,200,0.2 mg Film coated tablets [oral], empagliflozin 10 mg tablet, perindopril arginine 5 mg tablet, acetylsalicylic acid 100 mg tablet: enteric coated, empagliflozin 10 mg tablet, vitamin B complex (B1,B6,B12) 100,200,0.2 mg Film coated tablets [oral], perindopril arginine 5 mg tablet, empagliflozin 10 mg tablet, vitamin B complex (B1,B6,B12) 100,200,0.2 mg Film coated tablets [oral], perindopril arginine 5 mg tablet, empagliflozin 10 mg tablet, vitamin B complex (B1,B6,B12) 100,200,0.2 mg Film coated tablets [oral], perindopril arginine 5 mg tablet, metFORMIN hydrochloride 500 mg tablet, acetylsalicylic acid 100 mg tablet: enteric coated, metFORMIN hydrochloride 500 mg tablet, acetylsalicylic acid 100 mg tablet: enteric coated, metFORMIN hydrochloride 500 mg tablet, acetylsalicylic acid 100 mg tablet: enteric coated, atorvastatin 10 mg tablet, atorvastatin 10 mg tablet, atorvastatin 10 mg tablet, gliclazide 60 mg tablet: modified release, empagliflozin 10 mg tablet, atorvastatin 10 mg tablet, gliclazide 60 mg tablet: modified release, empagliflozin 10 mg tablet, atorvastatin 10 mg tablet, gliclazide 60 mg tablet: modified release, empagliflozin 10 mg tablet, atorvastatin 10 mg tablet, gliclazide 60 mg tablet: modified release, gliclazide 60 mg tablet: modified release, gliclazide 60 mg tablet: modified release, vitamin B complex (B1,B6,B12) 100,200,0.2 mg Film coated tablets [oral], vitamin B complex (B1,B6,B12) 100,200,0.2 mg Film coated tablets [oral], vitamin B complex (B1,B6,B12) 100,200,0.2 mg Film coated tablets [oral], acetylsalicylic acid 100 mg tablet: enteric coated, acetylsalicylic acid 100 mg tablet: enteric coated, acetylsalicylic acid 100 mg tablet: enteric coated, metFORMIN hydrochloride 500 mg tablet, perindopril arginine 5 mg tablet, metFORMIN hydrochloride 500 mg tablet, perindopril arginine 5 mg tablet, metFORMIN hydrochloride 500 mg tablet, perindopril arginine 5 mg tablet, empagliflozin 10 mg tablet, atorvastatin 10 mg tablet, empagliflozin 10 mg tablet, atorvastatin 10 mg tablet, empagliflozin 10 mg tablet, atorvastatin 10 mg tablet, vitamin B complex (B1,B6,B12) 100,200,0.2 mg Film coated tablets [oral], vitamin B complex (B1,B6,B12) 100,200,0.2 mg Film coated tablets [oral], vitamin B complex (B1,B6,B12) 100,200,0.2 mg Film coated tablets [oral], acetylsalicylic acid 100 mg tablet: enteric coated, metFORMIN hydrochloride 500 mg tablet, acetylsalicylic acid 100 mg tablet: enteric coated, metFORMIN hydrochloride 500 mg tablet, acetylsalicylic acid 100 mg tablet: enteric coated, metFORMIN hydrochloride 500 mg tablet, perindopril arginine 5 mg tablet, perindopril arginine 5 mg tablet, perindopril arginine 5 mg tablet, perindopril arginine 5 mg tablet, perindopril arginine 5 mg tablet, perindopril arginine 5 mg tablet, gliclazide 60 mg tablet: modified release, acetylsalicylic acid 100 mg tablet: enteric coated, empagliflozin 10 mg tablet, gliclazide 60 mg tablet: modified release, acetylsalicylic acid 100 mg tablet: enteric coated, empagliflozin 10 mg tablet, gliclazide 60 mg tablet: modified release, acetylsalicylic acid 100 mg tablet: enteric coated, empagliflozin 10 mg tablet, vitamin B complex (B1,B6,B12) 100,200,0.2 mg Film coated tablets [oral], vitamin B complex (B1,B6,B12) 100,200,0.2 mg Film coated tablets [oral], vitamin B complex (B1,B6,B12) 100,200,0.2 mg Film coated tablets [oral], atorvastatin 10 mg tablet, atorvastatin 10 mg tablet, atorvastatin 10 mg tablet, metFORMIN hydrochloride 500 mg tablet, metFORMIN hydrochloride 500 mg tablet, metFORMIN hydrochloride 500 mg tablet, empagliflozin 10 mg tablet, empagliflozin 10 mg tablet, empagliflozin 10 mg tablet, metFORMIN hydrochloride 500 mg tablet, atorvastatin 10 mg tablet, perindopril arginine 5 mg tablet, metFORMIN hydrochloride 500 mg tablet, atorvastatin 10 mg tablet, perindopril arginine 5 mg tablet, metFORMIN hydrochloride 500 mg tablet, atorvastatin 10 mg tablet, perindopril arginine 5 mg tablet, acetylsalicylic acid 100 mg tablet: enteric coated, acetylsalicylic acid 100 mg tablet: enteric coated, acetylsalicylic acid 100 mg tablet: enteric coated, vitamin B complex (B1,B6,B12) 100,200,0.2 mg Film coated tablets [oral], vitamin B complex (B1,B6,B12) 100,200,0.2 mg Film coated tablets [oral], vitamin B complex (B1,B6,B12) 100,200,0.2 mg Film coated tablets [oral], metFORMIN hydrochloride 500 mg tablet, empagliflozin 10 mg tablet, metFORMIN hydrochloride 500 mg tablet, empagliflozin 10 mg tablet, metFORMIN hydrochloride 500 mg tablet, empagliflozin 10 mg tablet</t>
  </si>
  <si>
    <t>امنه محمد حسين الجيزاني</t>
  </si>
  <si>
    <t>indapamide, calcium carbonate, SITagliptin, metFORMIN hydrochloride, perindopril arginine, empagliflozin, rosuvastatin, acetylsalicylic acid</t>
  </si>
  <si>
    <t>indapamide 1.5 mg tablet: modified release, calcium carbonate 600 mg - colecalciferol 200 international units Film coated tablets [oral], indapamide 1.5 mg tablet: modified release, calcium carbonate 600 mg - colecalciferol 200 international units Film coated tablets [oral], indapamide 1.5 mg tablet: modified release, calcium carbonate 600 mg - colecalciferol 200 international units Film coated tablets [oral], indapamide 1.5 mg tablet: modified release, calcium carbonate 600 mg - colecalciferol 200 international units Film coated tablets [oral], indapamide 1.5 mg tablet: modified release, calcium carbonate 600 mg - colecalciferol 200 international units Film coated tablets [oral], indapamide 1.5 mg tablet: modified release, calcium carbonate 600 mg - colecalciferol 200 international units Film coated tablets [oral], SITagliptin 100 mg tablet, SITagliptin 100 mg tablet, SITagliptin 100 mg tablet, SITagliptin 100 mg tablet, SITagliptin 100 mg tablet, SITagliptin 100 mg tablet, metFORMIN hydrochloride 750 mg tablet: modified release, perindopril arginine 5 mg tablet, metFORMIN hydrochloride 750 mg tablet: modified release, perindopril arginine 5 mg tablet, metFORMIN hydrochloride 750 mg tablet: modified release, perindopril arginine 5 mg tablet, metFORMIN hydrochloride 750 mg tablet: modified release, perindopril arginine 5 mg tablet, metFORMIN hydrochloride 750 mg tablet: modified release, perindopril arginine 5 mg tablet, metFORMIN hydrochloride 750 mg tablet: modified release, perindopril arginine 5 mg tablet, empagliflozin 10 mg tablet, rosuvastatin 20 mg tablet, empagliflozin 10 mg tablet, rosuvastatin 20 mg tablet, empagliflozin 10 mg tablet, rosuvastatin 20 mg tablet, empagliflozin 10 mg tablet, rosuvastatin 20 mg tablet, empagliflozin 10 mg tablet, rosuvastatin 20 mg tablet, empagliflozin 10 mg tablet, rosuvastatin 20 mg tablet,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empagliflozin 10 mg tablet, perindopril arginine 5 mg tablet, calcium carbonate 600 mg - colecalciferol 200 international units Film coated tablets [oral], empagliflozin 10 mg tablet, perindopril arginine 5 mg tablet, calcium carbonate 600 mg - colecalciferol 200 international units Film coated tablets [oral], empagliflozin 10 mg tablet, perindopril arginine 5 mg tablet, calcium carbonate 600 mg - colecalciferol 200 international units Film coated tablets [oral], empagliflozin 10 mg tablet, perindopril arginine 5 mg tablet, calcium carbonate 600 mg - colecalciferol 200 international units Film coated tablets [oral], empagliflozin 10 mg tablet, perindopril arginine 5 mg tablet, calcium carbonate 600 mg - colecalciferol 200 international units Film coated tablets [oral], empagliflozin 10 mg tablet, perindopril arginine 5 mg tablet, calcium carbonate 600 mg - colecalciferol 200 international units Film coated tablets [oral], indapamide 1.5 mg tablet: modified release, rosuvastatin 20 mg tablet, indapamide 1.5 mg tablet: modified release, rosuvastatin 20 mg tablet, indapamide 1.5 mg tablet: modified release, rosuvastatin 20 mg tablet, indapamide 1.5 mg tablet: modified release, rosuvastatin 20 mg tablet, indapamide 1.5 mg tablet: modified release, rosuvastatin 20 mg tablet, indapamide 1.5 mg tablet: modified release, rosuvastatin 20 mg tablet, SITagliptin 100 mg tablet, metFORMIN hydrochloride 750 mg tablet: modified release, SITagliptin 100 mg tablet, metFORMIN hydrochloride 750 mg tablet: modified release, SITagliptin 100 mg tablet, metFORMIN hydrochloride 750 mg tablet: modified release, SITagliptin 100 mg tablet, metFORMIN hydrochloride 750 mg tablet: modified release, SITagliptin 100 mg tablet, metFORMIN hydrochloride 750 mg tablet: modified release, SITagliptin 100 mg tablet, metFORMIN hydrochloride 750 mg tablet: modified release, indapamide 1.5 mg tablet: modified release, calcium carbonate 600 mg - colecalciferol 200 international units Film coated tablets [oral], indapamide 1.5 mg tablet: modified release, calcium carbonate 600 mg - colecalciferol 200 international units Film coated tablets [oral], indapamide 1.5 mg tablet: modified release, calcium carbonate 600 mg - colecalciferol 200 international units Film coated tablets [oral], indapamide 1.5 mg tablet: modified release, calcium carbonate 600 mg - colecalciferol 200 international units Film coated tablets [oral], indapamide 1.5 mg tablet: modified release, calcium carbonate 600 mg - colecalciferol 200 international units Film coated tablets [oral], indapamide 1.5 mg tablet: modified release, calcium carbonate 600 mg - colecalciferol 200 international units Film coated tablets [oral], SITagliptin 100 mg tablet, SITagliptin 100 mg tablet, SITagliptin 100 mg tablet, SITagliptin 100 mg tablet, SITagliptin 100 mg tablet, SITagliptin 100 mg tablet, metFORMIN hydrochloride 750 mg tablet: modified release, perindopril arginine 5 mg tablet, metFORMIN hydrochloride 750 mg tablet: modified release, perindopril arginine 5 mg tablet, metFORMIN hydrochloride 750 mg tablet: modified release, perindopril arginine 5 mg tablet, metFORMIN hydrochloride 750 mg tablet: modified release, perindopril arginine 5 mg tablet, metFORMIN hydrochloride 750 mg tablet: modified release, perindopril arginine 5 mg tablet, metFORMIN hydrochloride 750 mg tablet: modified release, perindopril arginine 5 mg tablet, empagliflozin 10 mg tablet, empagliflozin 10 mg tablet, empagliflozin 10 mg tablet, empagliflozin 10 mg tablet, empagliflozin 10 mg tablet, empagliflozin 10 mg tablet, rosuvastatin 20 mg tablet, acetylsalicylic acid 100 mg tablet: enteric coated, rosuvastatin 20 mg tablet, acetylsalicylic acid 100 mg tablet: enteric coated, rosuvastatin 20 mg tablet, acetylsalicylic acid 100 mg tablet: enteric coated, rosuvastatin 20 mg tablet, acetylsalicylic acid 100 mg tablet: enteric coated, rosuvastatin 20 mg tablet, acetylsalicylic acid 100 mg tablet: enteric coated, rosuvastatin 20 mg tablet, acetylsalicylic acid 100 mg tablet: enteric coated</t>
  </si>
  <si>
    <t>هديل حسن حسين الزهراني</t>
  </si>
  <si>
    <t>جمال ابن حسن ابن محمدامين زمزمي</t>
  </si>
  <si>
    <t>Strips (Accu-Check), empagliflozin, glimepiride, allopurinol, atorvastatin, Lancets (Accu-Check), bisoprolol fumarate, diclofenac sodium, vitamins (A, B</t>
  </si>
  <si>
    <t>Strips (Accu-Check) 1 box Strip [n/a], empagliflozin 10 mg tablet, glimepiride 2 mg tablet, allopurinol 100 mg tablet, atorvastatin 20 mg tablet, Lancets (Accu-Check) 1 box Lancets [n/a], Strips (Accu-Check) 1 box Strip [n/a], empagliflozin 10 mg tablet, glimepiride 2 mg tablet, allopurinol 100 mg tablet, atorvastatin 20 mg tablet, Lancets (Accu-Check) 1 box Lancets [n/a], Strips (Accu-Check) 1 box Strip [n/a], empagliflozin 10 mg tablet, glimepiride 2 mg tablet, allopurinol 100 mg tablet, atorvastatin 20 mg tablet, Lancets (Accu-Check) 1 box Lancets [n/a], bisoprolol fumarate 5 mg tablet, diclofenac sodium 1% (10 mg/g) gel, vitamins (A, B1, B2, B3, C, D3) tablet, bisoprolol fumarate 5 mg tablet, diclofenac sodium 1% (10 mg/g) gel, vitamins (A, B1, B2, B3, C, D3) tablet, bisoprolol fumarate 5 mg tablet, diclofenac sodium 1% (10 mg/g) gel, vitamins (A, B1, B2, B3, C, D3) tablet, paracetamol 500 mg tablet, calcium carbonate 600 mg - colecalciferol 200 international units Film coated tablets [oral], vitamin B complex (B1,B6,B12) 100,100,0.15 mg Film coated tablets [oral], acetylsalicylic acid 100 mg tablet: enteric coated, paracetamol 500 mg tablet, calcium carbonate 600 mg - colecalciferol 200 international units Film coated tablets [oral], vitamin B complex (B1,B6,B12) 100,100,0.15 mg Film coated tablets [oral], acetylsalicylic acid 100 mg tablet: enteric coated, paracetamol 500 mg tablet, calcium carbonate 600 mg - colecalciferol 200 international units Film coated tablets [oral], vitamin B complex (B1,B6,B12) 100,100,0.15 mg Film coated tablets [oral], acetylsalicylic acid 100 mg tablet: enteric coated, acetylsalicylic acid 100 mg tablet: enteric coated, vitamins (A, B1, B2, B3, C, D3) tablet, allopurinol 100 mg tablet, paracetamol 500 mg tablet, acetylsalicylic acid 100 mg tablet: enteric coated, vitamins (A, B1, B2, B3, C, D3) tablet, allopurinol 100 mg tablet, paracetamol 500 mg tablet, acetylsalicylic acid 100 mg tablet: enteric coated, vitamins (A, B1, B2, B3, C, D3) tablet, allopurinol 100 mg tablet, paracetamol 500 mg tablet, Lancets (Accu-Check) 1 box Lancets [n/a], Lancets (Accu-Check) 1 box Lancets [n/a], Lancets (Accu-Check) 1 box Lancets [n/a], diclofenac sodium 1% (10 mg/g) gel, Strips (Accu-Check) 1 box Strip [n/a], diclofenac sodium 1% (10 mg/g) gel, Strips (Accu-Check) 1 box Strip [n/a], diclofenac sodium 1% (10 mg/g) gel, Strips (Accu-Check) 1 box Strip [n/a], atorvastatin 20 mg tablet, bisoprolol fumarate 5 mg tablet, glimepiride 2 mg tablet, empagliflozin 10 mg tablet, atorvastatin 20 mg tablet, bisoprolol fumarate 5 mg tablet, glimepiride 2 mg tablet, empagliflozin 10 mg tablet, atorvastatin 20 mg tablet, bisoprolol fumarate 5 mg tablet, glimepiride 2 mg tablet, empagliflozin 10 mg tablet, calcium carbonate 600 mg - colecalciferol 200 international units Film coated tablets [oral], vitamin B complex (B1,B6,B12) 100,100,0.15 mg Film coated tablets [oral], calcium carbonate 600 mg - colecalciferol 200 international units Film coated tablets [oral], vitamin B complex (B1,B6,B12) 100,100,0.15 mg Film coated tablets [oral], calcium carbonate 600 mg - colecalciferol 200 international units Film coated tablets [oral], vitamin B complex (B1,B6,B12) 100,100,0.15 mg Film coated tablets [oral], atorvastatin 20 mg tablet, atorvastatin 20 mg tablet, atorvastatin 20 mg tablet, calcium carbonate 600 mg - colecalciferol 200 international units Film coated tablets [oral], empagliflozin 10 mg tablet, diclofenac sodium 1% (10 mg/g) gel, calcium carbonate 600 mg - colecalciferol 200 international units Film coated tablets [oral], empagliflozin 10 mg tablet, diclofenac sodium 1% (10 mg/g) gel, calcium carbonate 600 mg - colecalciferol 200 international units Film coated tablets [oral], empagliflozin 10 mg tablet, diclofenac sodium 1% (10 mg/g) gel, glimepiride 2 mg tablet, vitamin B complex (B1,B6,B12) 100,100,0.15 mg Film coated tablets [oral], glimepiride 2 mg tablet, vitamin B complex (B1,B6,B12) 100,100,0.15 mg Film coated tablets [oral], glimepiride 2 mg tablet, vitamin B complex (B1,B6,B12) 100,100,0.15 mg Film coated tablets [oral], Lancets (Accu-Check) 1 box Lancets [n/a], Lancets (Accu-Check) 1 box Lancets [n/a], Lancets (Accu-Check) 1 box Lancets [n/a], paracetamol 500 mg tablet, acetylsalicylic acid 100 mg tablet: enteric coated, vitamins (A, B1, B2, B3, C, D3) tablet, Strips (Accu-Check) 1 box Strip [n/a], allopurinol 100 mg tablet, bisoprolol fumarate 5 mg tablet, paracetamol 500 mg tablet, acetylsalicylic acid 100 mg tablet: enteric coated, vitamins (A, B1, B2, B3, C, D3) tablet, Strips (Accu-Check) 1 box Strip [n/a], allopurinol 100 mg tablet, bisoprolol fumarate 5 mg tablet, paracetamol 500 mg tablet, acetylsalicylic acid 100 mg tablet: enteric coated, vitamins (A, B1, B2, B3, C, D3) tablet, Strips (Accu-Check) 1 box Strip [n/a], allopurinol 100 mg tablet, bisoprolol fumarate 5 mg tablet</t>
  </si>
  <si>
    <t>محمد صالح عطيه الزهراني</t>
  </si>
  <si>
    <t>linagliptin, colecalciferol, atorvastatin</t>
  </si>
  <si>
    <t>linagliptin 5 mg tablet, linagliptin 5 mg tablet, linagliptin 5 mg tablet, linagliptin 5 mg tablet, linagliptin 5 mg tablet, colecalciferol 50 000 international units tablet, atorvastatin 20 mg tablet, colecalciferol 50 000 international units tablet, atorvastatin 20 mg tablet, colecalciferol 50 000 international units tablet, atorvastatin 20 mg tablet, colecalciferol 50 000 international units tablet, atorvastatin 20 mg tablet, colecalciferol 50 000 international units tablet, atorvastatin 20 mg tablet, colecalciferol 50 000 international units tablet, atorvastatin 20 mg tablet, linagliptin 5 mg tablet, colecalciferol 50 000 international units tablet, atorvastatin 20 mg tablet, linagliptin 5 mg tablet, colecalciferol 50 000 international units tablet, atorvastatin 20 mg tablet, linagliptin 5 mg tablet, colecalciferol 50 000 international units tablet, atorvastatin 20 mg tablet, linagliptin 5 mg tablet, colecalciferol 50 000 international units tablet, atorvastatin 20 mg tablet, linagliptin 5 mg tablet, colecalciferol 50 000 international units tablet, colecalciferol 50 000 international units tablet, colecalciferol 50 000 international units tablet, colecalciferol 50 000 international units tablet, colecalciferol 50 000 international units tablet, atorvastatin 20 mg tablet, atorvastatin 20 mg tablet, atorvastatin 20 mg tablet, atorvastatin 20 mg tablet, atorvastatin 20 mg tablet, linagliptin 5 mg tablet, linagliptin 5 mg tablet, linagliptin 5 mg tablet, linagliptin 5 mg tablet, linagliptin 5 mg tablet</t>
  </si>
  <si>
    <t>عبدالرحمن بن عمر بن عبدالله العطاس</t>
  </si>
  <si>
    <t>empagliflozin, Strips (Accu-Check), SITagliptin, Lancets (Accu-Check), fenofibrate, rosuvastatin, Glucometer Device (Accu-Chek), insulin glargine (lantus), gliclazide, acetylsalicylic acid</t>
  </si>
  <si>
    <t>empagliflozin 10 mg tablet, Strips (Accu-Check) 1 box Strip [n/a], SITagliptin 100 mg tablet, Lancets (Accu-Check) 1 box Lancets [n/a], fenofibrate 145 mg tablet, empagliflozin 10 mg tablet, Strips (Accu-Check) 1 box Strip [n/a], SITagliptin 100 mg tablet, Lancets (Accu-Check) 1 box Lancets [n/a], fenofibrate 145 mg tablet, empagliflozin 10 mg tablet, Strips (Accu-Check) 1 box Strip [n/a], SITagliptin 100 mg tablet, Lancets (Accu-Check) 1 box Lancets [n/a], fenofibrate 145 mg tablet, empagliflozin 10 mg tablet, Strips (Accu-Check) 1 box Strip [n/a], SITagliptin 100 mg tablet, Lancets (Accu-Check) 1 box Lancets [n/a], fenofibrate 145 mg tablet, empagliflozin 10 mg tablet, Strips (Accu-Check) 1 box Strip [n/a], SITagliptin 100 mg tablet, Lancets (Accu-Check) 1 box Lancets [n/a], fenofibrate 145 mg tablet, empagliflozin 10 mg tablet, Strips (Accu-Check) 1 box Strip [n/a], SITagliptin 100 mg tablet, Lancets (Accu-Check) 1 box Lancets [n/a], fenofibrate 145 mg tablet, rosuvastatin 20 mg tablet, Glucometer Device (Accu-Chek) 1 device Device [n/a], insulin glargine (lantus) 100 international units/mL injection, 3 mL prefilled pen, gliclazide 30 mg tablet: modified release, rosuvastatin 20 mg tablet, Glucometer Device (Accu-Chek) 1 device Device [n/a], insulin glargine (lantus) 100 international units/mL injection, 3 mL prefilled pen, gliclazide 30 mg tablet: modified release, rosuvastatin 20 mg tablet, Glucometer Device (Accu-Chek) 1 device Device [n/a], insulin glargine (lantus) 100 international units/mL injection, 3 mL prefilled pen, gliclazide 30 mg tablet: modified release, rosuvastatin 20 mg tablet, Glucometer Device (Accu-Chek) 1 device Device [n/a], insulin glargine (lantus) 100 international units/mL injection, 3 mL prefilled pen, gliclazide 30 mg tablet: modified release, rosuvastatin 20 mg tablet, Glucometer Device (Accu-Chek) 1 device Device [n/a], insulin glargine (lantus) 100 international units/mL injection, 3 mL prefilled pen, gliclazide 30 mg tablet: modified release, rosuvastatin 20 mg tablet, Glucometer Device (Accu-Chek) 1 device Device [n/a], insulin glargine (lantus) 100 international units/mL injection, 3 mL prefilled pen, gliclazide 30 mg tablet: modified release, acetylsalicylic acid 100 mg tablet: enteric coated, bisoprolol fumarate 5 mg tablet, losartan potassium 50 mg tablet, acetylsalicylic acid 100 mg tablet: enteric coated, bisoprolol fumarate 5 mg tablet, losartan potassium 50 mg tablet, acetylsalicylic acid 100 mg tablet: enteric coated, bisoprolol fumarate 5 mg tablet, losartan potassium 50 mg tablet, acetylsalicylic acid 100 mg tablet: enteric coated, bisoprolol fumarate 5 mg tablet, losartan potassium 50 mg tablet, acetylsalicylic acid 100 mg tablet: enteric coated, bisoprolol fumarate 5 mg tablet, losartan potassium 50 mg tablet, acetylsalicylic acid 100 mg tablet: enteric coated, bisoprolol fumarate 5 mg tablet, losartan potassium 50 mg tablet, finasteride 5 mg tablet, gliclazide 60 mg tablet: modified release, finasteride 5 mg tablet, gliclazide 60 mg tablet: modified release, finasteride 5 mg tablet, gliclazide 60 mg tablet: modified release, finasteride 5 mg tablet, gliclazide 60 mg tablet: modified release, finasteride 5 mg tablet, gliclazide 60 mg tablet: modified release, finasteride 5 mg tablet, gliclazide 60 mg tablet: modified release, Glucometer Device (Accu-Chek) 1 device Device [n/a], empagliflozin 10 mg tablet, acetylsalicylic acid 100 mg tablet: enteric coated, insulin glargine (lantus) 100 international units/mL injection, 3 mL prefilled pen, Glucometer Device (Accu-Chek) 1 device Device [n/a], empagliflozin 10 mg tablet, acetylsalicylic acid 100 mg tablet: enteric coated, insulin glargine (lantus) 100 international units/mL injection, 3 mL prefilled pen, Glucometer Device (Accu-Chek) 1 device Device [n/a], empagliflozin 10 mg tablet, acetylsalicylic acid 100 mg tablet: enteric coated, insulin glargine (lantus) 100 international units/mL injection, 3 mL prefilled pen, Glucometer Device (Accu-Chek) 1 device Device [n/a], empagliflozin 10 mg tablet, acetylsalicylic acid 100 mg tablet: enteric coated, insulin glargine (lantus) 100 international units/mL injection, 3 mL prefilled pen, Glucometer Device (Accu-Chek) 1 device Device [n/a], empagliflozin 10 mg tablet, acetylsalicylic acid 100 mg tablet: enteric coated, insulin glargine (lantus) 100 international units/mL injection, 3 mL prefilled pen, Glucometer Device (Accu-Chek) 1 device Device [n/a], empagliflozin 10 mg tablet, acetylsalicylic acid 100 mg tablet: enteric coated, insulin glargine (lantus) 100 international units/mL injection, 3 mL prefilled pen, gliclazide 60 mg tablet: modified release, Lancets (Accu-Check) 1 box Lancets [n/a], fenofibrate 145 mg tablet, gliclazide 60 mg tablet: modified release, Lancets (Accu-Check) 1 box Lancets [n/a], fenofibrate 145 mg tablet, gliclazide 60 mg tablet: modified release, Lancets (Accu-Check) 1 box Lancets [n/a], fenofibrate 145 mg tablet, gliclazide 60 mg tablet: modified release, Lancets (Accu-Check) 1 box Lancets [n/a], fenofibrate 145 mg tablet, gliclazide 60 mg tablet: modified release, Lancets (Accu-Check) 1 box Lancets [n/a], fenofibrate 145 mg tablet, gliclazide 60 mg tablet: modified release, Lancets (Accu-Check) 1 box Lancets [n/a], fenofibrate 145 mg tablet, losartan potassium 50 mg tablet, finasteride 5 mg tablet, rosuvastatin 20 mg tablet, losartan potassium 50 mg tablet, finasteride 5 mg tablet, rosuvastatin 20 mg tablet, losartan potassium 50 mg tablet, finasteride 5 mg tablet, rosuvastatin 20 mg tablet, losartan potassium 50 mg tablet, finasteride 5 mg tablet, rosuvastatin 20 mg tablet, losartan potassium 50 mg tablet, finasteride 5 mg tablet, rosuvastatin 20 mg tablet, losartan potassium 50 mg tablet, finasteride 5 mg tablet, rosuvastatin 20 mg tablet, Strips (Accu-Check) 1 box Strip [n/a], bisoprolol fumarate 5 mg tablet, gliclazide 30 mg tablet: modified release, Strips (Accu-Check) 1 box Strip [n/a], bisoprolol fumarate 5 mg tablet, gliclazide 30 mg tablet: modified release, Strips (Accu-Check) 1 box Strip [n/a], bisoprolol fumarate 5 mg tablet, gliclazide 30 mg tablet: modified release, Strips (Accu-Check) 1 box Strip [n/a], bisoprolol fumarate 5 mg tablet, gliclazide 30 mg tablet: modified release, Strips (Accu-Check) 1 box Strip [n/a], bisoprolol fumarate 5 mg tablet, gliclazide 30 mg tablet: modified release, Strips (Accu-Check) 1 box Strip [n/a], bisoprolol fumarate 5 mg tablet, gliclazide 30 mg tablet: modified release, SITagliptin 100 mg tablet, SITagliptin 100 mg tablet, SITagliptin 100 mg tablet, SITagliptin 100 mg tablet, SITagliptin 100 mg tablet, SITagliptin 100 mg tablet, Strips (Accu-Check) 1 box Strip [n/a], finasteride 5 mg tablet, bisoprolol fumarate 5 mg tablet, gliclazide 60 mg tablet: modified release, fenofibrate 145 mg tablet, Strips (Accu-Check) 1 box Strip [n/a], finasteride 5 mg tablet, bisoprolol fumarate 5 mg tablet, gliclazide 60 mg tablet: modified release, fenofibrate 145 mg tablet, Strips (Accu-Check) 1 box Strip [n/a], finasteride 5 mg tablet, bisoprolol fumarate 5 mg tablet, gliclazide 60 mg tablet: modified release, fenofibrate 145 mg tablet, Strips (Accu-Check) 1 box Strip [n/a], finasteride 5 mg tablet, bisoprolol fumarate 5 mg tablet, gliclazide 60 mg tablet: modified release, fenofibrate 145 mg tablet, Strips (Accu-Check) 1 box Strip [n/a], finasteride 5 mg tablet, bisoprolol fumarate 5 mg tablet, gliclazide 60 mg tablet: modified release, fenofibrate 145 mg tablet, Strips (Accu-Check) 1 box Strip [n/a], finasteride 5 mg tablet, bisoprolol fumarate 5 mg tablet, gliclazide 60 mg tablet: modified release, fenofibrate 145 mg tablet, Lancets (Accu-Check) 1 box Lancets [n/a], Lancets (Accu-Check) 1 box Lancets [n/a], Lancets (Accu-Check) 1 box Lancets [n/a], Lancets (Accu-Check) 1 box Lancets [n/a], Lancets (Accu-Check) 1 box Lancets [n/a], Lancets (Accu-Check) 1 box Lancets [n/a], gliclazide 30 mg tablet: modified release, SITagliptin 100 mg tablet, acetylsalicylic acid 100 mg tablet: enteric coated, empagliflozin 10 mg tablet, losartan potassium 50 mg tablet, Glucometer Device (Accu-Chek) 1 device Device [n/a], gliclazide 30 mg tablet: modified release, SITagliptin 100 mg tablet, acetylsalicylic acid 100 mg tablet: enteric coated, empagliflozin 10 mg tablet, losartan potassium 50 mg tablet, Glucometer Device (Accu-Chek) 1 device Device [n/a], gliclazide 30 mg tablet: modified release, SITagliptin 100 mg tablet, acetylsalicylic acid 100 mg tablet: enteric coated, empagliflozin 10 mg tablet, losartan potassium 50 mg tablet, Glucometer Device (Accu-Chek) 1 device Device [n/a], gliclazide 30 mg tablet: modified release, SITagliptin 100 mg tablet, acetylsalicylic acid 100 mg tablet: enteric coated, empagliflozin 10 mg tablet, losartan potassium 50 mg tablet, Glucometer Device (Accu-Chek) 1 device Device [n/a], gliclazide 30 mg tablet: modified release, SITagliptin 100 mg tablet, acetylsalicylic acid 100 mg tablet: enteric coated, empagliflozin 10 mg tablet, losartan potassium 50 mg tablet, Glucometer Device (Accu-Chek) 1 device Device [n/a], gliclazide 30 mg tablet: modified release, SITagliptin 100 mg tablet, acetylsalicylic acid 100 mg tablet: enteric coated, empagliflozin 10 mg tablet, losartan potassium 50 mg tablet, Glucometer Device (Accu-Chek) 1 device Device [n/a], rosuvastatin 20 mg tablet, insulin glargine (lantus) 100 international units/mL injection, 3 mL prefilled pen, rosuvastatin 20 mg tablet, insulin glargine (lantus) 100 international units/mL injection, 3 mL prefilled pen, rosuvastatin 20 mg tablet, insulin glargine (lantus) 100 international units/mL injection, 3 mL prefilled pen, rosuvastatin 20 mg tablet, insulin glargine (lantus) 100 international units/mL injection, 3 mL prefilled pen, rosuvastatin 20 mg tablet, insulin glargine (lantus) 100 international units/mL injection, 3 mL prefilled pen, rosuvastatin 20 mg tablet, insulin glargine (lantus) 100 international units/mL injection, 3 mL prefilled pen</t>
  </si>
  <si>
    <t>محمد عايض نفال القحطاني</t>
  </si>
  <si>
    <t>bisoprolol fumarate, acetylsalicylic acid, omeprazole, atorvastatin, empagliflozin</t>
  </si>
  <si>
    <t>bisoprolol fumarate 5 mg tablet, bisoprolol fumarate 5 mg tablet, acetylsalicylic acid 100 mg tablet: enteric coated, omeprazole 20 mg tablet: enteric coated, atorvastatin 10 mg tablet, acetylsalicylic acid 100 mg tablet: enteric coated, omeprazole 20 mg tablet: enteric coated, atorvastatin 10 mg tablet, empagliflozin 10 mg tablet, empagliflozin 10 mg tablet</t>
  </si>
  <si>
    <t>حسين جميل حسين سندي</t>
  </si>
  <si>
    <t>valsartan, cetirizine hydrochloride, budesonide, azithromycin, metFORMIN hydrochloride, gliclazide, sodium chloride, paracetamol, amLODIPine, dextromethorphan hydrobromide</t>
  </si>
  <si>
    <t>valsartan 80 mg tablet, valsartan 80 mg tablet, cetirizine hydrochloride 10 mg tablet, budesonide 160 microgram/actuation + formoterol fumarate dihydrate 4.5 microgram/actuation inhalation: powder for, azithromycin 250 mg capsule, metFORMIN hydrochloride 500 mg tablet, cetirizine hydrochloride 10 mg tablet, budesonide 160 microgram/actuation + formoterol fumarate dihydrate 4.5 microgram/actuation inhalation: powder for, azithromycin 250 mg capsule, metFORMIN hydrochloride 500 mg tablet, gliclazide 60 mg tablet: modified release, sodium chloride 0.9% (9 mg/mL) nasal spray, gliclazide 60 mg tablet: modified release, sodium chloride 0.9% (9 mg/mL) nasal spray, paracetamol 500 mg tablet, paracetamol 500 mg tablet, budesonide 160 microgram/actuation + formoterol fumarate dihydrate 4.5 microgram/actuation inhalation: powder for, metFORMIN hydrochloride 500 mg tablet, valsartan 80 mg tablet, budesonide 160 microgram/actuation + formoterol fumarate dihydrate 4.5 microgram/actuation inhalation: powder for, metFORMIN hydrochloride 500 mg tablet, valsartan 80 mg tablet, paracetamol 500 mg tablet, amLODIPine 10 mg capsule, gliclazide 60 mg tablet: modified release, dextromethorphan hydrobromide 10 mg/5 mL + guaiFENesin 100 mg/5 mL oral liquid, paracetamol 500 mg tablet, amLODIPine 10 mg capsule, gliclazide 60 mg tablet: modified release, dextromethorphan hydrobromide 10 mg/5 mL + guaiFENesin 100 mg/5 mL oral liquid, amLODIPine 10 mg capsule, dextromethorphan hydrobromide 10 mg/5 mL + guaiFENesin 100 mg/5 mL oral liquid, rosuvastatin 20 mg tablet, amLODIPine 10 mg capsule, dextromethorphan hydrobromide 10 mg/5 mL + guaiFENesin 100 mg/5 mL oral liquid, rosuvastatin 20 mg tablet, cetirizine hydrochloride 10 mg tablet, azithromycin 250 mg capsule, sodium chloride 0.9% (9 mg/mL) nasal spray, rosuvastatin 20 mg tablet, cetirizine hydrochloride 10 mg tablet, azithromycin 250 mg capsule, sodium chloride 0.9% (9 mg/mL) nasal spray, rosuvastatin 20 mg tablet, gliclazide 60 mg tablet: modified release, cetirizine hydrochloride 10 mg tablet, gliclazide 60 mg tablet: modified release, cetirizine hydrochloride 10 mg tablet, valsartan 80 mg tablet, amLODIPine 10 mg capsule, valsartan 80 mg tablet, amLODIPine 10 mg capsule, dextromethorphan hydrobromide 10 mg/5 mL + guaiFENesin 100 mg/5 mL oral liquid, metFORMIN hydrochloride 500 mg tablet, budesonide 160 microgram/actuation + formoterol fumarate dihydrate 4.5 microgram/actuation inhalation: powder for, paracetamol 500 mg tablet, dextromethorphan hydrobromide 10 mg/5 mL + guaiFENesin 100 mg/5 mL oral liquid, metFORMIN hydrochloride 500 mg tablet, budesonide 160 microgram/actuation + formoterol fumarate dihydrate 4.5 microgram/actuation inhalation: powder for, paracetamol 500 mg tablet, azithromycin 250 mg capsule, sodium chloride 0.9% (9 mg/mL) nasal spray, rosuvastatin 20 mg tablet, azithromycin 250 mg capsule, sodium chloride 0.9% (9 mg/mL) nasal spray, rosuvastatin 20 mg tablet</t>
  </si>
  <si>
    <t>محمد مرزوق ساري الحربي</t>
  </si>
  <si>
    <t>atorvastatin 10 mg tablet, colecalciferol 50 000 international units tablet, atorvastatin 10 mg tablet, colecalciferol 50 000 international units tablet, atorvastatin 10 mg tablet, colecalciferol 50 000 international units tablet, atorvastatin 10 mg tablet, atorvastatin 10 mg tablet, atorvastatin 10 mg tablet, colecalciferol 50 000 international units tablet, colecalciferol 50 000 international units tablet, colecalciferol 50 000 international units tablet, colecalciferol 50 000 international units tablet, atorvastatin 10 mg tablet, colecalciferol 50 000 international units tablet, atorvastatin 10 mg tablet, colecalciferol 50 000 international units tablet, atorvastatin 10 mg tablet, atorvastatin 10 mg tablet, atorvastatin 10 mg tablet, atorvastatin 10 mg tablet, colecalciferol 50 000 international units tablet, colecalciferol 50 000 international units tablet, colecalciferol 50 000 international units tablet</t>
  </si>
  <si>
    <t>بدور سفر محمد الشهراني</t>
  </si>
  <si>
    <t>metroNIDAZOLE</t>
  </si>
  <si>
    <t>metroNIDAZOLE 500 mg tablet, metroNIDAZOLE 500 mg tablet, metroNIDAZOLE 500 mg tablet, metroNIDAZOLE 500 mg tablet, metroNIDAZOLE 500 mg tablet, metroNIDAZOLE 500 mg tablet, metroNIDAZOLE 500 mg tablet, metroNIDAZOLE 500 mg tablet, metroNIDAZOLE 500 mg tablet, metroNIDAZOLE 500 mg tablet, metroNIDAZOLE 500 mg tablet, metroNIDAZOLE 500 mg tablet, metroNIDAZOLE 500 mg tablet, metroNIDAZOLE 500 mg tablet, metroNIDAZOLE 500 mg tablet, metroNIDAZOLE 500 mg tablet, metroNIDAZOLE 500 mg tablet, metroNIDAZOLE 500 mg tablet, metroNIDAZOLE 500 mg tablet, metroNIDAZOLE 500 mg tablet, metroNIDAZOLE 500 mg tablet, metroNIDAZOLE 500 mg tablet, metroNIDAZOLE 500 mg tablet, metroNIDAZOLE 500 mg tablet, metroNIDAZOLE 500 mg tablet, metroNIDAZOLE 500 mg tablet, metroNIDAZOLE 500 mg tablet</t>
  </si>
  <si>
    <t>عبدالله بن منصور بن سعيد علي الرفيدي</t>
  </si>
  <si>
    <t>valsartan 80 mg tablet, valsartan 80 mg tablet, amLODIPine 10 mg capsule, amLODIPine 10 mg capsule</t>
  </si>
  <si>
    <t>عبيد عابد عبدالله الحربي</t>
  </si>
  <si>
    <t>diclofenac sodium, celecoxib, paracetamol</t>
  </si>
  <si>
    <t>diclofenac sodium 1% (10 mg/g) gel, diclofenac sodium 1% (10 mg/g) gel, diclofenac sodium 1% (10 mg/g) gel, diclofenac sodium 1% (10 mg/g) gel, celecoxib 200 mg capsule, paracetamol 500 mg + codeine phosphate 8 mg + caffeine 30 mg tablet, celecoxib 200 mg capsule, paracetamol 500 mg + codeine phosphate 8 mg + caffeine 30 mg tablet, celecoxib 200 mg capsule, paracetamol 500 mg + codeine phosphate 8 mg + caffeine 30 mg tablet, celecoxib 200 mg capsule,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celecoxib 200 mg capsule, celecoxib 200 mg capsule, celecoxib 200 mg capsule, celecoxib 200 mg capsule, diclofenac sodium 1% (10 mg/g) gel, diclofenac sodium 1% (10 mg/g) gel, diclofenac sodium 1% (10 mg/g) gel, diclofenac sodium 1% (10 mg/g) gel, diclofenac sodium 1% (10 mg/g) gel, diclofenac sodium 1% (10 mg/g) gel, diclofenac sodium 1% (10 mg/g) gel, diclofenac sodium 1% (10 mg/g) gel, celecoxib 200 mg capsule, celecoxib 200 mg capsule, celecoxib 200 mg capsule, celecoxib 200 mg capsule, paracetamol 500 mg + codeine phosphate 8 mg + caffeine 30 mg tablet, paracetamol 500 mg + codeine phosphate 8 mg + caffeine 30 mg tablet, paracetamol 500 mg + codeine phosphate 8 mg + caffeine 30 mg tablet, paracetamol 500 mg + codeine phosphate 8 mg + caffeine 30 mg tablet</t>
  </si>
  <si>
    <t>فوزيه محمد احمد القرني</t>
  </si>
  <si>
    <t>insulin glargine (lantus), Insulin Pen Needle, metFORMIN hydrochloride, insulin aspart</t>
  </si>
  <si>
    <t>insulin glargine (lantus) 100 international units/mL injection, 3 mL prefilled pen, Insulin Pen Needle 4mm Needle [sc], metFORMIN hydrochloride 500 mg tablet, insulin glargine (lantus) 100 international units/mL injection, 3 mL prefilled pen, Insulin Pen Needle 4mm Needle [sc], metFORMIN hydrochloride 500 mg tablet, insulin glargine (lantus) 100 international units/mL injection, 3 mL prefilled pen, Insulin Pen Needle 4mm Needle [sc], metFORMIN hydrochloride 500 mg tablet, insulin aspart 100 international units/mL injection, 3 mL prefilled pen, insulin aspart 100 international units/mL injection, 3 mL prefilled pen, insulin aspart 100 international units/mL injection, 3 mL prefilled pen, Insulin Pen Needle 4mm Needle [sc], Insulin Pen Needle 4mm Needle [sc], Insulin Pen Needle 4mm Needle [sc], insulin glargine (lantus) 100 international units/mL injection, 3 mL prefilled pen, insulin glargine (lantus) 100 international units/mL injection, 3 mL prefilled pen, insulin glargine (lantus) 100 international units/mL injection, 3 mL prefilled pen, metFORMIN hydrochloride 500 mg tablet, metFORMIN hydrochloride 500 mg tablet, metFORMIN hydrochloride 500 mg tablet, insulin aspart 100 international units/mL injection, 3 mL prefilled pen, insulin aspart 100 international units/mL injection, 3 mL prefilled pen, insulin aspart 100 international units/mL injection, 3 mL prefilled pen, insulin glargine (lantus) 100 international units/mL injection, 3 mL prefilled pen, insulin aspart 100 international units/mL injection, 3 mL prefilled pen, insulin glargine (lantus) 100 international units/mL injection, 3 mL prefilled pen, insulin aspart 100 international units/mL injection, 3 mL prefilled pen, insulin glargine (lantus) 100 international units/mL injection, 3 mL prefilled pen, insulin aspart 100 international units/mL injection, 3 mL prefilled pen</t>
  </si>
  <si>
    <t>محمد قحطان محمد الشهري</t>
  </si>
  <si>
    <t>diclofenac sodium, SITagliptin, gliclazide, empagliflozin, paracetamol, metFORMIN hydrochloride</t>
  </si>
  <si>
    <t>diclofenac sodium 1% (10 mg/g) gel, diclofenac sodium 1% (10 mg/g) gel, diclofenac sodium 1% (10 mg/g) gel, diclofenac sodium 1% (10 mg/g) gel, SITagliptin 100 mg tablet, SITagliptin 100 mg tablet, SITagliptin 100 mg tablet, SITagliptin 100 mg tablet, gliclazide 60 mg tablet: modified release, empagliflozin 25 mg tablet, gliclazide 60 mg tablet: modified release, empagliflozin 25 mg tablet, gliclazide 60 mg tablet: modified release, empagliflozin 25 mg tablet, gliclazide 60 mg tablet: modified release, empagliflozin 25 mg tablet, paracetamol 500 mg tablet, metFORMIN hydrochloride 500 mg tablet, paracetamol 500 mg tablet, metFORMIN hydrochloride 500 mg tablet, paracetamol 500 mg tablet, metFORMIN hydrochloride 500 mg tablet, paracetamol 500 mg tablet, metFORMIN hydrochloride 500 mg tablet, empagliflozin 25 mg tablet, gliclazide 60 mg tablet: modified release, empagliflozin 25 mg tablet, gliclazide 60 mg tablet: modified release, empagliflozin 25 mg tablet, gliclazide 60 mg tablet: modified release, empagliflozin 25 mg tablet, gliclazide 60 mg tablet: modified release, SITagliptin 100 mg tablet, diclofenac sodium 1% (10 mg/g) gel, SITagliptin 100 mg tablet, diclofenac sodium 1% (10 mg/g) gel, SITagliptin 100 mg tablet, diclofenac sodium 1% (10 mg/g) gel, SITagliptin 100 mg tablet, diclofenac sodium 1% (10 mg/g) gel, paracetamol 500 mg tablet, metFORMIN hydrochloride 500 mg tablet, paracetamol 500 mg tablet, metFORMIN hydrochloride 500 mg tablet, paracetamol 500 mg tablet, metFORMIN hydrochloride 500 mg tablet, paracetamol 500 mg tablet, metFORMIN hydrochloride 500 mg tablet, empagliflozin 25 mg tablet, gliclazide 60 mg tablet: modified release, empagliflozin 25 mg tablet, gliclazide 60 mg tablet: modified release, empagliflozin 25 mg tablet, gliclazide 60 mg tablet: modified release, empagliflozin 25 mg tablet, gliclazide 60 mg tablet: modified release, SITagliptin 100 mg tablet, metFORMIN hydrochloride 500 mg tablet, paracetamol 500 mg tablet, SITagliptin 100 mg tablet, metFORMIN hydrochloride 500 mg tablet, paracetamol 500 mg tablet, SITagliptin 100 mg tablet, metFORMIN hydrochloride 500 mg tablet, paracetamol 500 mg tablet, SITagliptin 100 mg tablet, metFORMIN hydrochloride 500 mg tablet, paracetamol 500 mg tablet, diclofenac sodium 1% (10 mg/g) gel, diclofenac sodium 1% (10 mg/g) gel, diclofenac sodium 1% (10 mg/g) gel, diclofenac sodium 1% (10 mg/g) gel, paracetamol 500 mg tablet, paracetamol 500 mg tablet, paracetamol 500 mg tablet, paracetamol 500 mg tablet, metFORMIN hydrochloride 500 mg tablet, metFORMIN hydrochloride 500 mg tablet, metFORMIN hydrochloride 500 mg tablet, metFORMIN hydrochloride 500 mg tablet, gliclazide 60 mg tablet: modified release, empagliflozin 25 mg tablet, SITagliptin 100 mg tablet, gliclazide 60 mg tablet: modified release, empagliflozin 25 mg tablet, SITagliptin 100 mg tablet, gliclazide 60 mg tablet: modified release, empagliflozin 25 mg tablet, SITagliptin 100 mg tablet, gliclazide 60 mg tablet: modified release, empagliflozin 25 mg tablet, SITagliptin 100 mg tablet, gliclazide 60 mg tablet: modified release, paracetamol 500 mg tablet, metFORMIN hydrochloride 500 mg tablet, SITagliptin 100 mg tablet, gliclazide 60 mg tablet: modified release, paracetamol 500 mg tablet, metFORMIN hydrochloride 500 mg tablet, SITagliptin 100 mg tablet, gliclazide 60 mg tablet: modified release, paracetamol 500 mg tablet, metFORMIN hydrochloride 500 mg tablet, SITagliptin 100 mg tablet, gliclazide 60 mg tablet: modified release, paracetamol 500 mg tablet, metFORMIN hydrochloride 500 mg tablet, SITagliptin 100 mg tablet</t>
  </si>
  <si>
    <t>لطيفه منصور محمد القحطاني</t>
  </si>
  <si>
    <t>atorvastatin 20 mg tablet, atorvastatin 20 mg tablet, atorvastatin 20 mg tablet, atorvastatin 20 mg tablet, atorvastatin 20 mg tablet, atorvastatin 20 mg tablet, atorvastatin 20 mg tablet, atorvastatin 20 mg tablet</t>
  </si>
  <si>
    <t>محمد عبدالهادي محمد الغامدي</t>
  </si>
  <si>
    <t>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t>
  </si>
  <si>
    <t>عبدالخالق بنيه حميد الحميري</t>
  </si>
  <si>
    <t>tamsulosin hydrochloride, bisoprolol fumarate, acetylsalicylic acid, vitamin B complex (B, B, insulin aspart, SITagliptin, omeprazole, metFORMIN hydrochloride, rosuvastatin</t>
  </si>
  <si>
    <t>tamsulosin hydrochloride 400 microgram tablet: modified release, bisoprolol fumarate 5 mg tablet, tamsulosin hydrochloride 400 microgram tablet: modified release, bisoprolol fumarate 5 mg tablet, tamsulosin hydrochloride 400 microgram tablet: modified release, bisoprolol fumarate 5 mg tablet, acetylsalicylic acid 100 mg tablet: enteric coated, acetylsalicylic acid 100 mg tablet: enteric coated, acetylsalicylic acid 100 mg tablet: enteric coated, vitamin B complex (B1,B6,B12) 100,200,0.2 mg Film coated tablets [oral], insulin aspart 100 international units/mL injection, 3 mL prefilled pen, SITagliptin 100 mg tablet, vitamin B complex (B1,B6,B12) 100,200,0.2 mg Film coated tablets [oral], insulin aspart 100 international units/mL injection, 3 mL prefilled pen, SITagliptin 100 mg tablet, vitamin B complex (B1,B6,B12) 100,200,0.2 mg Film coated tablets [oral], insulin aspart 100 international units/mL injection, 3 mL prefilled pen, SITagliptin 100 mg tablet, omeprazole 20 mg tablet: enteric coated, metFORMIN hydrochloride 500 mg tablet, rosuvastatin 10 mg tablet, omeprazole 20 mg tablet: enteric coated, metFORMIN hydrochloride 500 mg tablet, rosuvastatin 10 mg tablet, omeprazole 20 mg tablet: enteric coated, metFORMIN hydrochloride 500 mg tablet, rosuvastatin 10 mg tablet, rosuvastatin 10 mg tablet, metFORMIN hydrochloride 500 mg tablet, rosuvastatin 10 mg tablet, metFORMIN hydrochloride 500 mg tablet, rosuvastatin 10 mg tablet, metFORMIN hydrochloride 500 mg tablet, SITagliptin 100 mg tablet, omeprazole 20 mg tablet: enteric coated, bisoprolol fumarate 5 mg tablet, vitamin B complex (B1,B6,B12) 100,200,0.2 mg Film coated tablets [oral], acetylsalicylic acid 100 mg tablet: enteric coated, tamsulosin hydrochloride 400 microgram tablet: modified release, insulin aspart 100 international units/mL injection, 3 mL prefilled pen, SITagliptin 100 mg tablet, omeprazole 20 mg tablet: enteric coated, bisoprolol fumarate 5 mg tablet, vitamin B complex (B1,B6,B12) 100,200,0.2 mg Film coated tablets [oral], acetylsalicylic acid 100 mg tablet: enteric coated, tamsulosin hydrochloride 400 microgram tablet: modified release, insulin aspart 100 international units/mL injection, 3 mL prefilled pen, SITagliptin 100 mg tablet, omeprazole 20 mg tablet: enteric coated, bisoprolol fumarate 5 mg tablet, vitamin B complex (B1,B6,B12) 100,200,0.2 mg Film coated tablets [oral], acetylsalicylic acid 100 mg tablet: enteric coated, tamsulosin hydrochloride 400 microgram tablet: modified release, insulin aspart 100 international units/mL injection, 3 mL prefilled pen</t>
  </si>
  <si>
    <t>ناجيه وصل دخيل الله الرفاعي</t>
  </si>
  <si>
    <t>diclofenac sodium 1% (10 mg/g) gel, diclofenac sodium 1% (10 mg/g) gel, diclofenac sodium 1% (10 mg/g) gel, paracetamol 500 mg tablet, paracetamol 500 mg tablet, paracetamol 500 mg tablet, paracetamol 500 mg tablet, diclofenac sodium 1% (10 mg/g) gel, paracetamol 500 mg tablet, diclofenac sodium 1% (10 mg/g) gel, paracetamol 500 mg tablet, diclofenac sodium 1% (10 mg/g) gel, paracetamol 500 mg tablet, paracetamol 500 mg tablet, paracetamol 500 mg tablet, diclofenac sodium 1% (10 mg/g) gel, diclofenac sodium 1% (10 mg/g) gel, diclofenac sodium 1% (10 mg/g) gel</t>
  </si>
  <si>
    <t>حاكمه عريمط مبارك العصلاني</t>
  </si>
  <si>
    <t>colecalciferol, amLODIPine, perindopril arginine, metFORMIN hydrochloride</t>
  </si>
  <si>
    <t>colecalciferol 1 000 international units capsule, colecalciferol 1 000 international units capsule, colecalciferol 1 000 international units capsule, amLODIPine 5 mg tablet, amLODIPine 5 mg tablet, amLODIPine 5 mg tablet, perindopril arginine 5 mg tablet, colecalciferol 1 000 international units capsule, perindopril arginine 5 mg tablet, colecalciferol 1 000 international units capsule, perindopril arginine 5 mg tablet, colecalciferol 1 000 international units capsule, perindopril arginine 5 mg tablet, perindopril arginine 5 mg tablet, perindopril arginine 5 mg tablet, colecalciferol 1 000 international units capsule, metFORMIN hydrochloride 500 mg tablet, colecalciferol 1 000 international units capsule, metFORMIN hydrochloride 500 mg tablet, colecalciferol 1 000 international units capsule, metFORMIN hydrochloride 500 mg tablet, metFORMIN hydrochloride 500 mg tablet, colecalciferol 1 000 international units capsule, amLODIPine 5 mg tablet, metFORMIN hydrochloride 500 mg tablet, colecalciferol 1 000 international units capsule, amLODIPine 5 mg tablet, metFORMIN hydrochloride 500 mg tablet, colecalciferol 1 000 international units capsule, amLODIPine 5 mg tablet, amLODIPine 5 mg tablet, perindopril arginine 5 mg tablet, metFORMIN hydrochloride 500 mg tablet, amLODIPine 5 mg tablet, perindopril arginine 5 mg tablet, metFORMIN hydrochloride 500 mg tablet, amLODIPine 5 mg tablet, perindopril arginine 5 mg tablet, metFORMIN hydrochloride 500 mg tablet, metFORMIN hydrochloride 500 mg tablet, metFORMIN hydrochloride 500 mg tablet, metFORMIN hydrochloride 500 mg tablet, amLODIPine 5 mg tablet, amLODIPine 5 mg tablet, amLODIPine 5 mg tablet, perindopril arginine 5 mg tablet, perindopril arginine 5 mg tablet, perindopril arginine 5 mg tablet</t>
  </si>
  <si>
    <t>بركيه بركي ناعم العوفي</t>
  </si>
  <si>
    <t>gliclazide, insulin aspart, cetirizine hydrochloride, metFORMIN hydrochloride, rosuvastatin, naphazoline nitrate, bisoprolol fumarate, insulin glargine (lantus), acetylsalicylic acid</t>
  </si>
  <si>
    <t>gliclazide 60 mg tablet: modified release, gliclazide 60 mg tablet: modified release, gliclazide 60 mg tablet: modified release, gliclazide 60 mg tablet: modified release, insulin aspart 100 international units/mL injection, 3 mL prefilled pen, cetirizine hydrochloride 10 mg tablet, metFORMIN hydrochloride 500 mg tablet, insulin aspart 100 international units/mL injection, 3 mL prefilled pen, cetirizine hydrochloride 10 mg tablet, metFORMIN hydrochloride 500 mg tablet, insulin aspart 100 international units/mL injection, 3 mL prefilled pen, cetirizine hydrochloride 10 mg tablet, metFORMIN hydrochloride 500 mg tablet, insulin aspart 100 international units/mL injection, 3 mL prefilled pen, cetirizine hydrochloride 10 mg tablet, metFORMIN hydrochloride 500 mg tablet, rosuvastatin 20 mg tablet, naphazoline nitrate 0.1% (1 mg/mL) eye drops, rosuvastatin 20 mg tablet, naphazoline nitrate 0.1% (1 mg/mL) eye drops, rosuvastatin 20 mg tablet, naphazoline nitrate 0.1% (1 mg/mL) eye drops, rosuvastatin 20 mg tablet, naphazoline nitrate 0.1% (1 mg/mL) eye drops, rosuvastatin 20 mg tablet, rosuvastatin 20 mg tablet, rosuvastatin 20 mg tablet, rosuvastatin 20 mg tablet, insulin aspart 100 international units/mL injection, 3 mL prefilled pen, bisoprolol fumarate 5 mg tablet, naphazoline nitrate 0.1% (1 mg/mL) eye drops, insulin aspart 100 international units/mL injection, 3 mL prefilled pen, bisoprolol fumarate 5 mg tablet, naphazoline nitrate 0.1% (1 mg/mL) eye drops, insulin aspart 100 international units/mL injection, 3 mL prefilled pen, bisoprolol fumarate 5 mg tablet, naphazoline nitrate 0.1% (1 mg/mL) eye drops, insulin aspart 100 international units/mL injection, 3 mL prefilled pen, bisoprolol fumarate 5 mg tablet, naphazoline nitrate 0.1% (1 mg/mL) eye drops, cetirizine hydrochloride 10 mg tablet, insulin glargine (lantus) 100 international units/mL injection, 3 mL prefilled pen, gliclazide 60 mg tablet: modified release, cetirizine hydrochloride 10 mg tablet, insulin glargine (lantus) 100 international units/mL injection, 3 mL prefilled pen, gliclazide 60 mg tablet: modified release, cetirizine hydrochloride 10 mg tablet, insulin glargine (lantus) 100 international units/mL injection, 3 mL prefilled pen, gliclazide 60 mg tablet: modified release, cetirizine hydrochloride 10 mg tablet, insulin glargine (lantus) 100 international units/mL injection, 3 mL prefilled pen, gliclazide 60 mg tablet: modified release, metFORMIN hydrochloride 500 mg tablet, metFORMIN hydrochloride 500 mg tablet, metFORMIN hydrochloride 500 mg tablet, metFORMIN hydrochloride 500 mg tablet, acetylsalicylic acid 100 mg tablet: enteric coated, acetylsalicylic acid 100 mg tablet: enteric coated, acetylsalicylic acid 100 mg tablet: enteric coated, acetylsalicylic acid 100 mg tablet: enteric coated, bisoprolol fumarate 5 mg tablet, gliclazide 60 mg tablet: modified release, bisoprolol fumarate 5 mg tablet, gliclazide 60 mg tablet: modified release, bisoprolol fumarate 5 mg tablet, gliclazide 60 mg tablet: modified release, bisoprolol fumarate 5 mg tablet, gliclazide 60 mg tablet: modified release, acetylsalicylic acid 100 mg tablet: enteric coated, acetylsalicylic acid 100 mg tablet: enteric coated, acetylsalicylic acid 100 mg tablet: enteric coated, acetylsalicylic acid 100 mg tablet: enteric coated, naphazoline nitrate 0.1% (1 mg/mL) eye drops, rosuvastatin 20 mg tablet, naphazoline nitrate 0.1% (1 mg/mL) eye drops, rosuvastatin 20 mg tablet, naphazoline nitrate 0.1% (1 mg/mL) eye drops, rosuvastatin 20 mg tablet, naphazoline nitrate 0.1% (1 mg/mL) eye drops, rosuvastatin 20 mg tablet, cetirizine hydrochloride 10 mg tablet, cetirizine hydrochloride 10 mg tablet, cetirizine hydrochloride 10 mg tablet, cetirizine hydrochloride 10 mg tablet, metFORMIN hydrochloride 500 mg tablet, insulin aspart 100 international units/mL injection, 3 mL prefilled pen, insulin glargine (lantus) 100 international units/mL injection, 3 mL prefilled pen, metFORMIN hydrochloride 500 mg tablet, insulin aspart 100 international units/mL injection, 3 mL prefilled pen, insulin glargine (lantus) 100 international units/mL injection, 3 mL prefilled pen, metFORMIN hydrochloride 500 mg tablet, insulin aspart 100 international units/mL injection, 3 mL prefilled pen, insulin glargine (lantus) 100 international units/mL injection, 3 mL prefilled pen, metFORMIN hydrochloride 500 mg tablet, insulin aspart 100 international units/mL injection, 3 mL prefilled pen, insulin glargine (lantus) 100 international units/mL injection, 3 mL prefilled pen, cetirizine hydrochloride 10 mg tablet, metFORMIN hydrochloride 500 mg tablet, naphazoline nitrate 0.1% (1 mg/mL) eye drops, cetirizine hydrochloride 10 mg tablet, metFORMIN hydrochloride 500 mg tablet, naphazoline nitrate 0.1% (1 mg/mL) eye drops, cetirizine hydrochloride 10 mg tablet, metFORMIN hydrochloride 500 mg tablet, naphazoline nitrate 0.1% (1 mg/mL) eye drops, cetirizine hydrochloride 10 mg tablet, metFORMIN hydrochloride 500 mg tablet, naphazoline nitrate 0.1% (1 mg/mL) eye drops, insulin glargine (lantus) 100 international units/mL injection, 3 mL prefilled pen, rosuvastatin 20 mg tablet, insulin glargine (lantus) 100 international units/mL injection, 3 mL prefilled pen, rosuvastatin 20 mg tablet, insulin glargine (lantus) 100 international units/mL injection, 3 mL prefilled pen, rosuvastatin 20 mg tablet, insulin glargine (lantus) 100 international units/mL injection, 3 mL prefilled pen, rosuvastatin 20 mg tablet, gliclazide 60 mg tablet: modified release, insulin aspart 100 international units/mL injection, 3 mL prefilled pen, bisoprolol fumarate 5 mg tablet, acetylsalicylic acid 100 mg tablet: enteric coated, gliclazide 60 mg tablet: modified release, insulin aspart 100 international units/mL injection, 3 mL prefilled pen, bisoprolol fumarate 5 mg tablet, acetylsalicylic acid 100 mg tablet: enteric coated, gliclazide 60 mg tablet: modified release, insulin aspart 100 international units/mL injection, 3 mL prefilled pen, bisoprolol fumarate 5 mg tablet, acetylsalicylic acid 100 mg tablet: enteric coated, gliclazide 60 mg tablet: modified release, insulin aspart 100 international units/mL injection, 3 mL prefilled pen, bisoprolol fumarate 5 mg tablet, acetylsalicylic acid 100 mg tablet: enteric coated, metFORMIN hydrochloride 500 mg tablet, insulin glargine (lantus) 100 international units/mL injection, 3 mL prefilled pen, metFORMIN hydrochloride 500 mg tablet, insulin glargine (lantus) 100 international units/mL injection, 3 mL prefilled pen, metFORMIN hydrochloride 500 mg tablet, insulin glargine (lantus) 100 international units/mL injection, 3 mL prefilled pen, metFORMIN hydrochloride 500 mg tablet, insulin glargine (lantus) 100 international units/mL injection, 3 mL prefilled pen, naphazoline nitrate 0.1% (1 mg/mL) eye drops, naphazoline nitrate 0.1% (1 mg/mL) eye drops, naphazoline nitrate 0.1% (1 mg/mL) eye drops, naphazoline nitrate 0.1% (1 mg/mL) eye drops, rosuvastatin 20 mg tablet, rosuvastatin 20 mg tablet, rosuvastatin 20 mg tablet, rosuvastatin 20 mg tablet, acetylsalicylic acid 100 mg tablet: enteric coated, bisoprolol fumarate 5 mg tablet, gliclazide 60 mg tablet: modified release, insulin aspart 100 international units/mL injection, 3 mL prefilled pen, cetirizine hydrochloride 10 mg tablet, acetylsalicylic acid 100 mg tablet: enteric coated, bisoprolol fumarate 5 mg tablet, gliclazide 60 mg tablet: modified release, insulin aspart 100 international units/mL injection, 3 mL prefilled pen, cetirizine hydrochloride 10 mg tablet, acetylsalicylic acid 100 mg tablet: enteric coated, bisoprolol fumarate 5 mg tablet, gliclazide 60 mg tablet: modified release, insulin aspart 100 international units/mL injection, 3 mL prefilled pen, cetirizine hydrochloride 10 mg tablet, acetylsalicylic acid 100 mg tablet: enteric coated, bisoprolol fumarate 5 mg tablet, gliclazide 60 mg tablet: modified release, insulin aspart 100 international units/mL injection, 3 mL prefilled pen, cetirizine hydrochloride 10 mg tablet, naphazoline nitrate 0.1% (1 mg/mL) eye drops, naphazoline nitrate 0.1% (1 mg/mL) eye drops, naphazoline nitrate 0.1% (1 mg/mL) eye drops, naphazoline nitrate 0.1% (1 mg/mL) eye drops, metFORMIN hydrochloride 500 mg tablet, metFORMIN hydrochloride 500 mg tablet, metFORMIN hydrochloride 500 mg tablet, metFORMIN hydrochloride 500 mg tablet, gliclazide 60 mg tablet: modified release, cetirizine hydrochloride 10 mg tablet, gliclazide 60 mg tablet: modified release, cetirizine hydrochloride 10 mg tablet, gliclazide 60 mg tablet: modified release, cetirizine hydrochloride 10 mg tablet, gliclazide 60 mg tablet: modified release, cetirizine hydrochloride 10 mg tablet, insulin aspart 100 international units/mL injection, 3 mL prefilled pen, rosuvastatin 20 mg tablet, insulin aspart 100 international units/mL injection, 3 mL prefilled pen, rosuvastatin 20 mg tablet, insulin aspart 100 international units/mL injection, 3 mL prefilled pen, rosuvastatin 20 mg tablet, insulin aspart 100 international units/mL injection, 3 mL prefilled pen, rosuvastatin 20 mg tablet</t>
  </si>
  <si>
    <t>سالم علي حوري</t>
  </si>
  <si>
    <t>vitamin B complex (B, B, metFORMIN hydrochloride, acetylsalicylic acid, atorvastatin, amLODIPine, paracetamol, empagliflozin, glimepiride, valsartan</t>
  </si>
  <si>
    <t>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acetylsalicylic acid 100 mg tablet: enteric coated, atorvastatin 20 mg tablet, amLODIPine 5 mg tablet, paracetamol 500 mg tablet, acetylsalicylic acid 100 mg tablet: enteric coated, atorvastatin 20 mg tablet, amLODIPine 5 mg tablet, paracetamol 500 mg tablet, acetylsalicylic acid 100 mg tablet: enteric coated, atorvastatin 20 mg tablet, amLODIPine 5 mg tablet, paracetamol 500 mg tablet, empagliflozin 25 mg tablet, empagliflozin 25 mg tablet, empagliflozin 25 mg tablet, glimepiride 2 mg tablet, valsartan 80 mg tablet, glimepiride 2 mg tablet, valsartan 80 mg tablet, glimepiride 2 mg tablet, valsartan 80 mg tablet, vitamin B complex (B1,B6,B12) 100,200,0.2 mg Film coated tablets [oral], acetylsalicylic acid 100 mg tablet: enteric coated, valsartan 80 mg tablet, vitamin B complex (B1,B6,B12) 100,200,0.2 mg Film coated tablets [oral], acetylsalicylic acid 100 mg tablet: enteric coated, valsartan 80 mg tablet, vitamin B complex (B1,B6,B12) 100,200,0.2 mg Film coated tablets [oral], acetylsalicylic acid 100 mg tablet: enteric coated, valsartan 80 mg tablet, glimepiride 2 mg tablet, empagliflozin 25 mg tablet, amLODIPine 5 mg tablet, atorvastatin 20 mg tablet, glimepiride 2 mg tablet, empagliflozin 25 mg tablet, amLODIPine 5 mg tablet, atorvastatin 20 mg tablet, glimepiride 2 mg tablet, empagliflozin 25 mg tablet, amLODIPine 5 mg tablet, atorvastatin 20 mg tablet, metFORMIN hydrochloride 500 mg tablet, metFORMIN hydrochloride 500 mg tablet, metFORMIN hydrochloride 500 mg tablet, paracetamol 500 mg tablet, paracetamol 500 mg tablet, paracetamol 500 mg tablet</t>
  </si>
  <si>
    <t>امل فلاح سافر الراشدي</t>
  </si>
  <si>
    <t>صالح سعد محمد العمري</t>
  </si>
  <si>
    <t>escitalopram 10 mg tablet, escitalopram 10 mg tablet, escitalopram 10 mg tablet, escitalopram 10 mg tablet, escitalopram 10 mg tablet, escitalopram 10 mg tablet, escitalopram 10 mg tablet, escitalopram 10 mg tablet, escitalopram 10 mg tablet, escitalopram 10 mg tablet, escitalopram 10 mg tablet, escitalopram 10 mg tablet</t>
  </si>
  <si>
    <t>احمد بن عمر بن طه ترنقانو</t>
  </si>
  <si>
    <t>empagliflozin, vitamin B complex (B, B, colecalciferol, amLODIPine, atorvastatin, vitamins (A, C, D, valsartan</t>
  </si>
  <si>
    <t>empagliflozin 10 mg tablet, vitamin B complex (B1,B6,B12) 100,200,0.2 mg Film coated tablets [oral], colecalciferol 1 000 international units capsule, amLODIPine 5 mg tablet, empagliflozin 10 mg tablet, vitamin B complex (B1,B6,B12) 100,200,0.2 mg Film coated tablets [oral], colecalciferol 1 000 international units capsule, amLODIPine 5 mg tablet, atorvastatin 10 mg tablet, atorvastatin 10 mg tablet, vitamins (A, B1, B2, B3, C, D3) tablet, vitamins (A, B1, B2, B3, C, D3) tablet, valsartan 80 mg tablet, valsartan 80 mg tablet, vitamins (A, B1, B2, B3, C, D3) tablet, atorvastatin 10 mg tablet, valsartan 80 mg tablet, empagliflozin 10 mg tablet, vitamins (A, B1, B2, B3, C, D3) tablet, atorvastatin 10 mg tablet, valsartan 80 mg tablet, empagliflozin 10 mg tablet, amLODIPine 5 mg tablet, amLODIPine 5 mg tablet, vitamin B complex (B1,B6,B12) 100,200,0.2 mg Film coated tablets [oral], vitamin B complex (B1,B6,B12) 100,200,0.2 mg Film coated tablets [oral], colecalciferol 1 000 international units capsule, colecalciferol 1 000 international units capsule, empagliflozin 10 mg tablet, valsartan 80 mg tablet, empagliflozin 10 mg tablet, valsartan 80 mg tablet, vitamins (A, B1, B2, B3, C, D3) tablet, atorvastatin 10 mg tablet, vitamins (A, B1, B2, B3, C, D3) tablet, atorvastatin 10 mg tablet, colecalciferol 1 000 international units capsule, colecalciferol 1 000 international units capsule, vitamin B complex (B1,B6,B12) 100,200,0.2 mg Film coated tablets [oral], amLODIPine 5 mg tablet, vitamin B complex (B1,B6,B12) 100,200,0.2 mg Film coated tablets [oral], amLODIPine 5 mg tablet</t>
  </si>
  <si>
    <t>فريال عبدالحميد محمد عالم</t>
  </si>
  <si>
    <t>Strips (Accu-Check), empagliflozin, valsartan, vitamins (A, B, C, D, vitamin B complex (B, atorvastatin, clopidogrel</t>
  </si>
  <si>
    <t>Strips (Accu-Check) 1 box Strip [n/a], Strips (Accu-Check) 1 box Strip [n/a], Strips (Accu-Check) 1 box Strip [n/a], empagliflozin 10 mg tablet, empagliflozin 10 mg tablet, empagliflozin 10 mg tablet, valsartan 80 mg tablet, valsartan 80 mg tablet, valsartan 80 mg tablet, vitamins (A, B1, B2, B3, C, D3) tablet, vitamins (A, B1, B2, B3, C, D3) tablet, vitamins (A, B1, B2, B3, C, D3) tablet, vitamin B complex (B1,B6,B12) 100,200,0.2 mg Film coated tablets [oral], vitamin B complex (B1,B6,B12) 100,200,0.2 mg Film coated tablets [oral], vitamin B complex (B1,B6,B12) 100,200,0.2 mg Film coated tablets [oral], atorvastatin 20 mg tablet, clopidogrel 75 mg tablet, atorvastatin 20 mg tablet, clopidogrel 75 mg tablet, atorvastatin 20 mg tablet, clopidogrel 75 mg tablet, Strips (Accu-Check) 1 box Strip [n/a], empagliflozin 10 mg tablet, Strips (Accu-Check) 1 box Strip [n/a], empagliflozin 10 mg tablet, Strips (Accu-Check) 1 box Strip [n/a], empagliflozin 10 mg tablet, valsartan 80 mg tablet, clopidogrel 75 mg tablet, vitamin B complex (B1,B6,B12) 100,200,0.2 mg Film coated tablets [oral], atorvastatin 20 mg tablet, valsartan 80 mg tablet, clopidogrel 75 mg tablet, vitamin B complex (B1,B6,B12) 100,200,0.2 mg Film coated tablets [oral], atorvastatin 20 mg tablet, valsartan 80 mg tablet, clopidogrel 75 mg tablet, vitamin B complex (B1,B6,B12) 100,200,0.2 mg Film coated tablets [oral], atorvastatin 20 mg tablet, vitamins (A, B1, B2, B3, C, D3) tablet, vitamins (A, B1, B2, B3, C, D3) tablet, vitamins (A, B1, B2, B3, C, D3) tablet</t>
  </si>
  <si>
    <t>حمود ابن سليمان ابن مناور الحربي</t>
  </si>
  <si>
    <t>valsartan 80 mg tablet, amLODIPine 10 mg capsule, valsartan 80 mg tablet, amLODIPine 10 mg capsule, valsartan 80 mg tablet, amLODIPine 10 mg capsule, amLODIPine 10 mg capsule, amLODIPine 10 mg capsule, amLODIPine 10 mg capsule, valsartan 80 mg tablet, valsartan 80 mg tablet, valsartan 80 mg tablet, amLODIPine 10 mg capsule, valsartan 80 mg tablet, amLODIPine 10 mg capsule, valsartan 80 mg tablet, amLODIPine 10 mg capsule, valsartan 80 mg tablet, amLODIPine 10 mg capsule, valsartan 80 mg tablet, amLODIPine 10 mg capsule, valsartan 80 mg tablet, amLODIPine 10 mg capsule, valsartan 80 mg tablet, valsartan 80 mg tablet, amLODIPine 10 mg capsule, valsartan 80 mg tablet, amLODIPine 10 mg capsule, valsartan 80 mg tablet, amLODIPine 10 mg capsule</t>
  </si>
  <si>
    <t>مريم محمد بن علي مجرشى</t>
  </si>
  <si>
    <t>metFORMIN hydrochloride, ferrous sulfate, SITagliptin, empagliflozin</t>
  </si>
  <si>
    <t>metFORMIN hydrochloride 500 mg tablet, ferrous sulfate 190 mg Tablets [oral], SITagliptin 100 mg tablet, metFORMIN hydrochloride 500 mg tablet, ferrous sulfate 190 mg Tablets [oral], SITagliptin 100 mg tablet, metFORMIN hydrochloride 500 mg tablet, ferrous sulfate 190 mg Tablets [oral], SITagliptin 100 mg tablet, metFORMIN hydrochloride 500 mg tablet, ferrous sulfate 190 mg Tablets [oral], SITagliptin 100 mg tablet, metFORMIN hydrochloride 500 mg tablet, ferrous sulfate 190 mg Tablets [oral], SITagliptin 100 mg tablet, empagliflozin 10 mg tablet, empagliflozin 10 mg tablet, empagliflozin 10 mg tablet, empagliflozin 10 mg tablet, empagliflozin 10 mg tablet, empagliflozin 10 mg tablet, empagliflozin 10 mg tablet, empagliflozin 10 mg tablet, empagliflozin 10 mg tablet, empagliflozin 10 mg tablet, ferrous sulfate 190 mg Tablets [oral], ferrous sulfate 190 mg Tablets [oral], ferrous sulfate 190 mg Tablets [oral], ferrous sulfate 190 mg Tablets [oral], ferrous sulfate 190 mg Tablets [oral], metFORMIN hydrochloride 500 mg tablet, SITagliptin 100 mg tablet, metFORMIN hydrochloride 500 mg tablet, SITagliptin 100 mg tablet, metFORMIN hydrochloride 500 mg tablet, SITagliptin 100 mg tablet, metFORMIN hydrochloride 500 mg tablet, SITagliptin 100 mg tablet, metFORMIN hydrochloride 500 mg tablet, SITagliptin 100 mg tablet, metFORMIN hydrochloride 500 mg tablet, SITagliptin 100 mg tablet, metFORMIN hydrochloride 500 mg tablet, SITagliptin 100 mg tablet, metFORMIN hydrochloride 500 mg tablet, SITagliptin 100 mg tablet, metFORMIN hydrochloride 500 mg tablet, SITagliptin 100 mg tablet, metFORMIN hydrochloride 500 mg tablet, SITagliptin 100 mg tablet</t>
  </si>
  <si>
    <t>أمل علي يحي شرواني</t>
  </si>
  <si>
    <t>rosuvastatin 10 mg tablet, rosuvastatin 10 mg tablet, rosuvastatin 10 mg tablet, rosuvastatin 10 mg tablet, rosuvastatin 10 mg tablet, rosuvastatin 10 mg tablet, rosuvastatin 10 mg tablet, rosuvastatin 10 mg tablet, rosuvastatin 10 mg tablet, rosuvastatin 10 mg tablet</t>
  </si>
  <si>
    <t>عبده درويش عبدالرحمن عواري</t>
  </si>
  <si>
    <t>atorvastatin, acetylsalicylic acid, valsartan, carvedilol, clopidogrel, empagliflozin, amLODIPine</t>
  </si>
  <si>
    <t>atorvastatin 20 mg tablet, atorvastatin 20 mg tablet, atorvastatin 20 mg tablet, acetylsalicylic acid 100 mg tablet: enteric coated, valsartan 80 mg tablet, acetylsalicylic acid 100 mg tablet: enteric coated, valsartan 80 mg tablet, acetylsalicylic acid 100 mg tablet: enteric coated, valsartan 80 mg tablet, carvedilol 25 mg tablet, clopidogrel 75 mg tablet, carvedilol 25 mg tablet, clopidogrel 75 mg tablet, carvedilol 25 mg tablet, clopidogrel 75 mg tablet, empagliflozin 10 mg tablet, amLODIPine 5 mg tablet, empagliflozin 10 mg tablet, amLODIPine 5 mg tablet, empagliflozin 10 mg tablet, amLODIPine 5 mg tablet, carvedilol 25 mg tablet, carvedilol 25 mg tablet, carvedilol 25 mg tablet, atorvastatin 20 mg tablet, acetylsalicylic acid 100 mg tablet: enteric coated, clopidogrel 75 mg tablet, atorvastatin 20 mg tablet, acetylsalicylic acid 100 mg tablet: enteric coated, clopidogrel 75 mg tablet, atorvastatin 20 mg tablet, acetylsalicylic acid 100 mg tablet: enteric coated, clopidogrel 75 mg tablet, amLODIPine 5 mg tablet, valsartan 80 mg tablet, empagliflozin 10 mg tablet, amLODIPine 5 mg tablet, valsartan 80 mg tablet, empagliflozin 10 mg tablet, amLODIPine 5 mg tablet, valsartan 80 mg tablet, empagliflozin 10 mg tablet</t>
  </si>
  <si>
    <t>خضراء مستور بنيه الحارثي</t>
  </si>
  <si>
    <t>metFORMIN hydrochloride, empagliflozin, furosemide, bisoprolol fumarate, acetylsalicylic acid, vitamin B complex (B, B, atorvastatin, valsartan</t>
  </si>
  <si>
    <t>metFORMIN hydrochloride 500 mg tablet, metFORMIN hydrochloride 500 mg tablet, metFORMIN hydrochloride 500 mg tablet, metFORMIN hydrochloride 500 mg tablet, empagliflozin 10 mg tablet, furosemide 40 mg tablet, empagliflozin 10 mg tablet, furosemide 40 mg tablet, empagliflozin 10 mg tablet, furosemide 40 mg tablet, empagliflozin 10 mg tablet, furosemide 40 mg tablet, bisoprolol fumarate 5 mg tablet, acetylsalicylic acid 100 mg tablet: enteric coated, vitamin B complex (B1,B6,B12) 100,200,0.2 mg Film coated tablets [oral], atorvastatin 20 mg tablet, valsartan 80 mg tablet, bisoprolol fumarate 5 mg tablet, acetylsalicylic acid 100 mg tablet: enteric coated, vitamin B complex (B1,B6,B12) 100,200,0.2 mg Film coated tablets [oral], atorvastatin 20 mg tablet, valsartan 80 mg tablet, bisoprolol fumarate 5 mg tablet, acetylsalicylic acid 100 mg tablet: enteric coated, vitamin B complex (B1,B6,B12) 100,200,0.2 mg Film coated tablets [oral], atorvastatin 20 mg tablet, valsartan 80 mg tablet, bisoprolol fumarate 5 mg tablet, acetylsalicylic acid 100 mg tablet: enteric coated, vitamin B complex (B1,B6,B12) 100,200,0.2 mg Film coated tablets [oral], atorvastatin 20 mg tablet, valsartan 80 mg tablet, valsartan 80 mg tablet, vitamin B complex (B1,B6,B12) 100,200,0.2 mg Film coated tablets [oral], empagliflozin 10 mg tablet, metFORMIN hydrochloride 500 mg tablet, valsartan 80 mg tablet, vitamin B complex (B1,B6,B12) 100,200,0.2 mg Film coated tablets [oral], empagliflozin 10 mg tablet, metFORMIN hydrochloride 500 mg tablet, valsartan 80 mg tablet, vitamin B complex (B1,B6,B12) 100,200,0.2 mg Film coated tablets [oral], empagliflozin 10 mg tablet, metFORMIN hydrochloride 500 mg tablet, valsartan 80 mg tablet, vitamin B complex (B1,B6,B12) 100,200,0.2 mg Film coated tablets [oral], empagliflozin 10 mg tablet, metFORMIN hydrochloride 500 mg tablet, furosemide 40 mg tablet, furosemide 40 mg tablet, furosemide 40 mg tablet, furosemide 40 mg tablet, bisoprolol fumarate 5 mg tablet, bisoprolol fumarate 5 mg tablet, bisoprolol fumarate 5 mg tablet, bisoprolol fumarate 5 mg tablet, acetylsalicylic acid 100 mg tablet: enteric coated, acetylsalicylic acid 100 mg tablet: enteric coated, acetylsalicylic acid 100 mg tablet: enteric coated, acetylsalicylic acid 100 mg tablet: enteric coated, atorvastatin 20 mg tablet, atorvastatin 20 mg tablet, atorvastatin 20 mg tablet, atorvastatin 20 mg tablet, atorvastatin 20 mg tablet, atorvastatin 20 mg tablet, atorvastatin 20 mg tablet, atorvastatin 20 mg tablet, acetylsalicylic acid 100 mg tablet: enteric coated, acetylsalicylic acid 100 mg tablet: enteric coated, acetylsalicylic acid 100 mg tablet: enteric coated, acetylsalicylic acid 100 mg tablet: enteric coated, valsartan 80 mg tablet, vitamin B complex (B1,B6,B12) 100,200,0.2 mg Film coated tablets [oral], empagliflozin 10 mg tablet, furosemide 40 mg tablet, valsartan 80 mg tablet, vitamin B complex (B1,B6,B12) 100,200,0.2 mg Film coated tablets [oral], empagliflozin 10 mg tablet, furosemide 40 mg tablet, valsartan 80 mg tablet, vitamin B complex (B1,B6,B12) 100,200,0.2 mg Film coated tablets [oral], empagliflozin 10 mg tablet, furosemide 40 mg tablet, valsartan 80 mg tablet, vitamin B complex (B1,B6,B12) 100,200,0.2 mg Film coated tablets [oral], empagliflozin 10 mg tablet, furosemide 40 mg tablet, bisoprolol fumarate 5 mg tablet, bisoprolol fumarate 5 mg tablet, bisoprolol fumarate 5 mg tablet, bisoprolol fumarate 5 mg tablet, metFORMIN hydrochloride 500 mg tablet, metFORMIN hydrochloride 500 mg tablet, metFORMIN hydrochloride 500 mg tablet, metFORMIN hydrochloride 500 mg tablet, empagliflozin 10 mg tablet, acetylsalicylic acid 100 mg tablet: enteric coated, vitamin B complex (B1,B6,B12) 100,200,0.2 mg Film coated tablets [oral], empagliflozin 10 mg tablet, acetylsalicylic acid 100 mg tablet: enteric coated, vitamin B complex (B1,B6,B12) 100,200,0.2 mg Film coated tablets [oral], empagliflozin 10 mg tablet, acetylsalicylic acid 100 mg tablet: enteric coated, vitamin B complex (B1,B6,B12) 100,200,0.2 mg Film coated tablets [oral], empagliflozin 10 mg tablet, acetylsalicylic acid 100 mg tablet: enteric coated, vitamin B complex (B1,B6,B12) 100,200,0.2 mg Film coated tablets [oral], valsartan 80 mg tablet, furosemide 40 mg tablet, valsartan 80 mg tablet, furosemide 40 mg tablet, valsartan 80 mg tablet, furosemide 40 mg tablet, valsartan 80 mg tablet, furosemide 40 mg tablet, metFORMIN hydrochloride 500 mg tablet, metFORMIN hydrochloride 500 mg tablet, metFORMIN hydrochloride 500 mg tablet, metFORMIN hydrochloride 500 mg tablet, atorvastatin 20 mg tablet, atorvastatin 20 mg tablet, atorvastatin 20 mg tablet, atorvastatin 20 mg tablet, furosemide 40 mg tablet, bisoprolol fumarate 5 mg tablet, furosemide 40 mg tablet, bisoprolol fumarate 5 mg tablet, furosemide 40 mg tablet, bisoprolol fumarate 5 mg tablet, furosemide 40 mg tablet, bisoprolol fumarate 5 mg tablet, vitamin B complex (B1,B6,B12) 100,200,0.2 mg Film coated tablets [oral], acetylsalicylic acid 100 mg tablet: enteric coated, vitamin B complex (B1,B6,B12) 100,200,0.2 mg Film coated tablets [oral], acetylsalicylic acid 100 mg tablet: enteric coated, vitamin B complex (B1,B6,B12) 100,200,0.2 mg Film coated tablets [oral], acetylsalicylic acid 100 mg tablet: enteric coated, vitamin B complex (B1,B6,B12) 100,200,0.2 mg Film coated tablets [oral], acetylsalicylic acid 100 mg tablet: enteric coated, empagliflozin 10 mg tablet, atorvastatin 20 mg tablet, empagliflozin 10 mg tablet, atorvastatin 20 mg tablet, empagliflozin 10 mg tablet, atorvastatin 20 mg tablet, empagliflozin 10 mg tablet, atorvastatin 20 mg tablet, metFORMIN hydrochloride 500 mg tablet, valsartan 80 mg tablet, metFORMIN hydrochloride 500 mg tablet, valsartan 80 mg tablet, metFORMIN hydrochloride 500 mg tablet, valsartan 80 mg tablet, metFORMIN hydrochloride 500 mg tablet, valsartan 80 mg tablet, vitamin B complex (B1,B6,B12) 100,200,0.2 mg Film coated tablets [oral], vitamin B complex (B1,B6,B12) 100,200,0.2 mg Film coated tablets [oral], vitamin B complex (B1,B6,B12) 100,200,0.2 mg Film coated tablets [oral], vitamin B complex (B1,B6,B12) 100,200,0.2 mg Film coated tablets [oral], bisoprolol fumarate 5 mg tablet, atorvastatin 20 mg tablet, empagliflozin 10 mg tablet, bisoprolol fumarate 5 mg tablet, atorvastatin 20 mg tablet, empagliflozin 10 mg tablet, bisoprolol fumarate 5 mg tablet, atorvastatin 20 mg tablet, empagliflozin 10 mg tablet, bisoprolol fumarate 5 mg tablet, atorvastatin 20 mg tablet, empagliflozin 10 mg tablet, valsartan 80 mg tablet, valsartan 80 mg tablet, valsartan 80 mg tablet, valsartan 80 mg tablet, metFORMIN hydrochloride 500 mg tablet, metFORMIN hydrochloride 500 mg tablet, metFORMIN hydrochloride 500 mg tablet, metFORMIN hydrochloride 500 mg tablet</t>
  </si>
  <si>
    <t>سلمان مبارك سائر البقمي</t>
  </si>
  <si>
    <t>ظبيه صالح ظافر القحطاني</t>
  </si>
  <si>
    <t>colecalciferol, atorvastatin, amLODIPine, calcium carbonate</t>
  </si>
  <si>
    <t>colecalciferol 5000 international units Capsules [oral], atorvastatin 10 mg tablet, colecalciferol 5000 international units Capsules [oral], atorvastatin 10 mg tablet, colecalciferol 5000 international units Capsules [oral], atorvastatin 10 mg tablet, amLODIPine 10 mg capsule, calcium carbonate 600 mg - colecalciferol 200 international units Film coated tablets [oral], amLODIPine 10 mg capsule, calcium carbonate 600 mg - colecalciferol 200 international units Film coated tablets [oral], amLODIPine 10 mg capsule, calcium carbonate 600 mg - colecalciferol 200 international units Film coated tablets [oral], atorvastatin 10 mg tablet, colecalciferol 5000 international units Capsules [oral], atorvastatin 10 mg tablet, colecalciferol 5000 international units Capsules [oral], atorvastatin 10 mg tablet, colecalciferol 5000 international units Capsules [oral], amLODIPine 10 mg capsule, amLODIPine 10 mg capsule, amLODIPine 10 mg capsule, calcium carbonate 600 mg - colecalciferol 200 international units Film coated tablets [oral], calcium carbonate 600 mg - colecalciferol 200 international units Film coated tablets [oral], calcium carbonate 600 mg - colecalciferol 200 international units Film coated tablets [oral]</t>
  </si>
  <si>
    <t>عبدالله عطيه حمود الحارثي</t>
  </si>
  <si>
    <t>paracetamol, amoxicillin</t>
  </si>
  <si>
    <t>paracetamol 500 mg tablet, paracetamol 500 mg tablet, paracetamol 500 mg tablet, paracetamol 500 mg tablet, paracetamol 500 mg tablet, paracetamol 500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paracetamol 500 mg tablet, paracetamol 500 mg tablet, paracetamol 500 mg tablet, paracetamol 500 mg tablet, paracetamol 500 mg tablet, paracetamol 500 mg tablet, amoxicillin 500 mg + clavulanic acid 125 mg tablet, paracetamol 500 mg tablet, amoxicillin 500 mg + clavulanic acid 125 mg tablet, paracetamol 500 mg tablet, amoxicillin 500 mg + clavulanic acid 125 mg tablet, paracetamol 500 mg tablet, amoxicillin 500 mg + clavulanic acid 125 mg tablet, paracetamol 500 mg tablet, amoxicillin 500 mg + clavulanic acid 125 mg tablet, paracetamol 500 mg tablet, amoxicillin 500 mg + clavulanic acid 125 mg tablet, paracetamol 500 mg tablet, paracetamol 500 mg tablet, amoxicillin 500 mg + clavulanic acid 125 mg tablet, paracetamol 500 mg tablet, amoxicillin 500 mg + clavulanic acid 125 mg tablet, paracetamol 500 mg tablet, amoxicillin 500 mg + clavulanic acid 125 mg tablet, paracetamol 500 mg tablet, amoxicillin 500 mg + clavulanic acid 125 mg tablet, paracetamol 500 mg tablet, amoxicillin 500 mg + clavulanic acid 125 mg tablet, paracetamol 500 mg tablet, amoxicillin 500 mg + clavulanic acid 125 mg tablet, paracetamol 500 mg tablet, amoxicillin 500 mg + clavulanic acid 125 mg tablet, paracetamol 500 mg tablet, amoxicillin 500 mg + clavulanic acid 125 mg tablet, paracetamol 500 mg tablet, amoxicillin 500 mg + clavulanic acid 125 mg tablet, paracetamol 500 mg tablet, amoxicillin 500 mg + clavulanic acid 125 mg tablet, paracetamol 500 mg tablet, amoxicillin 500 mg + clavulanic acid 125 mg tablet, paracetamol 500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paracetamol 500 mg tablet, paracetamol 500 mg tablet, paracetamol 500 mg tablet, paracetamol 500 mg tablet, paracetamol 500 mg tablet, paracetamol 500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paracetamol 500 mg tablet, paracetamol 500 mg tablet, paracetamol 500 mg tablet, paracetamol 500 mg tablet, paracetamol 500 mg tablet, paracetamol 500 mg tablet, amoxicillin 500 mg + clavulanic acid 125 mg tablet, paracetamol 500 mg tablet, amoxicillin 500 mg + clavulanic acid 125 mg tablet, paracetamol 500 mg tablet, amoxicillin 500 mg + clavulanic acid 125 mg tablet, paracetamol 500 mg tablet, amoxicillin 500 mg + clavulanic acid 125 mg tablet, paracetamol 500 mg tablet, amoxicillin 500 mg + clavulanic acid 125 mg tablet, paracetamol 500 mg tablet, amoxicillin 500 mg + clavulanic acid 125 mg tablet, paracetamol 500 mg tablet, paracetamol 500 mg tablet, paracetamol 500 mg tablet, paracetamol 500 mg tablet, paracetamol 500 mg tablet, paracetamol 500 mg tablet, paracetamol 500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t>
  </si>
  <si>
    <t>نوره يحي درع القحطاني</t>
  </si>
  <si>
    <t>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t>
  </si>
  <si>
    <t>حليمه رمس معدي الزهراني</t>
  </si>
  <si>
    <t>paracetamol, omeprazole, diclofenac sodium, vitamin B complex (B, B, colecalciferol</t>
  </si>
  <si>
    <t>paracetamol 500 mg tablet, omeprazole 20 mg tablet: enteric coated, paracetamol 500 mg tablet, omeprazole 20 mg tablet: enteric coated, paracetamol 500 mg tablet, omeprazole 20 mg tablet: enteric coated, paracetamol 500 mg tablet, omeprazole 20 mg tablet: enteric coated, paracetamol 500 mg tablet, omeprazole 20 mg tablet: enteric coated, diclofenac sodium 50 mg tablet, vitamin B complex (B1,B6,B12) 100,100,0.15 mg Film coated tablets [oral], diclofenac sodium 50 mg tablet, vitamin B complex (B1,B6,B12) 100,100,0.15 mg Film coated tablets [oral], diclofenac sodium 50 mg tablet, vitamin B complex (B1,B6,B12) 100,100,0.15 mg Film coated tablets [oral], diclofenac sodium 50 mg tablet, vitamin B complex (B1,B6,B12) 100,100,0.15 mg Film coated tablets [oral], diclofenac sodium 50 mg tablet, vitamin B complex (B1,B6,B12) 100,100,0.15 mg Film coated tablets [oral], colecalciferol 50 000 international units tablet, colecalciferol 50 000 international units tablet, colecalciferol 50 000 international units tablet, colecalciferol 50 000 international units tablet, colecalciferol 50 000 international units tablet,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diclofenac sodium 50 mg tablet, colecalciferol 50 000 international units tablet, omeprazole 20 mg tablet: enteric coated, diclofenac sodium 50 mg tablet, colecalciferol 50 000 international units tablet, omeprazole 20 mg tablet: enteric coated, diclofenac sodium 50 mg tablet, colecalciferol 50 000 international units tablet, omeprazole 20 mg tablet: enteric coated, diclofenac sodium 50 mg tablet, colecalciferol 50 000 international units tablet, omeprazole 20 mg tablet: enteric coated, diclofenac sodium 50 mg tablet, colecalciferol 50 000 international units tablet, omeprazole 20 mg tablet: enteric coated, paracetamol 500 mg tablet, paracetamol 500 mg tablet, paracetamol 500 mg tablet, paracetamol 500 mg tablet, paracetamol 500 mg tablet, diclofenac sodium 50 mg tablet, diclofenac sodium 50 mg tablet, diclofenac sodium 50 mg tablet, diclofenac sodium 50 mg tablet, diclofenac sodium 50 mg tablet, colecalciferol 50 000 international units tablet, colecalciferol 50 000 international units tablet, colecalciferol 50 000 international units tablet, colecalciferol 50 000 international units tablet, colecalciferol 50 000 international units tablet, paracetamol 500 mg tablet, paracetamol 500 mg tablet, paracetamol 500 mg tablet, paracetamol 500 mg tablet, paracetamol 500 mg tablet, colecalciferol 50 000 international units tablet, colecalciferol 50 000 international units tablet, colecalciferol 50 000 international units tablet, colecalciferol 50 000 international units tablet, colecalciferol 50 000 international units tablet, omeprazole 20 mg tablet: enteric coated, paracetamol 500 mg tablet, omeprazole 20 mg tablet: enteric coated, paracetamol 500 mg tablet, omeprazole 20 mg tablet: enteric coated, paracetamol 500 mg tablet, omeprazole 20 mg tablet: enteric coated, paracetamol 500 mg tablet, omeprazole 20 mg tablet: enteric coated, paracetamol 500 mg tablet, vitamin B complex (B1,B6,B12) 100,100,0.15 mg Film coated tablets [oral], diclofenac sodium 50 mg tablet, vitamin B complex (B1,B6,B12) 100,100,0.15 mg Film coated tablets [oral], diclofenac sodium 50 mg tablet, vitamin B complex (B1,B6,B12) 100,100,0.15 mg Film coated tablets [oral], diclofenac sodium 50 mg tablet, vitamin B complex (B1,B6,B12) 100,100,0.15 mg Film coated tablets [oral], diclofenac sodium 50 mg tablet, vitamin B complex (B1,B6,B12) 100,100,0.15 mg Film coated tablets [oral], diclofenac sodium 50 mg tablet, paracetamol 500 mg tablet, paracetamol 500 mg tablet, paracetamol 500 mg tablet, paracetamol 500 mg tablet, paracetamol 500 mg tablet, diclofenac sodium 50 mg tablet, diclofenac sodium 50 mg tablet, diclofenac sodium 50 mg tablet, diclofenac sodium 50 mg tablet, diclofenac sodium 50 mg tablet, vitamin B complex (B1,B6,B12) 100,100,0.15 mg Film coated tablets [oral], omeprazole 20 mg tablet: enteric coated, vitamin B complex (B1,B6,B12) 100,100,0.15 mg Film coated tablets [oral], omeprazole 20 mg tablet: enteric coated, vitamin B complex (B1,B6,B12) 100,100,0.15 mg Film coated tablets [oral], omeprazole 20 mg tablet: enteric coated, vitamin B complex (B1,B6,B12) 100,100,0.15 mg Film coated tablets [oral], omeprazole 20 mg tablet: enteric coated, vitamin B complex (B1,B6,B12) 100,100,0.15 mg Film coated tablets [oral], omeprazole 20 mg tablet: enteric coated, colecalciferol 50 000 international units tablet, colecalciferol 50 000 international units tablet, colecalciferol 50 000 international units tablet, colecalciferol 50 000 international units tablet, colecalciferol 50 000 international units tablet,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colecalciferol 50 000 international units tablet, paracetamol 500 mg tablet, colecalciferol 50 000 international units tablet, paracetamol 500 mg tablet, colecalciferol 50 000 international units tablet, paracetamol 500 mg tablet, colecalciferol 50 000 international units tablet, paracetamol 500 mg tablet, colecalciferol 50 000 international units tablet, paracetamol 500 mg tablet, diclofenac sodium 50 mg tablet, diclofenac sodium 50 mg tablet, diclofenac sodium 50 mg tablet, diclofenac sodium 50 mg tablet, diclofenac sodium 50 mg tablet, diclofenac sodium 50 mg tablet, vitamin B complex (B1,B6,B12) 100,100,0.15 mg Film coated tablets [oral], diclofenac sodium 50 mg tablet, vitamin B complex (B1,B6,B12) 100,100,0.15 mg Film coated tablets [oral], diclofenac sodium 50 mg tablet, vitamin B complex (B1,B6,B12) 100,100,0.15 mg Film coated tablets [oral], diclofenac sodium 50 mg tablet, vitamin B complex (B1,B6,B12) 100,100,0.15 mg Film coated tablets [oral], diclofenac sodium 50 mg tablet, vitamin B complex (B1,B6,B12) 100,100,0.15 mg Film coated tablets [oral], colecalciferol 50 000 international units tablet, colecalciferol 50 000 international units tablet, colecalciferol 50 000 international units tablet, colecalciferol 50 000 international units tablet, colecalciferol 50 000 international units tablet, omeprazole 20 mg tablet: enteric coated, paracetamol 500 mg tablet, omeprazole 20 mg tablet: enteric coated, paracetamol 500 mg tablet, omeprazole 20 mg tablet: enteric coated, paracetamol 500 mg tablet, omeprazole 20 mg tablet: enteric coated, paracetamol 500 mg tablet, omeprazole 20 mg tablet: enteric coated, paracetamol 500 mg tablet, colecalciferol 50 000 international units tablet, colecalciferol 50 000 international units tablet, colecalciferol 50 000 international units tablet, colecalciferol 50 000 international units tablet, colecalciferol 50 000 international units tablet, omeprazole 20 mg tablet: enteric coated, omeprazole 20 mg tablet: enteric coated, omeprazole 20 mg tablet: enteric coated, omeprazole 20 mg tablet: enteric coated, omeprazole 20 mg tablet: enteric coated, paracetamol 500 mg tablet, vitamin B complex (B1,B6,B12) 100,100,0.15 mg Film coated tablets [oral], paracetamol 500 mg tablet, vitamin B complex (B1,B6,B12) 100,100,0.15 mg Film coated tablets [oral], paracetamol 500 mg tablet, vitamin B complex (B1,B6,B12) 100,100,0.15 mg Film coated tablets [oral], paracetamol 500 mg tablet, vitamin B complex (B1,B6,B12) 100,100,0.15 mg Film coated tablets [oral], paracetamol 500 mg tablet, vitamin B complex (B1,B6,B12) 100,100,0.15 mg Film coated tablets [oral], diclofenac sodium 50 mg tablet, diclofenac sodium 50 mg tablet, diclofenac sodium 50 mg tablet, diclofenac sodium 50 mg tablet, diclofenac sodium 50 mg tablet, diclofenac sodium 50 mg tablet, diclofenac sodium 50 mg tablet, diclofenac sodium 50 mg tablet, diclofenac sodium 50 mg tablet, diclofenac sodium 50 mg tablet, paracetamol 500 mg tablet, paracetamol 500 mg tablet, paracetamol 500 mg tablet, paracetamol 500 mg tablet, paracetamol 500 mg tablet</t>
  </si>
  <si>
    <t>صالح عبد الرحيم مهدي الجبرتي</t>
  </si>
  <si>
    <t>mometasone furoate, bisacodyl</t>
  </si>
  <si>
    <t>mometasone furoate 0.1% (1 mg/g) ointment, bisacodyl 5 mg tablet: enteric-coated, mometasone furoate 0.1% (1 mg/g) ointment, bisacodyl 5 mg tablet: enteric-coated, mometasone furoate 0.1% (1 mg/g) ointment, bisacodyl 5 mg tablet: enteric-coated, mometasone furoate 0.1% (1 mg/g) ointment, bisacodyl 5 mg tablet: enteric-coated, mometasone furoate 0.1% (1 mg/g) ointment, bisacodyl 5 mg tablet: enteric-coated, mometasone furoate 0.1% (1 mg/g) ointment, mometasone furoate 0.1% (1 mg/g) ointment, mometasone furoate 0.1% (1 mg/g) ointment, mometasone furoate 0.1% (1 mg/g) ointment, mometasone furoate 0.1% (1 mg/g) ointment, bisacodyl 5 mg tablet: enteric-coated, bisacodyl 5 mg tablet: enteric-coated, bisacodyl 5 mg tablet: enteric-coated, bisacodyl 5 mg tablet: enteric-coated, bisacodyl 5 mg tablet: enteric-coated, mometasone furoate 0.1% (1 mg/g) ointment, bisacodyl 5 mg tablet: enteric-coated, mometasone furoate 0.1% (1 mg/g) ointment, bisacodyl 5 mg tablet: enteric-coated, mometasone furoate 0.1% (1 mg/g) ointment, bisacodyl 5 mg tablet: enteric-coated, mometasone furoate 0.1% (1 mg/g) ointment, bisacodyl 5 mg tablet: enteric-coated, mometasone furoate 0.1% (1 mg/g) ointment, bisacodyl 5 mg tablet: enteric-coated, mometasone furoate 0.1% (1 mg/g) ointment, bisacodyl 5 mg tablet: enteric-coated, mometasone furoate 0.1% (1 mg/g) ointment, bisacodyl 5 mg tablet: enteric-coated, mometasone furoate 0.1% (1 mg/g) ointment, bisacodyl 5 mg tablet: enteric-coated, mometasone furoate 0.1% (1 mg/g) ointment, bisacodyl 5 mg tablet: enteric-coated, mometasone furoate 0.1% (1 mg/g) ointment, bisacodyl 5 mg tablet: enteric-coated, mometasone furoate 0.1% (1 mg/g) ointment, mometasone furoate 0.1% (1 mg/g) ointment, mometasone furoate 0.1% (1 mg/g) ointment, mometasone furoate 0.1% (1 mg/g) ointment, mometasone furoate 0.1% (1 mg/g) ointment, bisacodyl 5 mg tablet: enteric-coated, bisacodyl 5 mg tablet: enteric-coated, bisacodyl 5 mg tablet: enteric-coated, bisacodyl 5 mg tablet: enteric-coated, bisacodyl 5 mg tablet: enteric-coated, mometasone furoate 0.1% (1 mg/g) ointment, mometasone furoate 0.1% (1 mg/g) ointment, mometasone furoate 0.1% (1 mg/g) ointment, mometasone furoate 0.1% (1 mg/g) ointment, mometasone furoate 0.1% (1 mg/g) ointment, bisacodyl 5 mg tablet: enteric-coated, bisacodyl 5 mg tablet: enteric-coated, bisacodyl 5 mg tablet: enteric-coated, bisacodyl 5 mg tablet: enteric-coated, bisacodyl 5 mg tablet: enteric-coated</t>
  </si>
  <si>
    <t>حمد محمد علي المالكي</t>
  </si>
  <si>
    <t>amLODIPine, rosuvastatin, chlorzoxazone, diclofenac sodium</t>
  </si>
  <si>
    <t>amLODIPine 5 mg tablet, rosuvastatin 10 mg tablet, chlorzoxazone 250 mg + paracetamol 300 mg capsule, diclofenac sodium 1% (10 mg/g) gel, amLODIPine 5 mg tablet, rosuvastatin 10 mg tablet, chlorzoxazone 250 mg + paracetamol 300 mg capsule, diclofenac sodium 1% (10 mg/g) gel, amLODIPine 5 mg tablet, rosuvastatin 10 mg tablet, chlorzoxazone 250 mg + paracetamol 300 mg capsule, diclofenac sodium 1% (10 mg/g) gel, amLODIPine 5 mg tablet, rosuvastatin 10 mg tablet, chlorzoxazone 250 mg + paracetamol 300 mg capsule, diclofenac sodium 1% (10 mg/g) gel, amLODIPine 5 mg tablet, rosuvastatin 10 mg tablet, chlorzoxazone 250 mg + paracetamol 300 mg capsule, diclofenac sodium 1% (10 mg/g) gel, amLODIPine 5 mg tablet, rosuvastatin 10 mg tablet, chlorzoxazone 250 mg + paracetamol 300 mg capsule, diclofenac sodium 1% (10 mg/g) gel, chlorzoxazone 250 mg + paracetamol 300 mg capsule, diclofenac sodium 1% (10 mg/g) gel, chlorzoxazone 250 mg + paracetamol 300 mg capsule, diclofenac sodium 1% (10 mg/g) gel, chlorzoxazone 250 mg + paracetamol 300 mg capsule, diclofenac sodium 1% (10 mg/g) gel, chlorzoxazone 250 mg + paracetamol 300 mg capsule, diclofenac sodium 1% (10 mg/g) gel, chlorzoxazone 250 mg + paracetamol 300 mg capsule, diclofenac sodium 1% (10 mg/g) gel, chlorzoxazone 250 mg + paracetamol 300 mg capsule, diclofenac sodium 1% (10 mg/g) gel, rosuvastatin 10 mg tablet, rosuvastatin 10 mg tablet, rosuvastatin 10 mg tablet, rosuvastatin 10 mg tablet, rosuvastatin 10 mg tablet, rosuvastatin 10 mg tablet, amLODIPine 5 mg tablet, amLODIPine 5 mg tablet, amLODIPine 5 mg tablet, amLODIPine 5 mg tablet, amLODIPine 5 mg tablet, amLODIPine 5 mg tablet, amLODIPine 5 mg tablet, diclofenac sodium 1% (10 mg/g) gel, amLODIPine 5 mg tablet, diclofenac sodium 1% (10 mg/g) gel, amLODIPine 5 mg tablet, diclofenac sodium 1% (10 mg/g) gel, amLODIPine 5 mg tablet, diclofenac sodium 1% (10 mg/g) gel, amLODIPine 5 mg tablet, diclofenac sodium 1% (10 mg/g) gel, amLODIPine 5 mg tablet, diclofenac sodium 1% (10 mg/g) gel, chlorzoxazone 250 mg + paracetamol 300 mg capsule, chlorzoxazone 250 mg + paracetamol 300 mg capsule, chlorzoxazone 250 mg + paracetamol 300 mg capsule, chlorzoxazone 250 mg + paracetamol 300 mg capsule, chlorzoxazone 250 mg + paracetamol 300 mg capsule, chlorzoxazone 250 mg + paracetamol 300 mg capsule, rosuvastatin 10 mg tablet, rosuvastatin 10 mg tablet, rosuvastatin 10 mg tablet, rosuvastatin 10 mg tablet, rosuvastatin 10 mg tablet, rosuvastatin 10 mg tablet, amLODIPine 5 mg tablet, diclofenac sodium 1% (10 mg/g) gel, amLODIPine 5 mg tablet, diclofenac sodium 1% (10 mg/g) gel, amLODIPine 5 mg tablet, diclofenac sodium 1% (10 mg/g) gel, amLODIPine 5 mg tablet, diclofenac sodium 1% (10 mg/g) gel, amLODIPine 5 mg tablet, diclofenac sodium 1% (10 mg/g) gel, amLODIPine 5 mg tablet, diclofenac sodium 1% (10 mg/g) gel, chlorzoxazone 250 mg + paracetamol 300 mg capsule, chlorzoxazone 250 mg + paracetamol 300 mg capsule, chlorzoxazone 250 mg + paracetamol 300 mg capsule, chlorzoxazone 250 mg + paracetamol 300 mg capsule, chlorzoxazone 250 mg + paracetamol 300 mg capsule, chlorzoxazone 250 mg + paracetamol 300 mg capsule, rosuvastatin 10 mg tablet, rosuvastatin 10 mg tablet, rosuvastatin 10 mg tablet, rosuvastatin 10 mg tablet, rosuvastatin 10 mg tablet, rosuvastatin 10 mg tablet, amLODIPine 5 mg tablet, amLODIPine 5 mg tablet, amLODIPine 5 mg tablet, amLODIPine 5 mg tablet, amLODIPine 5 mg tablet, amLODIPine 5 mg tablet, diclofenac sodium 1% (10 mg/g) gel, chlorzoxazone 250 mg + paracetamol 300 mg capsule, diclofenac sodium 1% (10 mg/g) gel, chlorzoxazone 250 mg + paracetamol 300 mg capsule, diclofenac sodium 1% (10 mg/g) gel, chlorzoxazone 250 mg + paracetamol 300 mg capsule, diclofenac sodium 1% (10 mg/g) gel, chlorzoxazone 250 mg + paracetamol 300 mg capsule, diclofenac sodium 1% (10 mg/g) gel, chlorzoxazone 250 mg + paracetamol 300 mg capsule, diclofenac sodium 1% (10 mg/g) gel, chlorzoxazone 250 mg + paracetamol 300 mg capsule,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amLODIPine 5 mg tablet, amLODIPine 5 mg tablet, amLODIPine 5 mg tablet, amLODIPine 5 mg tablet, amLODIPine 5 mg tablet, amLODIPine 5 mg tablet, diclofenac sodium 1% (10 mg/g) gel, diclofenac sodium 1% (10 mg/g) gel, diclofenac sodium 1% (10 mg/g) gel, diclofenac sodium 1% (10 mg/g) gel, diclofenac sodium 1% (10 mg/g) gel, diclofenac sodium 1% (10 mg/g) gel, chlorzoxazone 250 mg + paracetamol 300 mg capsule, chlorzoxazone 250 mg + paracetamol 300 mg capsule, chlorzoxazone 250 mg + paracetamol 300 mg capsule, chlorzoxazone 250 mg + paracetamol 300 mg capsule, chlorzoxazone 250 mg + paracetamol 300 mg capsule, chlorzoxazone 250 mg + paracetamol 300 mg capsule</t>
  </si>
  <si>
    <t>محمد حامد عبدالله الغامدي</t>
  </si>
  <si>
    <t>colecalciferol, diphenhydrAMINE hydrochloride</t>
  </si>
  <si>
    <t>colecalciferol 5000 international units Capsules [oral], diphenhydrAMINE hydrochloride 7 mg/5 mL + menthol 550 microgram/5 mL + sodium citrate 28.5 mg/5 mL oral liquid, colecalciferol 5000 international units Capsules [oral], diphenhydrAMINE hydrochloride 7 mg/5 mL + menthol 550 microgram/5 mL + sodium citrate 28.5 mg/5 mL oral liquid, colecalciferol 5000 international units Capsules [oral], diphenhydrAMINE hydrochloride 7 mg/5 mL + menthol 550 microgram/5 mL + sodium citrate 28.5 mg/5 mL oral liquid, colecalciferol 5000 international units Capsules [oral], colecalciferol 5000 international units Capsules [oral], colecalciferol 5000 international units Capsules [oral], diphenhydrAMINE hydrochloride 7 mg/5 mL + menthol 550 microgram/5 mL + sodium citrate 28.5 mg/5 mL oral liquid, diphenhydrAMINE hydrochloride 7 mg/5 mL + menthol 550 microgram/5 mL + sodium citrate 28.5 mg/5 mL oral liquid, diphenhydrAMINE hydrochloride 7 mg/5 mL + menthol 550 microgram/5 mL + sodium citrate 28.5 mg/5 mL oral liquid, diphenhydrAMINE hydrochloride 7 mg/5 mL + menthol 550 microgram/5 mL + sodium citrate 28.5 mg/5 mL oral liquid, colecalciferol 5000 international units Capsules [oral], diphenhydrAMINE hydrochloride 7 mg/5 mL + menthol 550 microgram/5 mL + sodium citrate 28.5 mg/5 mL oral liquid, colecalciferol 5000 international units Capsules [oral], diphenhydrAMINE hydrochloride 7 mg/5 mL + menthol 550 microgram/5 mL + sodium citrate 28.5 mg/5 mL oral liquid, colecalciferol 5000 international units Capsules [oral], diphenhydrAMINE hydrochloride 7 mg/5 mL + menthol 550 microgram/5 mL + sodium citrate 28.5 mg/5 mL oral liquid, diphenhydrAMINE hydrochloride 7 mg/5 mL + menthol 550 microgram/5 mL + sodium citrate 28.5 mg/5 mL oral liquid, diphenhydrAMINE hydrochloride 7 mg/5 mL + menthol 550 microgram/5 mL + sodium citrate 28.5 mg/5 mL oral liquid,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diphenhydrAMINE hydrochloride 7 mg/5 mL + menthol 550 microgram/5 mL + sodium citrate 28.5 mg/5 mL oral liquid, diphenhydrAMINE hydrochloride 7 mg/5 mL + menthol 550 microgram/5 mL + sodium citrate 28.5 mg/5 mL oral liquid, diphenhydrAMINE hydrochloride 7 mg/5 mL + menthol 550 microgram/5 mL + sodium citrate 28.5 mg/5 mL oral liquid</t>
  </si>
  <si>
    <t>عبدالرحمن احمد علي الزهراني</t>
  </si>
  <si>
    <t>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t>
  </si>
  <si>
    <t>ابتسام محمد مدني خياط</t>
  </si>
  <si>
    <t>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t>
  </si>
  <si>
    <t>سعديه عبدالله ابوخير المالكي</t>
  </si>
  <si>
    <t>paracetamol, ciprofloxacin, azithromycin</t>
  </si>
  <si>
    <t>paracetamol 500 mg tablet, ciprofloxacin 0.3% (3 mg/mL) eye drops, paracetamol 500 mg tablet, ciprofloxacin 0.3% (3 mg/mL) eye drops, paracetamol 500 mg tablet, ciprofloxacin 0.3% (3 mg/mL) eye drops, paracetamol 500 mg tablet, ciprofloxacin 0.3% (3 mg/mL) eye drops, paracetamol 500 mg tablet, ciprofloxacin 0.3% (3 mg/mL) eye drops, azithromycin 250 mg capsule, azithromycin 250 mg capsule, azithromycin 250 mg capsule, azithromycin 250 mg capsule, azithromycin 250 mg capsule, paracetamol 500 mg tablet, paracetamol 500 mg tablet, paracetamol 500 mg tablet, paracetamol 500 mg tablet, paracetamol 500 mg tablet, azithromycin 250 mg capsule, azithromycin 250 mg capsule, azithromycin 250 mg capsule, azithromycin 250 mg capsule, azithromycin 250 mg capsule, ciprofloxacin 0.3% (3 mg/mL) eye drops, ciprofloxacin 0.3% (3 mg/mL) eye drops, ciprofloxacin 0.3% (3 mg/mL) eye drops, ciprofloxacin 0.3% (3 mg/mL) eye drops, ciprofloxacin 0.3% (3 mg/mL) eye drops, paracetamol 500 mg tablet, paracetamol 500 mg tablet, paracetamol 500 mg tablet, paracetamol 500 mg tablet, paracetamol 500 mg tablet, azithromycin 250 mg capsule, azithromycin 250 mg capsule, azithromycin 250 mg capsule, azithromycin 250 mg capsule, azithromycin 250 mg capsule, ciprofloxacin 0.3% (3 mg/mL) eye drops, ciprofloxacin 0.3% (3 mg/mL) eye drops, ciprofloxacin 0.3% (3 mg/mL) eye drops, ciprofloxacin 0.3% (3 mg/mL) eye drops, ciprofloxacin 0.3% (3 mg/mL) eye drops</t>
  </si>
  <si>
    <t>مهى سعيد محمد الطويرقي</t>
  </si>
  <si>
    <t>colecalciferol, miconazole nitrate</t>
  </si>
  <si>
    <t>colecalciferol 50 000 international units tablet, colecalciferol 50 000 international units tablet, colecalciferol 50 000 international units tablet, colecalciferol 50 000 international units tablet, miconazole nitrate 2% (20 mg/g) + hydrocortisone 1% (10 mg/g) cream, miconazole nitrate 2% (20 mg/g) + hydrocortisone 1% (10 mg/g) cream, miconazole nitrate 2% (20 mg/g) + hydrocortisone 1% (10 mg/g) cream, miconazole nitrate 2% (20 mg/g) + hydrocortisone 1% (10 mg/g) cream, colecalciferol 50 000 international units tablet, colecalciferol 50 000 international units tablet, colecalciferol 50 000 international units tablet, colecalciferol 50 000 international units tablet, miconazole nitrate 2% (20 mg/g) + hydrocortisone 1% (10 mg/g) cream, miconazole nitrate 2% (20 mg/g) + hydrocortisone 1% (10 mg/g) cream, miconazole nitrate 2% (20 mg/g) + hydrocortisone 1% (10 mg/g) cream, miconazole nitrate 2% (20 mg/g) + hydrocortisone 1% (10 mg/g) cream</t>
  </si>
  <si>
    <t>ابراهيم صالح مسعود عبدالغفار</t>
  </si>
  <si>
    <t>vitamin B complex (B, B, Strips (Accu-Check), escitalopram, insulin glargine, metFORMIN hydrochloride, insulin aspart, propranolol hydrochloride, colecalciferol</t>
  </si>
  <si>
    <t>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Strips (Accu-Check) 1 box Strip [n/a], escitalopram 10 mg tablet, insulin glargine 300 international units/mL injection, 1.5 mL prefilled pen, metFORMIN hydrochloride 750 mg tablet: modified release, Strips (Accu-Check) 1 box Strip [n/a], escitalopram 10 mg tablet, insulin glargine 300 international units/mL injection, 1.5 mL prefilled pen, metFORMIN hydrochloride 750 mg tablet: modified release, Strips (Accu-Check) 1 box Strip [n/a], escitalopram 10 mg tablet, insulin glargine 300 international units/mL injection, 1.5 mL prefilled pen, metFORMIN hydrochloride 750 mg tablet: modified release, Strips (Accu-Check) 1 box Strip [n/a], escitalopram 10 mg tablet, insulin glargine 300 international units/mL injection, 1.5 mL prefilled pen, metFORMIN hydrochloride 750 mg tablet: modified release, Strips (Accu-Check) 1 box Strip [n/a], escitalopram 10 mg tablet, insulin glargine 300 international units/mL injection, 1.5 mL prefilled pen, metFORMIN hydrochloride 750 mg tablet: modified release, Strips (Accu-Check) 1 box Strip [n/a], escitalopram 10 mg tablet, insulin glargine 300 international units/mL injection, 1.5 mL prefilled pen, metFORMIN hydrochloride 750 mg tablet: modified release, Strips (Accu-Check) 1 box Strip [n/a], escitalopram 10 mg tablet, insulin glargine 300 international units/mL injection, 1.5 mL prefilled pen, metFORMIN hydrochloride 750 mg tablet: modified release, insulin aspart 100 international units/mL injection, 3 mL prefilled pen, propranolol hydrochloride 40 mg tablet, colecalciferol 50 000 international units tablet, insulin aspart 100 international units/mL injection, 3 mL prefilled pen, propranolol hydrochloride 40 mg tablet, colecalciferol 50 000 international units tablet, insulin aspart 100 international units/mL injection, 3 mL prefilled pen, propranolol hydrochloride 40 mg tablet, colecalciferol 50 000 international units tablet, insulin aspart 100 international units/mL injection, 3 mL prefilled pen, propranolol hydrochloride 40 mg tablet, colecalciferol 50 000 international units tablet, insulin aspart 100 international units/mL injection, 3 mL prefilled pen, propranolol hydrochloride 40 mg tablet, colecalciferol 50 000 international units tablet, insulin aspart 100 international units/mL injection, 3 mL prefilled pen, propranolol hydrochloride 40 mg tablet, colecalciferol 50 000 international units tablet, insulin aspart 100 international units/mL injection, 3 mL prefilled pen, propranolol hydrochloride 40 mg tablet, colecalciferol 50 000 international units tablet, propranolol hydrochloride 40 mg tablet, propranolol hydrochloride 40 mg tablet, propranolol hydrochloride 40 mg tablet, propranolol hydrochloride 40 mg tablet, propranolol hydrochloride 40 mg tablet, propranolol hydrochloride 40 mg tablet, propranolol hydrochloride 40 mg tablet, Strips (Accu-Check) 1 box Strip [n/a], Strips (Accu-Check) 1 box Strip [n/a], Strips (Accu-Check) 1 box Strip [n/a], Strips (Accu-Check) 1 box Strip [n/a], Strips (Accu-Check) 1 box Strip [n/a], Strips (Accu-Check) 1 box Strip [n/a], Strips (Accu-Check) 1 box Strip [n/a], insulin glargine 300 international units/mL injection, 1.5 mL prefilled pen, insulin aspart 100 international units/mL injection, 3 mL prefilled pen, colecalciferol 50 000 international units tablet, insulin glargine 300 international units/mL injection, 1.5 mL prefilled pen, insulin aspart 100 international units/mL injection, 3 mL prefilled pen, colecalciferol 50 000 international units tablet, insulin glargine 300 international units/mL injection, 1.5 mL prefilled pen, insulin aspart 100 international units/mL injection, 3 mL prefilled pen, colecalciferol 50 000 international units tablet, insulin glargine 300 international units/mL injection, 1.5 mL prefilled pen, insulin aspart 100 international units/mL injection, 3 mL prefilled pen, colecalciferol 50 000 international units tablet, insulin glargine 300 international units/mL injection, 1.5 mL prefilled pen, insulin aspart 100 international units/mL injection, 3 mL prefilled pen, colecalciferol 50 000 international units tablet, insulin glargine 300 international units/mL injection, 1.5 mL prefilled pen, insulin aspart 100 international units/mL injection, 3 mL prefilled pen, colecalciferol 50 000 international units tablet, insulin glargine 300 international units/mL injection, 1.5 mL prefilled pen, insulin aspart 100 international units/mL injection, 3 mL prefilled pen, colecalciferol 50 000 international units tablet, escitalopram 10 mg tablet, vitamin B complex (B1,B6,B12) 100,200,0.2 mg Film coated tablets [oral], escitalopram 10 mg tablet, vitamin B complex (B1,B6,B12) 100,200,0.2 mg Film coated tablets [oral], escitalopram 10 mg tablet, vitamin B complex (B1,B6,B12) 100,200,0.2 mg Film coated tablets [oral], escitalopram 10 mg tablet, vitamin B complex (B1,B6,B12) 100,200,0.2 mg Film coated tablets [oral], escitalopram 10 mg tablet, vitamin B complex (B1,B6,B12) 100,200,0.2 mg Film coated tablets [oral], escitalopram 10 mg tablet, vitamin B complex (B1,B6,B12) 100,200,0.2 mg Film coated tablets [oral], escitalopram 10 mg tablet, vitamin B complex (B1,B6,B12) 100,200,0.2 mg Film coated tablets [oral], metFORMIN hydrochloride 750 mg tablet: modified release, propranolol hydrochloride 40 mg tablet, metFORMIN hydrochloride 750 mg tablet: modified release, metFORMIN hydrochloride 750 mg tablet: modified release, propranolol hydrochloride 40 mg tablet, metFORMIN hydrochloride 750 mg tablet: modified release, metFORMIN hydrochloride 750 mg tablet: modified release, propranolol hydrochloride 40 mg tablet, metFORMIN hydrochloride 750 mg tablet: modified release, metFORMIN hydrochloride 750 mg tablet: modified release, propranolol hydrochloride 40 mg tablet, metFORMIN hydrochloride 750 mg tablet: modified release, metFORMIN hydrochloride 750 mg tablet: modified release, propranolol hydrochloride 40 mg tablet, metFORMIN hydrochloride 750 mg tablet: modified release, metFORMIN hydrochloride 750 mg tablet: modified release, propranolol hydrochloride 40 mg tablet, metFORMIN hydrochloride 750 mg tablet: modified release, metFORMIN hydrochloride 750 mg tablet: modified release, propranolol hydrochloride 40 mg tablet, metFORMIN hydrochloride 750 mg tablet: modified release, insulin aspart 100 international units/mL injection, 3 mL prefilled pen, vitamin B complex (B1,B6,B12) 100,200,0.2 mg Film coated tablets [oral], escitalopram 10 mg tablet, insulin aspart 100 international units/mL injection, 3 mL prefilled pen, vitamin B complex (B1,B6,B12) 100,200,0.2 mg Film coated tablets [oral], escitalopram 10 mg tablet, insulin aspart 100 international units/mL injection, 3 mL prefilled pen, vitamin B complex (B1,B6,B12) 100,200,0.2 mg Film coated tablets [oral], escitalopram 10 mg tablet, insulin aspart 100 international units/mL injection, 3 mL prefilled pen, vitamin B complex (B1,B6,B12) 100,200,0.2 mg Film coated tablets [oral], escitalopram 10 mg tablet, insulin aspart 100 international units/mL injection, 3 mL prefilled pen, vitamin B complex (B1,B6,B12) 100,200,0.2 mg Film coated tablets [oral], escitalopram 10 mg tablet, insulin aspart 100 international units/mL injection, 3 mL prefilled pen, vitamin B complex (B1,B6,B12) 100,200,0.2 mg Film coated tablets [oral], escitalopram 10 mg tablet, insulin aspart 100 international units/mL injection, 3 mL prefilled pen, vitamin B complex (B1,B6,B12) 100,200,0.2 mg Film coated tablets [oral], escitalopram 10 mg tablet, Strips (Accu-Check) 1 box Strip [n/a], colecalciferol 50 000 international units tablet, insulin glargine 300 international units/mL injection, 1.5 mL prefilled pen, Strips (Accu-Check) 1 box Strip [n/a], colecalciferol 50 000 international units tablet, insulin glargine 300 international units/mL injection, 1.5 mL prefilled pen, Strips (Accu-Check) 1 box Strip [n/a], colecalciferol 50 000 international units tablet, insulin glargine 300 international units/mL injection, 1.5 mL prefilled pen, Strips (Accu-Check) 1 box Strip [n/a], colecalciferol 50 000 international units tablet, insulin glargine 300 international units/mL injection, 1.5 mL prefilled pen, Strips (Accu-Check) 1 box Strip [n/a], colecalciferol 50 000 international units tablet, insulin glargine 300 international units/mL injection, 1.5 mL prefilled pen, Strips (Accu-Check) 1 box Strip [n/a], colecalciferol 50 000 international units tablet, insulin glargine 300 international units/mL injection, 1.5 mL prefilled pen, Strips (Accu-Check) 1 box Strip [n/a], colecalciferol 50 000 international units tablet,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Strips (Accu-Check) 1 box Strip [n/a], escitalopram 10 mg tablet, Strips (Accu-Check) 1 box Strip [n/a], escitalopram 10 mg tablet, Strips (Accu-Check) 1 box Strip [n/a], escitalopram 10 mg tablet, Strips (Accu-Check) 1 box Strip [n/a], escitalopram 10 mg tablet, Strips (Accu-Check) 1 box Strip [n/a], escitalopram 10 mg tablet, Strips (Accu-Check) 1 box Strip [n/a], escitalopram 10 mg tablet, Strips (Accu-Check) 1 box Strip [n/a], escitalopram 10 mg tablet, vitamin B complex (B1,B6,B12) 100,200,0.2 mg Film coated tablets [oral], insulin aspart 100 international units/mL injection, 3 mL prefilled pen, colecalciferol 50 000 international units tablet, metFORMIN hydrochloride 750 mg tablet: modified release, vitamin B complex (B1,B6,B12) 100,200,0.2 mg Film coated tablets [oral], insulin aspart 100 international units/mL injection, 3 mL prefilled pen, colecalciferol 50 000 international units tablet, metFORMIN hydrochloride 750 mg tablet: modified release, vitamin B complex (B1,B6,B12) 100,200,0.2 mg Film coated tablets [oral], insulin aspart 100 international units/mL injection, 3 mL prefilled pen, colecalciferol 50 000 international units tablet, metFORMIN hydrochloride 750 mg tablet: modified release, vitamin B complex (B1,B6,B12) 100,200,0.2 mg Film coated tablets [oral], insulin aspart 100 international units/mL injection, 3 mL prefilled pen, colecalciferol 50 000 international units tablet, metFORMIN hydrochloride 750 mg tablet: modified release, vitamin B complex (B1,B6,B12) 100,200,0.2 mg Film coated tablets [oral], insulin aspart 100 international units/mL injection, 3 mL prefilled pen, colecalciferol 50 000 international units tablet, metFORMIN hydrochloride 750 mg tablet: modified release, vitamin B complex (B1,B6,B12) 100,200,0.2 mg Film coated tablets [oral], insulin aspart 100 international units/mL injection, 3 mL prefilled pen, colecalciferol 50 000 international units tablet, metFORMIN hydrochloride 750 mg tablet: modified release, vitamin B complex (B1,B6,B12) 100,200,0.2 mg Film coated tablets [oral], insulin aspart 100 international units/mL injection, 3 mL prefilled pen, colecalciferol 50 000 international units tablet, metFORMIN hydrochloride 750 mg tablet: modified release, propranolol hydrochloride 40 mg tablet, propranolol hydrochloride 40 mg tablet, propranolol hydrochloride 40 mg tablet, propranolol hydrochloride 40 mg tablet, propranolol hydrochloride 40 mg tablet, propranolol hydrochloride 40 mg tablet, propranolol hydrochloride 40 mg tablet</t>
  </si>
  <si>
    <t>بلقاسم احمد محمد الشيخي</t>
  </si>
  <si>
    <t>cetirizine hydrochloride, carbomer, metFORMIN hydrochloride, hydrocortisone</t>
  </si>
  <si>
    <t>cetirizine hydrochloride 10 mg tablet, cetirizine hydrochloride 10 mg tablet, cetirizine hydrochloride 10 mg tablet, cetirizine hydrochloride 10 mg tablet, cetirizine hydrochloride 10 mg tablet, carbomer 0.2% (2 mg/g) eye gel, carbomer 0.2% (2 mg/g) eye gel, carbomer 0.2% (2 mg/g) eye gel, carbomer 0.2% (2 mg/g) eye gel, carbomer 0.2% (2 mg/g) eye gel, metFORMIN hydrochloride 750 mg tablet: modified release, metFORMIN hydrochloride 750 mg tablet: modified release, metFORMIN hydrochloride 750 mg tablet: modified release, metFORMIN hydrochloride 750 mg tablet: modified release, metFORMIN hydrochloride 750 mg tablet: modified release, hydrocortisone 1% (10 mg/g) cream, hydrocortisone 1% (10 mg/g) cream, hydrocortisone 1% (10 mg/g) cream, hydrocortisone 1% (10 mg/g) cream, hydrocortisone 1% (10 mg/g) cream, carbomer 0.2% (2 mg/g) eye gel, hydrocortisone 1% (10 mg/g) cream, metFORMIN hydrochloride 750 mg tablet: modified release, carbomer 0.2% (2 mg/g) eye gel, hydrocortisone 1% (10 mg/g) cream, metFORMIN hydrochloride 750 mg tablet: modified release, carbomer 0.2% (2 mg/g) eye gel, hydrocortisone 1% (10 mg/g) cream, metFORMIN hydrochloride 750 mg tablet: modified release, carbomer 0.2% (2 mg/g) eye gel, hydrocortisone 1% (10 mg/g) cream, metFORMIN hydrochloride 750 mg tablet: modified release, carbomer 0.2% (2 mg/g) eye gel, hydrocortisone 1% (10 mg/g) cream, metFORMIN hydrochloride 750 mg tablet: modified release,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metFORMIN hydrochloride 750 mg tablet: modified release, metFORMIN hydrochloride 750 mg tablet: modified release, metFORMIN hydrochloride 750 mg tablet: modified release, metFORMIN hydrochloride 750 mg tablet: modified release, metFORMIN hydrochloride 750 mg tablet: modified release, carbomer 0.2% (2 mg/g) eye gel, hydrocortisone 1% (10 mg/g) cream, carbomer 0.2% (2 mg/g) eye gel, hydrocortisone 1% (10 mg/g) cream, carbomer 0.2% (2 mg/g) eye gel, hydrocortisone 1% (10 mg/g) cream, carbomer 0.2% (2 mg/g) eye gel, hydrocortisone 1% (10 mg/g) cream, carbomer 0.2% (2 mg/g) eye gel, hydrocortisone 1% (10 mg/g) cream</t>
  </si>
  <si>
    <t>نوره عنايةالله دخيل العبيدي</t>
  </si>
  <si>
    <t>atorvastatin, valsartan, metFORMIN hydrochloride, paracetamol, amLODIPine, diclofenac sodium, vitamin B complex (B, B, calcium carbonate</t>
  </si>
  <si>
    <t>atorvastatin 20 mg tablet, valsartan 80 mg tablet, atorvastatin 20 mg tablet, valsartan 80 mg tablet, atorvastatin 20 mg tablet, valsartan 80 mg tablet, atorvastatin 20 mg tablet, valsartan 80 mg tablet, atorvastatin 20 mg tablet, valsartan 80 mg tablet, atorvastatin 20 mg tablet, valsartan 80 mg tablet, atorvastatin 20 mg tablet, valsartan 80 mg tablet, metFORMIN hydrochloride 500 mg tablet, paracetamol 500 mg tablet, amLODIPine 5 mg tablet, metFORMIN hydrochloride 500 mg tablet, paracetamol 500 mg tablet, amLODIPine 5 mg tablet, metFORMIN hydrochloride 500 mg tablet, paracetamol 500 mg tablet, amLODIPine 5 mg tablet, metFORMIN hydrochloride 500 mg tablet, paracetamol 500 mg tablet, amLODIPine 5 mg tablet, metFORMIN hydrochloride 500 mg tablet, paracetamol 500 mg tablet, amLODIPine 5 mg tablet, metFORMIN hydrochloride 500 mg tablet, paracetamol 500 mg tablet, amLODIPine 5 mg tablet, metFORMIN hydrochloride 500 mg tablet, paracetamol 500 mg tablet, amLODIPine 5 mg tablet, diclofenac sodium 1% (10 mg/g) gel, diclofenac sodium 1% (10 mg/g) gel, diclofenac sodium 1% (10 mg/g) gel, diclofenac sodium 1% (10 mg/g) gel, diclofenac sodium 1% (10 mg/g) gel, diclofenac sodium 1% (10 mg/g) gel, diclofenac sodium 1% (10 mg/g) gel, vitamin B complex (B1,B6,B12) 100,200,0.2 mg Film coated tablets [oral], calcium carbonate 600 mg - colecalciferol 200 international units Film coated tablets [oral], vitamin B complex (B1,B6,B12) 100,200,0.2 mg Film coated tablets [oral], calcium carbonate 600 mg - colecalciferol 200 international units Film coated tablets [oral], vitamin B complex (B1,B6,B12) 100,200,0.2 mg Film coated tablets [oral], calcium carbonate 600 mg - colecalciferol 200 international units Film coated tablets [oral], vitamin B complex (B1,B6,B12) 100,200,0.2 mg Film coated tablets [oral], calcium carbonate 600 mg - colecalciferol 200 international units Film coated tablets [oral], vitamin B complex (B1,B6,B12) 100,200,0.2 mg Film coated tablets [oral], calcium carbonate 600 mg - colecalciferol 200 international units Film coated tablets [oral], vitamin B complex (B1,B6,B12) 100,200,0.2 mg Film coated tablets [oral], calcium carbonate 600 mg - colecalciferol 200 international units Film coated tablets [oral], vitamin B complex (B1,B6,B12) 100,200,0.2 mg Film coated tablets [oral], calcium carbonate 600 mg - colecalciferol 200 international units Film coated tablets [oral], paracetamol 500 mg tablet, valsartan 80 mg tablet, amLODIPine 5 mg tablet, metFORMIN hydrochloride 500 mg tablet, calcium carbonate 600 mg - colecalciferol 200 international units Film coated tablets [oral], vitamin B complex (B1,B6,B12) 100,200,0.2 mg Film coated tablets [oral], atorvastatin 20 mg tablet, diclofenac sodium 1% (10 mg/g) gel, paracetamol 500 mg tablet, valsartan 80 mg tablet, amLODIPine 5 mg tablet, metFORMIN hydrochloride 500 mg tablet, calcium carbonate 600 mg - colecalciferol 200 international units Film coated tablets [oral], vitamin B complex (B1,B6,B12) 100,200,0.2 mg Film coated tablets [oral], atorvastatin 20 mg tablet, diclofenac sodium 1% (10 mg/g) gel, paracetamol 500 mg tablet, valsartan 80 mg tablet, amLODIPine 5 mg tablet, metFORMIN hydrochloride 500 mg tablet, calcium carbonate 600 mg - colecalciferol 200 international units Film coated tablets [oral], vitamin B complex (B1,B6,B12) 100,200,0.2 mg Film coated tablets [oral], atorvastatin 20 mg tablet, diclofenac sodium 1% (10 mg/g) gel, paracetamol 500 mg tablet, valsartan 80 mg tablet, amLODIPine 5 mg tablet, metFORMIN hydrochloride 500 mg tablet, calcium carbonate 600 mg - colecalciferol 200 international units Film coated tablets [oral], vitamin B complex (B1,B6,B12) 100,200,0.2 mg Film coated tablets [oral], atorvastatin 20 mg tablet, diclofenac sodium 1% (10 mg/g) gel, paracetamol 500 mg tablet, valsartan 80 mg tablet, amLODIPine 5 mg tablet, metFORMIN hydrochloride 500 mg tablet, calcium carbonate 600 mg - colecalciferol 200 international units Film coated tablets [oral], vitamin B complex (B1,B6,B12) 100,200,0.2 mg Film coated tablets [oral], atorvastatin 20 mg tablet, diclofenac sodium 1% (10 mg/g) gel, paracetamol 500 mg tablet, valsartan 80 mg tablet, amLODIPine 5 mg tablet, metFORMIN hydrochloride 500 mg tablet, calcium carbonate 600 mg - colecalciferol 200 international units Film coated tablets [oral], vitamin B complex (B1,B6,B12) 100,200,0.2 mg Film coated tablets [oral], atorvastatin 20 mg tablet, diclofenac sodium 1% (10 mg/g) gel, paracetamol 500 mg tablet, valsartan 80 mg tablet, amLODIPine 5 mg tablet, metFORMIN hydrochloride 500 mg tablet, calcium carbonate 600 mg - colecalciferol 200 international units Film coated tablets [oral], vitamin B complex (B1,B6,B12) 100,200,0.2 mg Film coated tablets [oral], atorvastatin 20 mg tablet, diclofenac sodium 1% (10 mg/g) gel</t>
  </si>
  <si>
    <t>مها شيراز عوض المالكي</t>
  </si>
  <si>
    <t>paracetamol, meloxicam, diclofenac sodium</t>
  </si>
  <si>
    <t>paracetamol 500 mg + codeine phosphate 8 mg + caffeine 30 mg tablet, meloxicam 7.5 mg tablet, paracetamol 500 mg + codeine phosphate 8 mg + caffeine 30 mg tablet, meloxicam 7.5 mg tablet, paracetamol 500 mg + codeine phosphate 8 mg + caffeine 30 mg tablet, meloxicam 7.5 mg tablet, paracetamol 500 mg + codeine phosphate 8 mg + caffeine 30 mg tablet, meloxicam 7.5 mg tablet, diclofenac sodium 1% (10 mg/g) gel, diclofenac sodium 1% (10 mg/g) gel, diclofenac sodium 1% (10 mg/g) gel, diclofenac sodium 1% (10 mg/g) gel, diclofenac sodium 1% (10 mg/g) gel, diclofenac sodium 1% (10 mg/g) gel, diclofenac sodium 1% (10 mg/g) gel, diclofenac sodium 1% (10 mg/g) gel, paracetamol 500 mg + codeine phosphate 8 mg + caffeine 30 mg tablet, meloxicam 7.5 mg tablet, paracetamol 500 mg + codeine phosphate 8 mg + caffeine 30 mg tablet, meloxicam 7.5 mg tablet, paracetamol 500 mg + codeine phosphate 8 mg + caffeine 30 mg tablet, meloxicam 7.5 mg tablet, paracetamol 500 mg + codeine phosphate 8 mg + caffeine 30 mg tablet, meloxicam 7.5 mg tablet, paracetamol 500 mg + codeine phosphate 8 mg + caffeine 30 mg tablet, paracetamol 500 mg + codeine phosphate 8 mg + caffeine 30 mg tablet, paracetamol 500 mg + codeine phosphate 8 mg + caffeine 30 mg tablet, paracetamol 500 mg + codeine phosphate 8 mg + caffeine 30 mg tablet, meloxicam 7.5 mg tablet, diclofenac sodium 1% (10 mg/g) gel, meloxicam 7.5 mg tablet, diclofenac sodium 1% (10 mg/g) gel, meloxicam 7.5 mg tablet, diclofenac sodium 1% (10 mg/g) gel, meloxicam 7.5 mg tablet, diclofenac sodium 1% (10 mg/g) gel</t>
  </si>
  <si>
    <t>ابراهيم عبده عيسى حكمي</t>
  </si>
  <si>
    <t>empagliflozin, linagliptin, vitamin B complex (B, B, terbinafine hydrochloride, paracetamol, metFORMIN hydrochloride</t>
  </si>
  <si>
    <t>empagliflozin 10 mg tablet, empagliflozin 10 mg tablet, empagliflozin 10 mg tablet, empagliflozin 10 mg tablet, empagliflozin 10 mg tablet, linagliptin 5 mg tablet, linagliptin 5 mg tablet, linagliptin 5 mg tablet, linagliptin 5 mg tablet, linagliptin 5 mg tablet, vitamin B complex (B1,B6,B12) 100,100,0.15 mg Film coated tablets [oral], terbinafine hydrochloride 1% (10 mg/g) cream, paracetamol 500 mg tablet, vitamin B complex (B1,B6,B12) 100,100,0.15 mg Film coated tablets [oral], terbinafine hydrochloride 1% (10 mg/g) cream, paracetamol 500 mg tablet, vitamin B complex (B1,B6,B12) 100,100,0.15 mg Film coated tablets [oral], terbinafine hydrochloride 1% (10 mg/g) cream, paracetamol 500 mg tablet, vitamin B complex (B1,B6,B12) 100,100,0.15 mg Film coated tablets [oral], terbinafine hydrochloride 1% (10 mg/g) cream, paracetamol 500 mg tablet, vitamin B complex (B1,B6,B12) 100,100,0.15 mg Film coated tablets [oral], terbinafine hydrochloride 1% (10 mg/g) cream, paracetamol 500 mg tablet, metFORMIN hydrochloride 500 mg tablet, metFORMIN hydrochloride 500 mg tablet, metFORMIN hydrochloride 500 mg tablet, metFORMIN hydrochloride 500 mg tablet, metFORMIN hydrochloride 500 mg tablet, paracetamol 500 mg tablet, empagliflozin 10 mg tablet, paracetamol 500 mg tablet, empagliflozin 10 mg tablet, paracetamol 500 mg tablet, empagliflozin 10 mg tablet, paracetamol 500 mg tablet, empagliflozin 10 mg tablet, paracetamol 500 mg tablet, empagliflozin 10 mg tablet,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linagliptin 5 mg tablet, linagliptin 5 mg tablet, linagliptin 5 mg tablet, linagliptin 5 mg tablet, linagliptin 5 mg tablet, terbinafine hydrochloride 1% (10 mg/g) cream, metFORMIN hydrochloride 500 mg tablet, terbinafine hydrochloride 1% (10 mg/g) cream, metFORMIN hydrochloride 500 mg tablet, terbinafine hydrochloride 1% (10 mg/g) cream, metFORMIN hydrochloride 500 mg tablet, terbinafine hydrochloride 1% (10 mg/g) cream, metFORMIN hydrochloride 500 mg tablet, terbinafine hydrochloride 1% (10 mg/g) cream, metFORMIN hydrochloride 500 mg tablet, paracetamol 500 mg tablet, linagliptin 5 mg tablet, paracetamol 500 mg tablet, linagliptin 5 mg tablet, paracetamol 500 mg tablet, linagliptin 5 mg tablet, paracetamol 500 mg tablet, linagliptin 5 mg tablet, paracetamol 500 mg tablet, linagliptin 5 mg tablet, empagliflozin 10 mg tablet, vitamin B complex (B1,B6,B12) 100,100,0.15 mg Film coated tablets [oral], empagliflozin 10 mg tablet, vitamin B complex (B1,B6,B12) 100,100,0.15 mg Film coated tablets [oral], empagliflozin 10 mg tablet, vitamin B complex (B1,B6,B12) 100,100,0.15 mg Film coated tablets [oral], empagliflozin 10 mg tablet, vitamin B complex (B1,B6,B12) 100,100,0.15 mg Film coated tablets [oral], empagliflozin 10 mg tablet, vitamin B complex (B1,B6,B12) 100,100,0.15 mg Film coated tablets [oral], metFORMIN hydrochloride 500 mg tablet, terbinafine hydrochloride 1% (10 mg/g) cream, metFORMIN hydrochloride 500 mg tablet, terbinafine hydrochloride 1% (10 mg/g) cream, metFORMIN hydrochloride 500 mg tablet, terbinafine hydrochloride 1% (10 mg/g) cream, metFORMIN hydrochloride 500 mg tablet, terbinafine hydrochloride 1% (10 mg/g) cream, metFORMIN hydrochloride 500 mg tablet, terbinafine hydrochloride 1% (10 mg/g) cream, empagliflozin 10 mg tablet, empagliflozin 10 mg tablet, empagliflozin 10 mg tablet, empagliflozin 10 mg tablet, empagliflozin 10 mg tablet, linagliptin 5 mg tablet, terbinafine hydrochloride 1% (10 mg/g) cream, metFORMIN hydrochloride 500 mg tablet, vitamin B complex (B1,B6,B12) 100,100,0.15 mg Film coated tablets [oral], paracetamol 500 mg tablet, linagliptin 5 mg tablet, terbinafine hydrochloride 1% (10 mg/g) cream, metFORMIN hydrochloride 500 mg tablet, vitamin B complex (B1,B6,B12) 100,100,0.15 mg Film coated tablets [oral], paracetamol 500 mg tablet, linagliptin 5 mg tablet, terbinafine hydrochloride 1% (10 mg/g) cream, metFORMIN hydrochloride 500 mg tablet, vitamin B complex (B1,B6,B12) 100,100,0.15 mg Film coated tablets [oral], paracetamol 500 mg tablet, linagliptin 5 mg tablet, terbinafine hydrochloride 1% (10 mg/g) cream, metFORMIN hydrochloride 500 mg tablet, vitamin B complex (B1,B6,B12) 100,100,0.15 mg Film coated tablets [oral], paracetamol 500 mg tablet, linagliptin 5 mg tablet, terbinafine hydrochloride 1% (10 mg/g) cream, metFORMIN hydrochloride 500 mg tablet, vitamin B complex (B1,B6,B12) 100,100,0.15 mg Film coated tablets [oral], paracetamol 500 mg tablet, paracetamol 500 mg tablet, empagliflozin 10 mg tablet, paracetamol 500 mg tablet, empagliflozin 10 mg tablet, paracetamol 500 mg tablet, empagliflozin 10 mg tablet, paracetamol 500 mg tablet, empagliflozin 10 mg tablet, paracetamol 500 mg tablet, empagliflozin 10 mg tablet, vitamin B complex (B1,B6,B12) 100,100,0.15 mg Film coated tablets [oral], linagliptin 5 mg tablet, vitamin B complex (B1,B6,B12) 100,100,0.15 mg Film coated tablets [oral], linagliptin 5 mg tablet, vitamin B complex (B1,B6,B12) 100,100,0.15 mg Film coated tablets [oral], linagliptin 5 mg tablet, vitamin B complex (B1,B6,B12) 100,100,0.15 mg Film coated tablets [oral], linagliptin 5 mg tablet, vitamin B complex (B1,B6,B12) 100,100,0.15 mg Film coated tablets [oral], linagliptin 5 mg tablet, terbinafine hydrochloride 1% (10 mg/g) cream, metFORMIN hydrochloride 500 mg tablet, terbinafine hydrochloride 1% (10 mg/g) cream, metFORMIN hydrochloride 500 mg tablet, terbinafine hydrochloride 1% (10 mg/g) cream, metFORMIN hydrochloride 500 mg tablet, terbinafine hydrochloride 1% (10 mg/g) cream, metFORMIN hydrochloride 500 mg tablet, terbinafine hydrochloride 1% (10 mg/g) cream, metFORMIN hydrochloride 500 mg tablet</t>
  </si>
  <si>
    <t>علي محمد علي الشهوان</t>
  </si>
  <si>
    <t>rosuvastatin, insulin glargine (lantus), acetylsalicylic acid, empagliflozin, Insulin Pen Needle, omeprazole, vitamin B complex (B, B, SITagliptin, metFORMIN hydrochloride</t>
  </si>
  <si>
    <t>rosuvastatin 20 mg tablet, insulin glargine (lantus) 100 international units/mL injection, 3 mL prefilled pen, acetylsalicylic acid 100 mg tablet: enteric coated, empagliflozin 25 mg tablet, Insulin Pen Needle 4mm Needle [sc], omeprazole 20 mg tablet: enteric coated, vitamin B complex (B1,B6,B12) 100,200,0.2 mg Film coated tablets [oral], SITagliptin 100 mg tablet, rosuvastatin 20 mg tablet, insulin glargine (lantus) 100 international units/mL injection, 3 mL prefilled pen, acetylsalicylic acid 100 mg tablet: enteric coated, empagliflozin 25 mg tablet, Insulin Pen Needle 4mm Needle [sc], omeprazole 20 mg tablet: enteric coated, vitamin B complex (B1,B6,B12) 100,200,0.2 mg Film coated tablets [oral], SITagliptin 100 mg tablet, rosuvastatin 20 mg tablet, insulin glargine (lantus) 100 international units/mL injection, 3 mL prefilled pen, acetylsalicylic acid 100 mg tablet: enteric coated, empagliflozin 25 mg tablet, Insulin Pen Needle 4mm Needle [sc], omeprazole 20 mg tablet: enteric coated, vitamin B complex (B1,B6,B12) 100,200,0.2 mg Film coated tablets [oral], SITagliptin 100 mg tablet, rosuvastatin 20 mg tablet, insulin glargine (lantus) 100 international units/mL injection, 3 mL prefilled pen, acetylsalicylic acid 100 mg tablet: enteric coated, empagliflozin 25 mg tablet, Insulin Pen Needle 4mm Needle [sc], omeprazole 20 mg tablet: enteric coated, vitamin B complex (B1,B6,B12) 100,200,0.2 mg Film coated tablets [oral], SITagliptin 100 mg tablet, metFORMIN hydrochloride 500 mg tablet, bisoprolol fumarate 5 mg tablet, insulin aspart 100 international units/mL injection, 3 mL prefilled pen, colecalciferol 1 000 international units capsule, perindopril arginine 5 mg tablet, ticagrelor 90 mg tablet, metFORMIN hydrochloride 500 mg tablet, bisoprolol fumarate 5 mg tablet, insulin aspart 100 international units/mL injection, 3 mL prefilled pen, colecalciferol 1 000 international units capsule, perindopril arginine 5 mg tablet, ticagrelor 90 mg tablet, metFORMIN hydrochloride 500 mg tablet, bisoprolol fumarate 5 mg tablet, insulin aspart 100 international units/mL injection, 3 mL prefilled pen, colecalciferol 1 000 international units capsule, perindopril arginine 5 mg tablet, ticagrelor 90 mg tablet, metFORMIN hydrochloride 500 mg tablet, bisoprolol fumarate 5 mg tablet, insulin aspart 100 international units/mL injection, 3 mL prefilled pen, colecalciferol 1 000 international units capsule, perindopril arginine 5 mg tablet, ticagrelor 90 mg tablet, rosuvastatin 20 mg tablet, empagliflozin 25 mg tablet, insulin glargine (lantus) 100 international units/mL injection, 3 mL prefilled pen, Insulin Pen Needle 4mm Needle [sc], acetylsalicylic acid 100 mg tablet: enteric coated, omeprazole 20 mg tablet: enteric coated, SITagliptin 100 mg tablet, vitamin B complex (B1,B6,B12) 100,200,0.2 mg Film coated tablets [oral], insulin aspart 100 international units/mL injection, 3 mL prefilled pen, colecalciferol 1 000 international units capsule, bisoprolol fumarate 5 mg tablet, metFORMIN hydrochloride 500 mg tablet, perindopril arginine 5 mg tablet, ticagrelor 90 mg tablet, rosuvastatin 20 mg tablet, empagliflozin 25 mg tablet, insulin glargine (lantus) 100 international units/mL injection, 3 mL prefilled pen, Insulin Pen Needle 4mm Needle [sc], acetylsalicylic acid 100 mg tablet: enteric coated, omeprazole 20 mg tablet: enteric coated, SITagliptin 100 mg tablet, vitamin B complex (B1,B6,B12) 100,200,0.2 mg Film coated tablets [oral], insulin aspart 100 international units/mL injection, 3 mL prefilled pen, colecalciferol 1 000 international units capsule, bisoprolol fumarate 5 mg tablet, metFORMIN hydrochloride 500 mg tablet, perindopril arginine 5 mg tablet, ticagrelor 90 mg tablet, rosuvastatin 20 mg tablet, empagliflozin 25 mg tablet, insulin glargine (lantus) 100 international units/mL injection, 3 mL prefilled pen, Insulin Pen Needle 4mm Needle [sc], acetylsalicylic acid 100 mg tablet: enteric coated, omeprazole 20 mg tablet: enteric coated, SITagliptin 100 mg tablet, vitamin B complex (B1,B6,B12) 100,200,0.2 mg Film coated tablets [oral], insulin aspart 100 international units/mL injection, 3 mL prefilled pen, colecalciferol 1 000 international units capsule, bisoprolol fumarate 5 mg tablet, metFORMIN hydrochloride 500 mg tablet, perindopril arginine 5 mg tablet, ticagrelor 90 mg tablet, rosuvastatin 20 mg tablet, empagliflozin 25 mg tablet, insulin glargine (lantus) 100 international units/mL injection, 3 mL prefilled pen, Insulin Pen Needle 4mm Needle [sc], acetylsalicylic acid 100 mg tablet: enteric coated, omeprazole 20 mg tablet: enteric coated, SITagliptin 100 mg tablet, vitamin B complex (B1,B6,B12) 100,200,0.2 mg Film coated tablets [oral], insulin aspart 100 international units/mL injection, 3 mL prefilled pen, colecalciferol 1 000 international units capsule, bisoprolol fumarate 5 mg tablet, metFORMIN hydrochloride 500 mg tablet, perindopril arginine 5 mg tablet, ticagrelor 90 mg tablet, SITagliptin 100 mg tablet, ticagrelor 90 mg tablet, bisoprolol fumarate 5 mg tablet, perindopril arginine 5 mg tablet, metFORMIN hydrochloride 500 mg tablet, empagliflozin 25 mg tablet, insulin glargine (lantus) 100 international units/mL injection, 3 mL prefilled pen, Insulin Pen Needle 4mm Needle [sc], insulin aspart 100 international units/mL injection, 3 mL prefilled pen, vitamin B complex (B1,B6,B12) 100,200,0.2 mg Film coated tablets [oral], colecalciferol 1 000 international units capsule, SITagliptin 100 mg tablet, ticagrelor 90 mg tablet, bisoprolol fumarate 5 mg tablet, perindopril arginine 5 mg tablet, metFORMIN hydrochloride 500 mg tablet, empagliflozin 25 mg tablet, insulin glargine (lantus) 100 international units/mL injection, 3 mL prefilled pen, Insulin Pen Needle 4mm Needle [sc], insulin aspart 100 international units/mL injection, 3 mL prefilled pen, vitamin B complex (B1,B6,B12) 100,200,0.2 mg Film coated tablets [oral], colecalciferol 1 000 international units capsule, SITagliptin 100 mg tablet, ticagrelor 90 mg tablet, bisoprolol fumarate 5 mg tablet, perindopril arginine 5 mg tablet, metFORMIN hydrochloride 500 mg tablet, empagliflozin 25 mg tablet, insulin glargine (lantus) 100 international units/mL injection, 3 mL prefilled pen, Insulin Pen Needle 4mm Needle [sc], insulin aspart 100 international units/mL injection, 3 mL prefilled pen, vitamin B complex (B1,B6,B12) 100,200,0.2 mg Film coated tablets [oral], colecalciferol 1 000 international units capsule, SITagliptin 100 mg tablet, ticagrelor 90 mg tablet, bisoprolol fumarate 5 mg tablet, perindopril arginine 5 mg tablet, metFORMIN hydrochloride 500 mg tablet, empagliflozin 25 mg tablet, insulin glargine (lantus) 100 international units/mL injection, 3 mL prefilled pen, Insulin Pen Needle 4mm Needle [sc], insulin aspart 100 international units/mL injection, 3 mL prefilled pen, vitamin B complex (B1,B6,B12) 100,200,0.2 mg Film coated tablets [oral], colecalciferol 1 000 international units capsule, omeprazole 20 mg tablet: enteric coated, rosuvastatin 20 mg tablet, acetylsalicylic acid 100 mg tablet: enteric coated, omeprazole 20 mg tablet: enteric coated, rosuvastatin 20 mg tablet, acetylsalicylic acid 100 mg tablet: enteric coated, omeprazole 20 mg tablet: enteric coated, rosuvastatin 20 mg tablet, acetylsalicylic acid 100 mg tablet: enteric coated, omeprazole 20 mg tablet: enteric coated, rosuvastatin 20 mg tablet, acetylsalicylic acid 100 mg tablet: enteric coated, vitamin B complex (B1,B6,B12) 100,200,0.2 mg Film coated tablets [oral], omeprazole 20 mg tablet: enteric coated, SITagliptin 100 mg tablet, insulin aspart 100 international units/mL injection, 3 mL prefilled pen, Insulin Pen Needle 4mm Needle [sc], bisoprolol fumarate 5 mg tablet, acetylsalicylic acid 100 mg tablet: enteric coated, colecalciferol 1 000 international units capsule, perindopril arginine 5 mg tablet, insulin glargine (lantus) 100 international units/mL injection, 3 mL prefilled pen, empagliflozin 25 mg tablet, ticagrelor 90 mg tablet, metFORMIN hydrochloride 500 mg tablet, rosuvastatin 20 mg tablet, vitamin B complex (B1,B6,B12) 100,200,0.2 mg Film coated tablets [oral], omeprazole 20 mg tablet: enteric coated, SITagliptin 100 mg tablet, insulin aspart 100 international units/mL injection, 3 mL prefilled pen, Insulin Pen Needle 4mm Needle [sc], bisoprolol fumarate 5 mg tablet, acetylsalicylic acid 100 mg tablet: enteric coated, colecalciferol 1 000 international units capsule, perindopril arginine 5 mg tablet, insulin glargine (lantus) 100 international units/mL injection, 3 mL prefilled pen, empagliflozin 25 mg tablet, ticagrelor 90 mg tablet, metFORMIN hydrochloride 500 mg tablet, rosuvastatin 20 mg tablet, vitamin B complex (B1,B6,B12) 100,200,0.2 mg Film coated tablets [oral], omeprazole 20 mg tablet: enteric coated, SITagliptin 100 mg tablet, insulin aspart 100 international units/mL injection, 3 mL prefilled pen, Insulin Pen Needle 4mm Needle [sc], bisoprolol fumarate 5 mg tablet, acetylsalicylic acid 100 mg tablet: enteric coated, colecalciferol 1 000 international units capsule, perindopril arginine 5 mg tablet, insulin glargine (lantus) 100 international units/mL injection, 3 mL prefilled pen, empagliflozin 25 mg tablet, ticagrelor 90 mg tablet, metFORMIN hydrochloride 500 mg tablet, rosuvastatin 20 mg tablet, vitamin B complex (B1,B6,B12) 100,200,0.2 mg Film coated tablets [oral], omeprazole 20 mg tablet: enteric coated, SITagliptin 100 mg tablet, insulin aspart 100 international units/mL injection, 3 mL prefilled pen, Insulin Pen Needle 4mm Needle [sc], bisoprolol fumarate 5 mg tablet, acetylsalicylic acid 100 mg tablet: enteric coated, colecalciferol 1 000 international units capsule, perindopril arginine 5 mg tablet, insulin glargine (lantus) 100 international units/mL injection, 3 mL prefilled pen, empagliflozin 25 mg tablet, ticagrelor 90 mg tablet, metFORMIN hydrochloride 500 mg tablet, rosuvastatin 20 mg tablet, SITagliptin 100 mg tablet, omeprazole 20 mg tablet: enteric coated, perindopril arginine 5 mg tablet, metFORMIN hydrochloride 500 mg tablet, Insulin Pen Needle 4mm Needle [sc], vitamin B complex (B1,B6,B12) 100,200,0.2 mg Film coated tablets [oral], insulin glargine (lantus) 100 international units/mL injection, 3 mL prefilled pen, insulin aspart 100 international units/mL injection, 3 mL prefilled pen, ticagrelor 90 mg tablet, colecalciferol 1 000 international units capsule, empagliflozin 25 mg tablet, acetylsalicylic acid 100 mg tablet: enteric coated, rosuvastatin 20 mg tablet, bisoprolol fumarate 5 mg tablet, SITagliptin 100 mg tablet, omeprazole 20 mg tablet: enteric coated, perindopril arginine 5 mg tablet, metFORMIN hydrochloride 500 mg tablet, Insulin Pen Needle 4mm Needle [sc], vitamin B complex (B1,B6,B12) 100,200,0.2 mg Film coated tablets [oral], insulin glargine (lantus) 100 international units/mL injection, 3 mL prefilled pen, insulin aspart 100 international units/mL injection, 3 mL prefilled pen, ticagrelor 90 mg tablet, colecalciferol 1 000 international units capsule, empagliflozin 25 mg tablet, acetylsalicylic acid 100 mg tablet: enteric coated, rosuvastatin 20 mg tablet, bisoprolol fumarate 5 mg tablet, SITagliptin 100 mg tablet, omeprazole 20 mg tablet: enteric coated, perindopril arginine 5 mg tablet, metFORMIN hydrochloride 500 mg tablet, Insulin Pen Needle 4mm Needle [sc], vitamin B complex (B1,B6,B12) 100,200,0.2 mg Film coated tablets [oral], insulin glargine (lantus) 100 international units/mL injection, 3 mL prefilled pen, insulin aspart 100 international units/mL injection, 3 mL prefilled pen, ticagrelor 90 mg tablet, colecalciferol 1 000 international units capsule, empagliflozin 25 mg tablet, acetylsalicylic acid 100 mg tablet: enteric coated, rosuvastatin 20 mg tablet, bisoprolol fumarate 5 mg tablet, SITagliptin 100 mg tablet, omeprazole 20 mg tablet: enteric coated, perindopril arginine 5 mg tablet, metFORMIN hydrochloride 500 mg tablet, Insulin Pen Needle 4mm Needle [sc], vitamin B complex (B1,B6,B12) 100,200,0.2 mg Film coated tablets [oral], insulin glargine (lantus) 100 international units/mL injection, 3 mL prefilled pen, insulin aspart 100 international units/mL injection, 3 mL prefilled pen, ticagrelor 90 mg tablet, colecalciferol 1 000 international units capsule, empagliflozin 25 mg tablet, acetylsalicylic acid 100 mg tablet: enteric coated, rosuvastatin 20 mg tablet, bisoprolol fumarate 5 mg tablet</t>
  </si>
  <si>
    <t>تركي محمد امين اسماعيل فلفلان</t>
  </si>
  <si>
    <t>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t>
  </si>
  <si>
    <t>عويده عايد عطيه المطيري</t>
  </si>
  <si>
    <t>beta-sitosterol, paraffin soft white ointment, tube, miconazole nitrate</t>
  </si>
  <si>
    <t>beta-sitosterol 0.25% (2.5 mg/g) ointment, beta-sitosterol 0.25% (2.5 mg/g) ointment, paraffin soft white ointment, tube, paraffin soft white ointment, tube, miconazole nitrate 2% (20 mg/g) cream, miconazole nitrate 2% (20 mg/g) cream, miconazole nitrate 2% (20 mg/g) cream, miconazole nitrate 2% (20 mg/g) cream, beta-sitosterol 0.25% (2.5 mg/g) ointment, beta-sitosterol 0.25% (2.5 mg/g) ointment, paraffin soft white ointment, tube, paraffin soft white ointment, tube, miconazole nitrate 2% (20 mg/g) cream, beta-sitosterol 0.25% (2.5 mg/g) ointment, miconazole nitrate 2% (20 mg/g) cream, beta-sitosterol 0.25% (2.5 mg/g) ointment, paraffin soft white ointment, tube, paraffin soft white ointment, tube</t>
  </si>
  <si>
    <t>فاروق ابراهيم هادي زباني</t>
  </si>
  <si>
    <t>valsartan 80 mg tablet, valsartan 80 mg tablet, valsartan 80 mg tablet, valsartan 80 mg tablet, valsartan 80 mg tablet, valsartan 80 mg tablet, valsartan 80 mg tablet, valsartan 80 mg tablet, valsartan 80 mg tablet</t>
  </si>
  <si>
    <t>سعيد هزاع سعيد الغامدي</t>
  </si>
  <si>
    <t>vitamin B complex (B, B, metFORMIN hydrochloride, atorvastatin, acetylsalicylic acid</t>
  </si>
  <si>
    <t>vitamin B complex (B1,B6,B12) 100,100,0.15 mg Film coated tablets [oral], metFORMIN hydrochloride 500 mg tablet, atorvastatin 10 mg tablet, acetylsalicylic acid 100 mg tablet: enteric coated, vitamin B complex (B1,B6,B12) 100,100,0.15 mg Film coated tablets [oral], metFORMIN hydrochloride 500 mg tablet, atorvastatin 10 mg tablet, acetylsalicylic acid 100 mg tablet: enteric coated, vitamin B complex (B1,B6,B12) 100,100,0.15 mg Film coated tablets [oral], metFORMIN hydrochloride 500 mg tablet, atorvastatin 10 mg tablet, acetylsalicylic acid 100 mg tablet: enteric coated, vitamin B complex (B1,B6,B12) 100,100,0.15 mg Film coated tablets [oral], metFORMIN hydrochloride 500 mg tablet, atorvastatin 10 mg tablet, acetylsalicylic acid 100 mg tablet: enteric coated, vitamin B complex (B1,B6,B12) 100,100,0.15 mg Film coated tablets [oral], metFORMIN hydrochloride 500 mg tablet, atorvastatin 10 mg tablet, acetylsalicylic acid 100 mg tablet: enteric coated,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 metFORMIN hydrochloride 500 mg tablet, acetylsalicylic acid 100 mg tablet: enteric coated, metFORMIN hydrochloride 500 mg tablet, acetylsalicylic acid 100 mg tablet: enteric coated, metFORMIN hydrochloride 500 mg tablet, acetylsalicylic acid 100 mg tablet: enteric coated, metFORMIN hydrochloride 500 mg tablet, acetylsalicylic acid 100 mg tablet: enteric coated, metFORMIN hydrochloride 500 mg tablet, acetylsalicylic acid 100 mg tablet: enteric coated, atorvastatin 10 mg tablet, atorvastatin 10 mg tablet, atorvastatin 10 mg tablet, atorvastatin 10 mg tablet, atorvastatin 10 mg tablet, acetylsalicylic acid 100 mg tablet: enteric coated, vitamin B complex (B1,B6,B12) 100,100,0.15 mg Film coated tablets [oral], atorvastatin 10 mg tablet, acetylsalicylic acid 100 mg tablet: enteric coated, vitamin B complex (B1,B6,B12) 100,100,0.15 mg Film coated tablets [oral], atorvastatin 10 mg tablet, acetylsalicylic acid 100 mg tablet: enteric coated, vitamin B complex (B1,B6,B12) 100,100,0.15 mg Film coated tablets [oral], atorvastatin 10 mg tablet, acetylsalicylic acid 100 mg tablet: enteric coated, vitamin B complex (B1,B6,B12) 100,100,0.15 mg Film coated tablets [oral], atorvastatin 10 mg tablet, acetylsalicylic acid 100 mg tablet: enteric coated, vitamin B complex (B1,B6,B12) 100,100,0.15 mg Film coated tablets [oral], atorvastatin 10 mg tablet, metFORMIN hydrochloride 500 mg tablet, metFORMIN hydrochloride 500 mg tablet, metFORMIN hydrochloride 500 mg tablet, metFORMIN hydrochloride 500 mg tablet, metFORMIN hydrochloride 500 mg tablet, acetylsalicylic acid 100 mg tablet: enteric coated, atorvastatin 10 mg tablet, acetylsalicylic acid 100 mg tablet: enteric coated, atorvastatin 10 mg tablet, acetylsalicylic acid 100 mg tablet: enteric coated, atorvastatin 10 mg tablet, acetylsalicylic acid 100 mg tablet: enteric coated, atorvastatin 10 mg tablet, acetylsalicylic acid 100 mg tablet: enteric coated, atorvastatin 10 mg tablet, metFORMIN hydrochloride 500 mg tablet, vitamin B complex (B1,B6,B12) 100,100,0.15 mg Film coated tablets [oral], metFORMIN hydrochloride 500 mg tablet, vitamin B complex (B1,B6,B12) 100,100,0.15 mg Film coated tablets [oral], metFORMIN hydrochloride 500 mg tablet, vitamin B complex (B1,B6,B12) 100,100,0.15 mg Film coated tablets [oral], metFORMIN hydrochloride 500 mg tablet, vitamin B complex (B1,B6,B12) 100,100,0.15 mg Film coated tablets [oral], metFORMIN hydrochloride 500 mg tablet, vitamin B complex (B1,B6,B12) 100,100,0.15 mg Film coated tablets [oral], acetylsalicylic acid 100 mg tablet: enteric coated, acetylsalicylic acid 100 mg tablet: enteric coated, acetylsalicylic acid 100 mg tablet: enteric coated, acetylsalicylic acid 100 mg tablet: enteric coated, acetylsalicylic acid 100 mg tablet: enteric coated, metFORMIN hydrochloride 500 mg tablet, metFORMIN hydrochloride 500 mg tablet, metFORMIN hydrochloride 500 mg tablet, metFORMIN hydrochloride 500 mg tablet, metFORMIN hydrochloride 500 mg tablet, atorvastatin 10 mg tablet, atorvastatin 10 mg tablet, atorvastatin 10 mg tablet, atorvastatin 10 mg tablet, atorvastatin 10 mg tablet, vitamin B complex (B1,B6,B12) 100,100,0.15 mg Film coated tablets [oral], vitamin B complex (B1,B6,B12) 100,100,0.15 mg Film coated tablets [oral], vitamin B complex (B1,B6,B12) 100,100,0.15 mg Film coated tablets [oral], vitamin B complex (B1,B6,B12) 100,100,0.15 mg Film coated tablets [oral], vitamin B complex (B1,B6,B12) 100,100,0.15 mg Film coated tablets [oral]</t>
  </si>
  <si>
    <t>ذياب مصلح صالح المطيري</t>
  </si>
  <si>
    <t>captopril</t>
  </si>
  <si>
    <t>captopril 25 mg tablet, captopril 25 mg tablet, captopril 25 mg tablet, captopril 25 mg tablet, captopril 25 mg tablet, captopril 25 mg tablet, captopril 25 mg tablet, captopril 25 mg tablet, captopril 25 mg tablet, captopril 25 mg tablet, captopril 25 mg tablet, captopril 25 mg tablet, captopril 25 mg tablet, captopril 25 mg tablet, captopril 25 mg tablet, captopril 25 mg tablet, captopril 25 mg tablet, captopril 25 mg tablet</t>
  </si>
  <si>
    <t>فخريه صالح بن عبدالله ال مرضمه</t>
  </si>
  <si>
    <t>omeprazole, cetirizine hydrochloride, fluticasone propionate, paracetamol</t>
  </si>
  <si>
    <t>omeprazole 20 mg tablet: enteric coated, cetirizine hydrochloride 10 mg tablet, omeprazole 20 mg tablet: enteric coated, cetirizine hydrochloride 10 mg tablet, omeprazole 20 mg tablet: enteric coated, cetirizine hydrochloride 10 mg tablet, omeprazole 20 mg tablet: enteric coated, cetirizine hydrochloride 10 mg tablet, omeprazole 20 mg tablet: enteric coated, cetirizine hydrochloride 10 mg tablet, omeprazole 20 mg tablet: enteric coated, cetirizine hydrochloride 10 mg tablet, omeprazole 20 mg tablet: enteric coated, cetirizine hydrochloride 10 mg tablet, omeprazole 20 mg tablet: enteric coated, cetirizine hydrochloride 10 mg tablet, omeprazole 20 mg tablet: enteric coated, cetirizine hydrochloride 10 mg tablet, fluticasone propionate 0.05% nasal spray, fluticasone propionate 0.05% nasal spray, fluticasone propionate 0.05% nasal spray, fluticasone propionate 0.05% nasal spray, fluticasone propionate 0.05% nasal spray, fluticasone propionate 0.05% nasal spray, fluticasone propionate 0.05% nasal spray, fluticasone propionate 0.05% nasal spray, fluticasone propionate 0.05% nasal spray, paracetamol 500 mg tablet, paracetamol 500 mg tablet, paracetamol 500 mg tablet, paracetamol 500 mg tablet, paracetamol 500 mg tablet, paracetamol 500 mg tablet, paracetamol 500 mg tablet, paracetamol 500 mg tablet, paracetamol 500 mg tablet,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fluticasone propionate 0.05% nasal spray, cetirizine hydrochloride 10 mg tablet, fluticasone propionate 0.05% nasal spray, cetirizine hydrochloride 10 mg tablet, fluticasone propionate 0.05% nasal spray, cetirizine hydrochloride 10 mg tablet, fluticasone propionate 0.05% nasal spray, cetirizine hydrochloride 10 mg tablet, fluticasone propionate 0.05% nasal spray, cetirizine hydrochloride 10 mg tablet, fluticasone propionate 0.05% nasal spray, cetirizine hydrochloride 10 mg tablet, fluticasone propionate 0.05% nasal spray, cetirizine hydrochloride 10 mg tablet, fluticasone propionate 0.05% nasal spray, cetirizine hydrochloride 10 mg tablet, fluticasone propionate 0.05% nasal spray, cetirizine hydrochloride 10 mg tablet, paracetamol 500 mg tablet, paracetamol 500 mg tablet, paracetamol 500 mg tablet, paracetamol 500 mg tablet, paracetamol 500 mg tablet, paracetamol 500 mg tablet, paracetamol 500 mg tablet, paracetamol 500 mg tablet, paracetamol 500 mg tablet, fluticasone propionate 0.05% nasal spray, paracetamol 500 mg tablet, fluticasone propionate 0.05% nasal spray, paracetamol 500 mg tablet, fluticasone propionate 0.05% nasal spray, paracetamol 500 mg tablet, fluticasone propionate 0.05% nasal spray, paracetamol 500 mg tablet, fluticasone propionate 0.05% nasal spray, paracetamol 500 mg tablet, fluticasone propionate 0.05% nasal spray, paracetamol 500 mg tablet, fluticasone propionate 0.05% nasal spray, paracetamol 500 mg tablet, fluticasone propionate 0.05% nasal spray, paracetamol 500 mg tablet, fluticasone propionate 0.05% nasal spray, paracetamol 500 mg tablet, cetirizine hydrochloride 10 mg tablet, omeprazole 20 mg tablet: enteric coated, cetirizine hydrochloride 10 mg tablet, omeprazole 20 mg tablet: enteric coated, cetirizine hydrochloride 10 mg tablet, omeprazole 20 mg tablet: enteric coated, cetirizine hydrochloride 10 mg tablet, omeprazole 20 mg tablet: enteric coated, cetirizine hydrochloride 10 mg tablet, omeprazole 20 mg tablet: enteric coated, cetirizine hydrochloride 10 mg tablet, omeprazole 20 mg tablet: enteric coated, cetirizine hydrochloride 10 mg tablet, omeprazole 20 mg tablet: enteric coated, cetirizine hydrochloride 10 mg tablet, omeprazole 20 mg tablet: enteric coated, cetirizine hydrochloride 10 mg tablet, omeprazole 20 mg tablet: enteric coated</t>
  </si>
  <si>
    <t>منصور سلمان عتيق المطيري</t>
  </si>
  <si>
    <t>atorvastatin 10 mg tablet, atorvastatin 10 mg tablet, atorvastatin 10 mg tablet, atorvastatin 10 mg tablet, metFORMIN hydrochloride 500 mg tablet, metFORMIN hydrochloride 500 mg tablet, metFORMIN hydrochloride 500 mg tablet, metFORMIN hydrochloride 500 mg tablet, atorvastatin 10 mg tablet, atorvastatin 10 mg tablet, atorvastatin 10 mg tablet, atorvastatin 10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atorvastatin 10 mg tablet, atorvastatin 10 mg tablet, atorvastatin 10 mg tablet, atorvastatin 10 mg tablet</t>
  </si>
  <si>
    <t>هند سالم صدقه الهذلي</t>
  </si>
  <si>
    <t>paracetamol, carbomer, amoxicillin</t>
  </si>
  <si>
    <t>paracetamol 500 mg tablet, paracetamol 500 mg tablet, carbomer 0.2% (2 mg/g) eye gel, carbomer 0.2% (2 mg/g) eye gel, amoxicillin 500 mg + clavulanic acid 125 mg tablet, amoxicillin 500 mg + clavulanic acid 125 mg tablet, carbomer 0.2% (2 mg/g) eye gel, paracetamol 500 mg tablet, amoxicillin 500 mg + clavulanic acid 125 mg tablet, carbomer 0.2% (2 mg/g) eye gel, paracetamol 500 mg tablet, amoxicillin 500 mg + clavulanic acid 125 mg tablet, paracetamol 500 mg tablet, paracetamol 500 mg tablet, carbomer 0.2% (2 mg/g) eye gel, amoxicillin 500 mg + clavulanic acid 125 mg tablet, carbomer 0.2% (2 mg/g) eye gel, amoxicillin 500 mg + clavulanic acid 125 mg tablet</t>
  </si>
  <si>
    <t>منصور احمد يعن الله الزهراني</t>
  </si>
  <si>
    <t>Strips (Accu-Check), Insulin Pen Needle, insulin aspart</t>
  </si>
  <si>
    <t>Strips (Accu-Check) 1 box Strip [n/a], Strips (Accu-Check) 1 box Strip [n/a], Strips (Accu-Check) 1 box Strip [n/a], Strips (Accu-Check) 1 box Strip [n/a], Strips (Accu-Check) 1 box Strip [n/a], Insulin Pen Needle 4mm Needle [sc], insulin aspart 30 international units/mL + insulin aspart protamine 70 international units/mL injection, 3 mL prefilled pen, Strips (Accu-Check) 1 box Strip [n/a], Insulin Pen Needle 4mm Needle [sc], insulin aspart 30 international units/mL + insulin aspart protamine 70 international units/mL injection, 3 mL prefilled pen, Strips (Accu-Check) 1 box Strip [n/a], Insulin Pen Needle 4mm Needle [sc], insulin aspart 30 international units/mL + insulin aspart protamine 70 international units/mL injection, 3 mL prefilled pen, Strips (Accu-Check) 1 box Strip [n/a], Insulin Pen Needle 4mm Needle [sc], insulin aspart 30 international units/mL + insulin aspart protamine 70 international units/mL injection, 3 mL prefilled pen, Strips (Accu-Check) 1 box Strip [n/a], Insulin Pen Needle 4mm Needle [sc], insulin aspart 30 international units/mL + insulin aspart protamine 70 international units/mL injection, 3 mL prefilled pen, Strips (Accu-Check) 1 box Strip [n/a], insulin aspart 30 international units/mL + insulin aspart protamine 70 international units/mL injection, 3 mL prefilled pen, insulin aspart 30 international units/mL + insulin aspart protamine 70 international units/mL injection, 3 mL prefilled pen, insulin aspart 30 international units/mL + insulin aspart protamine 70 international units/mL injection, 3 mL prefilled pen, insulin aspart 30 international units/mL + insulin aspart protamine 70 international units/mL injection, 3 mL prefilled pen, insulin aspart 30 international units/mL + insulin aspart protamine 70 international units/mL injection, 3 mL prefilled pen, Insulin Pen Needle 4mm Needle [sc], Strips (Accu-Check) 1 box Strip [n/a], Insulin Pen Needle 4mm Needle [sc], Strips (Accu-Check) 1 box Strip [n/a], Insulin Pen Needle 4mm Needle [sc], Strips (Accu-Check) 1 box Strip [n/a], Insulin Pen Needle 4mm Needle [sc], Strips (Accu-Check) 1 box Strip [n/a], Insulin Pen Needle 4mm Needle [sc], Strips (Accu-Check) 1 box Strip [n/a], Insulin Pen Needle 4mm Needle [sc], Strips (Accu-Check) 1 box Strip [n/a], Insulin Pen Needle 4mm Needle [sc], Strips (Accu-Check) 1 box Strip [n/a], Insulin Pen Needle 4mm Needle [sc], Strips (Accu-Check) 1 box Strip [n/a], Insulin Pen Needle 4mm Needle [sc], Strips (Accu-Check) 1 box Strip [n/a], Insulin Pen Needle 4mm Needle [sc], Strips (Accu-Check) 1 box Strip [n/a], Insulin Pen Needle 4mm Needle [sc], insulin aspart 30 international units/mL + insulin aspart protamine 70 international units/mL injection, 3 mL prefilled pen, Insulin Pen Needle 4mm Needle [sc], insulin aspart 30 international units/mL + insulin aspart protamine 70 international units/mL injection, 3 mL prefilled pen, Insulin Pen Needle 4mm Needle [sc], insulin aspart 30 international units/mL + insulin aspart protamine 70 international units/mL injection, 3 mL prefilled pen, Insulin Pen Needle 4mm Needle [sc], insulin aspart 30 international units/mL + insulin aspart protamine 70 international units/mL injection, 3 mL prefilled pen, Insulin Pen Needle 4mm Needle [sc], insulin aspart 30 international units/mL + insulin aspart protamine 70 international units/mL injection, 3 mL prefilled pen,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Insulin Pen Needle 4mm Needle [sc], Insulin Pen Needle 4mm Needle [sc], Insulin Pen Needle 4mm Needle [sc], Insulin Pen Needle 4mm Needle [sc], Insulin Pen Needle 4mm Needle [sc], insulin aspart 30 international units/mL + insulin aspart protamine 70 international units/mL injection, 3 mL prefilled pen, insulin aspart 30 international units/mL + insulin aspart protamine 70 international units/mL injection, 3 mL prefilled pen, insulin aspart 30 international units/mL + insulin aspart protamine 70 international units/mL injection, 3 mL prefilled pen, insulin aspart 30 international units/mL + insulin aspart protamine 70 international units/mL injection, 3 mL prefilled pen, insulin aspart 30 international units/mL + insulin aspart protamine 70 international units/mL injection, 3 mL prefilled pen, Insulin Pen Needle 4mm Needle [sc], Insulin Pen Needle 4mm Needle [sc], Insulin Pen Needle 4mm Needle [sc], Insulin Pen Needle 4mm Needle [sc], Insulin Pen Needle 4mm Needle [sc], Strips (Accu-Check) 1 box Strip [n/a], Strips (Accu-Check) 1 box Strip [n/a], Strips (Accu-Check) 1 box Strip [n/a], Strips (Accu-Check) 1 box Strip [n/a], Strips (Accu-Check) 1 box Strip [n/a], insulin aspart 30 international units/mL + insulin aspart protamine 70 international units/mL injection, 3 mL prefilled pen, insulin aspart 30 international units/mL + insulin aspart protamine 70 international units/mL injection, 3 mL prefilled pen, insulin aspart 30 international units/mL + insulin aspart protamine 70 international units/mL injection, 3 mL prefilled pen, insulin aspart 30 international units/mL + insulin aspart protamine 70 international units/mL injection, 3 mL prefilled pen, insulin aspart 30 international units/mL + insulin aspart protamine 70 international units/mL injection, 3 mL prefilled pen, insulin aspart 30 international units/mL + insulin aspart protamine 70 international units/mL injection, 3 mL prefilled pen, insulin aspart 30 international units/mL + insulin aspart protamine 70 international units/mL injection, 3 mL prefilled pen, insulin aspart 30 international units/mL + insulin aspart protamine 70 international units/mL injection, 3 mL prefilled pen, insulin aspart 30 international units/mL + insulin aspart protamine 70 international units/mL injection, 3 mL prefilled pen, insulin aspart 30 international units/mL + insulin aspart protamine 70 international units/mL injection, 3 mL prefilled pen, Insulin Pen Needle 4mm Needle [sc], Insulin Pen Needle 4mm Needle [sc], Insulin Pen Needle 4mm Needle [sc], Insulin Pen Needle 4mm Needle [sc], Insulin Pen Needle 4mm Needle [sc],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Insulin Pen Needle 4mm Needle [sc], Insulin Pen Needle 4mm Needle [sc], Insulin Pen Needle 4mm Needle [sc], Insulin Pen Needle 4mm Needle [sc], Insulin Pen Needle 4mm Needle [sc], insulin aspart 30 international units/mL + insulin aspart protamine 70 international units/mL injection, 3 mL prefilled pen, Strips (Accu-Check) 1 box Strip [n/a], insulin aspart 30 international units/mL + insulin aspart protamine 70 international units/mL injection, 3 mL prefilled pen, Strips (Accu-Check) 1 box Strip [n/a], insulin aspart 30 international units/mL + insulin aspart protamine 70 international units/mL injection, 3 mL prefilled pen, Strips (Accu-Check) 1 box Strip [n/a], insulin aspart 30 international units/mL + insulin aspart protamine 70 international units/mL injection, 3 mL prefilled pen, Strips (Accu-Check) 1 box Strip [n/a], insulin aspart 30 international units/mL + insulin aspart protamine 70 international units/mL injection, 3 mL prefilled pen, Strips (Accu-Check) 1 box Strip [n/a]</t>
  </si>
  <si>
    <t>سميره محمد علي شيخ</t>
  </si>
  <si>
    <t>amLODIPine, FLUoxetine, colecalciferol, vitamins (A, B, C, D</t>
  </si>
  <si>
    <t>amLODIPine 5 mg tablet, FLUoxetine 20 mg capsule, amLODIPine 5 mg tablet, FLUoxetine 20 mg capsule, amLODIPine 5 mg tablet, FLUoxetine 20 mg capsule, amLODIPine 5 mg tablet, FLUoxetine 20 mg capsule, colecalciferol 1 000 international units capsule, colecalciferol 1 000 international units capsule, colecalciferol 1 000 international units capsule, colecalciferol 1 000 international units capsule, vitamins (A, B1, B2, B3, C, D3) tablet, vitamins (A, B1, B2, B3, C, D3) tablet, vitamins (A, B1, B2, B3, C, D3) tablet, vitamins (A, B1, B2, B3, C, D3) tablet, FLUoxetine 20 mg capsule, FLUoxetine 20 mg capsule, FLUoxetine 20 mg capsule, FLUoxetine 20 mg capsule, colecalciferol 1 000 international units capsule, colecalciferol 1 000 international units capsule, colecalciferol 1 000 international units capsule, colecalciferol 1 000 international units capsule, vitamins (A, B1, B2, B3, C, D3) tablet, vitamins (A, B1, B2, B3, C, D3) tablet, vitamins (A, B1, B2, B3, C, D3) tablet, vitamins (A, B1, B2, B3, C, D3) tablet, amLODIPine 5 mg tablet, amLODIPine 5 mg tablet, amLODIPine 5 mg tablet, amLODIPine 5 mg tablet</t>
  </si>
  <si>
    <t>امنه عبدالرحمن رافد السيد</t>
  </si>
  <si>
    <t>colecalciferol, SITagliptin</t>
  </si>
  <si>
    <t>colecalciferol 50 000 international units tablet, colecalciferol 50 000 international units tablet, colecalciferol 50 000 international units tablet, colecalciferol 50 000 international units tablet, SITagliptin 100 mg tablet, SITagliptin 100 mg tablet, SITagliptin 100 mg tablet, SITagliptin 100 mg tablet, colecalciferol 50 000 international units tablet, colecalciferol 50 000 international units tablet, colecalciferol 50 000 international units tablet, colecalciferol 50 000 international units tablet, SITagliptin 100 mg tablet, SITagliptin 100 mg tablet, SITagliptin 100 mg tablet, SITagliptin 100 mg tablet, colecalciferol 50 000 international units tablet, colecalciferol 50 000 international units tablet, colecalciferol 50 000 international units tablet, colecalciferol 50 000 international units tablet, SITagliptin 100 mg tablet, SITagliptin 100 mg tablet, SITagliptin 100 mg tablet, SITagliptin 100 mg tablet</t>
  </si>
  <si>
    <t>كمال عمر محمدعلي درويش</t>
  </si>
  <si>
    <t>مشفق كمال محمدسعيد البخاري</t>
  </si>
  <si>
    <t>metFORMIN hydrochloride, gliclazide, empagliflozin</t>
  </si>
  <si>
    <t>metFORMIN hydrochloride 750 mg tablet: modified release, metFORMIN hydrochloride 750 mg tablet: modified release, gliclazide 60 mg tablet: modified release, gliclazide 60 mg tablet: modified release, gliclazide 60 mg tablet: modified release, metFORMIN hydrochloride 750 mg tablet: modified release, gliclazide 60 mg tablet: modified release, metFORMIN hydrochloride 750 mg tablet: modified release, empagliflozin 25 mg tablet, empagliflozin 25 mg tablet, metFORMIN hydrochloride 750 mg tablet: modified release, metFORMIN hydrochloride 750 mg tablet: modified release, empagliflozin 25 mg tablet, gliclazide 60 mg tablet: modified release, empagliflozin 25 mg tablet, gliclazide 60 mg tablet: modified release, gliclazide 60 mg tablet: modified release, metFORMIN hydrochloride 750 mg tablet: modified release, gliclazide 60 mg tablet: modified release, metFORMIN hydrochloride 750 mg tablet: modified release, empagliflozin 25 mg tablet, empagliflozin 25 mg tablet, empagliflozin 25 mg tablet, empagliflozin 25 mg tablet, metFORMIN hydrochloride 750 mg tablet: modified release, gliclazide 60 mg tablet: modified release, metFORMIN hydrochloride 750 mg tablet: modified release, gliclazide 60 mg tablet: modified release, empagliflozin 25 mg tablet, empagliflozin 25 mg tablet, gliclazide 60 mg tablet: modified release, gliclazide 60 mg tablet: modified release, metFORMIN hydrochloride 750 mg tablet: modified release, metFORMIN hydrochloride 750 mg tablet: modified release</t>
  </si>
  <si>
    <t>رنده جنيد علي الصغير</t>
  </si>
  <si>
    <t>احمد علوي عبدالرحمن الزيني</t>
  </si>
  <si>
    <t>cetirizine hydrochloride, miconazole nitrate</t>
  </si>
  <si>
    <t>cetirizine hydrochloride 10 mg tablet, cetirizine hydrochloride 10 mg tablet, cetirizine hydrochloride 10 mg tablet, cetirizine hydrochloride 10 mg tablet, miconazole nitrate 2% (20 mg/g) cream, miconazole nitrate 2% (20 mg/g) cream, miconazole nitrate 2% (20 mg/g) cream, miconazole nitrate 2% (20 mg/g) cream, miconazole nitrate 2% (20 mg/g) cream, miconazole nitrate 2% (20 mg/g) cream, miconazole nitrate 2% (20 mg/g) cream, miconazole nitrate 2% (20 mg/g) cream, cetirizine hydrochloride 10 mg tablet, cetirizine hydrochloride 10 mg tablet, cetirizine hydrochloride 10 mg tablet, cetirizine hydrochloride 10 mg tablet</t>
  </si>
  <si>
    <t>مريم احمد علوي الزيني</t>
  </si>
  <si>
    <t>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t>
  </si>
  <si>
    <t>نور محمد يسلم باخريبه</t>
  </si>
  <si>
    <t>Lancets (Accu-Check), colecalciferol, insulin glargine, Insulin Pen Needle</t>
  </si>
  <si>
    <t>Lancets (Accu-Check) 1 box Lancets [n/a], colecalciferol 50 000 international units tablet, Lancets (Accu-Check) 1 box Lancets [n/a], colecalciferol 50 000 international units tablet, Lancets (Accu-Check) 1 box Lancets [n/a], colecalciferol 50 000 international units tablet,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Insulin Pen Needle 4mm Needle [sc], Lancets (Accu-Check) 1 box Lancets [n/a], Lancets (Accu-Check) 1 box Lancets [n/a], Lancets (Accu-Check) 1 box Lancets [n/a], Insulin Pen Needle 4mm Needle [sc], Insulin Pen Needle 4mm Needle [sc], Insulin Pen Needle 4mm Needle [sc], insulin glargine 300 international units/mL injection, 1.5 mL prefilled pen, colecalciferol 50 000 international units tablet, insulin glargine 300 international units/mL injection, 1.5 mL prefilled pen, colecalciferol 50 000 international units tablet, insulin glargine 300 international units/mL injection, 1.5 mL prefilled pen, colecalciferol 50 000 international units tablet, Insulin Pen Needle 4mm Needle [sc], Insulin Pen Needle 4mm Needle [sc], Insulin Pen Needle 4mm Needle [sc], insulin glargine 300 international units/mL injection, 1.5 mL prefilled pen, insulin glargine 300 international units/mL injection, 1.5 mL prefilled pen, insulin glargine 300 international units/mL injection, 1.5 mL prefilled pen, Lancets (Accu-Check) 1 box Lancets [n/a], colecalciferol 50 000 international units tablet, Lancets (Accu-Check) 1 box Lancets [n/a], colecalciferol 50 000 international units tablet, Lancets (Accu-Check) 1 box Lancets [n/a], colecalciferol 50 000 international units tablet, Insulin Pen Needle 4mm Needle [sc], Insulin Pen Needle 4mm Needle [sc], Insulin Pen Needle 4mm Needle [sc], colecalciferol 50 000 international units tablet, colecalciferol 50 000 international units tablet, colecalciferol 50 000 international units tablet, insulin glargine 300 international units/mL injection, 1.5 mL prefilled pen, insulin glargine 300 international units/mL injection, 1.5 mL prefilled pen, insulin glargine 300 international units/mL injection, 1.5 mL prefilled pen, Lancets (Accu-Check) 1 box Lancets [n/a], Lancets (Accu-Check) 1 box Lancets [n/a], Lancets (Accu-Check) 1 box Lancets [n/a], colecalciferol 50 000 international units tablet, Insulin Pen Needle 4mm Needle [sc], colecalciferol 50 000 international units tablet, Insulin Pen Needle 4mm Needle [sc], colecalciferol 50 000 international units tablet, Insulin Pen Needle 4mm Needle [sc], insulin glargine 300 international units/mL injection, 1.5 mL prefilled pen, insulin glargine 300 international units/mL injection, 1.5 mL prefilled pen, insulin glargine 300 international units/mL injection, 1.5 mL prefilled pen, colecalciferol 50 000 international units tablet, Insulin Pen Needle 4mm Needle [sc], colecalciferol 50 000 international units tablet, Insulin Pen Needle 4mm Needle [sc], colecalciferol 50 000 international units tablet, Insulin Pen Needle 4mm Needle [sc], insulin glargine 300 international units/mL injection, 1.5 mL prefilled pen, insulin glargine 300 international units/mL injection, 1.5 mL prefilled pen, insulin glargine 300 international units/mL injection, 1.5 mL prefilled pen, Lancets (Accu-Check) 1 box Lancets [n/a], Lancets (Accu-Check) 1 box Lancets [n/a], Lancets (Accu-Check) 1 box Lancets [n/a]</t>
  </si>
  <si>
    <t>سلطان عبدالله جرار السبيعي</t>
  </si>
  <si>
    <t>levothyroxine sodium 50 microgram tablet, levothyroxine sodium 50 microgram tablet, levothyroxine sodium 50 microgram tablet, levothyroxine sodium 50 microgram tablet, amLODIPine 5 mg tablet, amLODIPine 5 mg tablet, amLODIPine 5 mg tablet, amLODIPine 5 mg tablet, amLODIPine 5 mg tablet, amLODIPine 5 mg tablet, amLODIPine 5 mg tablet, amLODIPine 5 mg tablet, levothyroxine sodium 50 microgram tablet, levothyroxine sodium 50 microgram tablet, levothyroxine sodium 50 microgram tablet, levothyroxine sodium 50 microgram tablet, levothyroxine sodium 50 microgram tablet, levothyroxine sodium 50 microgram tablet, levothyroxine sodium 50 microgram tablet, levothyroxine sodium 50 microgram tablet, amLODIPine 5 mg tablet, amLODIPine 5 mg tablet, amLODIPine 5 mg tablet, amLODIPine 5 mg tablet, levothyroxine sodium 50 microgram tablet, levothyroxine sodium 50 microgram tablet, levothyroxine sodium 50 microgram tablet, levothyroxine sodium 50 microgram tablet, amLODIPine 5 mg tablet, amLODIPine 5 mg tablet, amLODIPine 5 mg tablet, amLODIPine 5 mg tablet</t>
  </si>
  <si>
    <t>خالد علي حسن الانسي</t>
  </si>
  <si>
    <t>SITagliptin, empagliflozin, atorvastatin</t>
  </si>
  <si>
    <t>SITagliptin 100 mg tablet, SITagliptin 100 mg tablet, SITagliptin 100 mg tablet, SITagliptin 100 mg tablet, SITagliptin 100 mg tablet, SITagliptin 100 mg tablet, empagliflozin 25 mg tablet, atorvastatin 10 mg tablet, empagliflozin 25 mg tablet, atorvastatin 10 mg tablet, empagliflozin 25 mg tablet, atorvastatin 10 mg tablet, empagliflozin 25 mg tablet, atorvastatin 10 mg tablet, empagliflozin 25 mg tablet, atorvastatin 10 mg tablet, empagliflozin 25 mg tablet, atorvastatin 10 mg tablet, SITagliptin 100 mg tablet, SITagliptin 100 mg tablet, SITagliptin 100 mg tablet, SITagliptin 100 mg tablet, SITagliptin 100 mg tablet, SITagliptin 100 mg tablet, empagliflozin 25 mg tablet, empagliflozin 25 mg tablet, empagliflozin 25 mg tablet, empagliflozin 25 mg tablet, empagliflozin 25 mg tablet, empagliflozin 25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empagliflozin 25 mg tablet, empagliflozin 25 mg tablet, empagliflozin 25 mg tablet, empagliflozin 25 mg tablet, empagliflozin 25 mg tablet, empagliflozin 25 mg tablet, SITagliptin 100 mg tablet, SITagliptin 100 mg tablet, SITagliptin 100 mg tablet, SITagliptin 100 mg tablet, SITagliptin 100 mg tablet, SITagliptin 100 mg tablet</t>
  </si>
  <si>
    <t>صفيه معيض عويض السلمي</t>
  </si>
  <si>
    <t>amLODIPine, valsartan</t>
  </si>
  <si>
    <t>amLODIPine 5 mg tablet, amLODIPine 5 mg tablet, amLODIPine 5 mg tablet, amLODIPine 5 mg tablet, amLODIPine 5 mg tablet, valsartan 80 mg tablet, valsartan 80 mg tablet, valsartan 80 mg tablet, valsartan 80 mg tablet, valsartan 80 mg tablet, amLODIPine 5 mg tablet, amLODIPine 5 mg tablet, amLODIPine 5 mg tablet, amLODIPine 5 mg tablet, amLODIPine 5 mg tablet, valsartan 80 mg tablet, valsartan 80 mg tablet, valsartan 80 mg tablet, valsartan 80 mg tablet, valsartan 80 mg tablet, amLODIPine 5 mg tablet, amLODIPine 5 mg tablet, amLODIPine 5 mg tablet, amLODIPine 5 mg tablet, amLODIPine 5 mg tablet, valsartan 80 mg tablet, amLODIPine 5 mg tablet, valsartan 80 mg tablet, amLODIPine 5 mg tablet, valsartan 80 mg tablet, amLODIPine 5 mg tablet, valsartan 80 mg tablet, amLODIPine 5 mg tablet, valsartan 80 mg tablet, amLODIPine 5 mg tablet, amLODIPine 5 mg tablet, valsartan 80 mg tablet, amLODIPine 5 mg tablet, valsartan 80 mg tablet, amLODIPine 5 mg tablet, valsartan 80 mg tablet, amLODIPine 5 mg tablet, valsartan 80 mg tablet, amLODIPine 5 mg tablet, valsartan 80 mg tablet</t>
  </si>
  <si>
    <t>عبدالله بكير عامر الزبيدي</t>
  </si>
  <si>
    <t>clopidogrel, SITagliptin, tamsulosin hydrochloride, metFORMIN hydrochloride, acetylsalicylic acid, gliclazide, vitamin B complex (B, B</t>
  </si>
  <si>
    <t>clopidogrel 75 mg tablet, clopidogrel 75 mg tablet, clopidogrel 75 mg tablet, clopidogrel 75 mg tablet, clopidogrel 75 mg tablet, clopidogrel 75 mg tablet, clopidogrel 75 mg tablet, clopidogrel 75 mg tablet, SITagliptin 100 mg tablet, tamsulosin hydrochloride 400 microgram tablet: modified release, SITagliptin 100 mg tablet, tamsulosin hydrochloride 400 microgram tablet: modified release, SITagliptin 100 mg tablet, tamsulosin hydrochloride 400 microgram tablet: modified release, SITagliptin 100 mg tablet, tamsulosin hydrochloride 400 microgram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SITagliptin 100 mg tablet, acetylsalicylic acid 100 mg tablet: enteric coated, gliclazide 60 mg tablet: modified release, vitamin B complex (B1,B6,B12) 100,200,0.2 mg Film coated tablets [oral], clopidogrel 75 mg tablet, tamsulosin hydrochloride 400 microgram tablet: modified release, metFORMIN hydrochloride 750 mg tablet: modified release, SITagliptin 100 mg tablet, acetylsalicylic acid 100 mg tablet: enteric coated, gliclazide 60 mg tablet: modified release, vitamin B complex (B1,B6,B12) 100,200,0.2 mg Film coated tablets [oral], clopidogrel 75 mg tablet, tamsulosin hydrochloride 400 microgram tablet: modified release, metFORMIN hydrochloride 750 mg tablet: modified release, SITagliptin 100 mg tablet, acetylsalicylic acid 100 mg tablet: enteric coated, gliclazide 60 mg tablet: modified release, vitamin B complex (B1,B6,B12) 100,200,0.2 mg Film coated tablets [oral], clopidogrel 75 mg tablet, tamsulosin hydrochloride 400 microgram tablet: modified release, metFORMIN hydrochloride 750 mg tablet: modified release, SITagliptin 100 mg tablet, acetylsalicylic acid 100 mg tablet: enteric coated, gliclazide 60 mg tablet: modified release, vitamin B complex (B1,B6,B12) 100,200,0.2 mg Film coated tablets [oral], clopidogrel 75 mg tablet, tamsulosin hydrochloride 400 microgram tablet: modified release, acetylsalicylic acid 100 mg tablet: enteric coated, acetylsalicylic acid 100 mg tablet: enteric coated, acetylsalicylic acid 100 mg tablet: enteric coated, acetylsalicylic acid 100 mg tablet: enteric coated, SITagliptin 100 mg tablet, metFORMIN hydrochloride 750 mg tablet: modified release, gliclazide 60 mg tablet: modified release, vitamin B complex (B1,B6,B12) 100,200,0.2 mg Film coated tablets [oral], SITagliptin 100 mg tablet, metFORMIN hydrochloride 750 mg tablet: modified release, gliclazide 60 mg tablet: modified release, vitamin B complex (B1,B6,B12) 100,200,0.2 mg Film coated tablets [oral], SITagliptin 100 mg tablet, metFORMIN hydrochloride 750 mg tablet: modified release, gliclazide 60 mg tablet: modified release, vitamin B complex (B1,B6,B12) 100,200,0.2 mg Film coated tablets [oral], SITagliptin 100 mg tablet, metFORMIN hydrochloride 750 mg tablet: modified release, gliclazide 60 mg tablet: modified release, vitamin B complex (B1,B6,B12) 100,200,0.2 mg Film coated tablets [oral], tamsulosin hydrochloride 400 microgram tablet: modified release, tamsulosin hydrochloride 400 microgram tablet: modified release, tamsulosin hydrochloride 400 microgram tablet: modified release, tamsulosin hydrochloride 400 microgram tablet: modified release, SITagliptin 100 mg tablet, SITagliptin 100 mg tablet, SITagliptin 100 mg tablet, SITagliptin 100 mg tablet, clopidogrel 75 mg tablet, acetylsalicylic acid 100 mg tablet: enteric coated, clopidogrel 75 mg tablet, acetylsalicylic acid 100 mg tablet: enteric coated, clopidogrel 75 mg tablet, acetylsalicylic acid 100 mg tablet: enteric coated, clopidogrel 75 mg tablet, acetylsalicylic acid 100 mg tablet: enteric coated, gliclazide 60 mg tablet: modified release, gliclazide 60 mg tablet: modified release, gliclazide 60 mg tablet: modified release, gliclazide 60 mg tablet: modified release, tamsulosin hydrochloride 400 microgram tablet: modified release, tamsulosin hydrochloride 400 microgram tablet: modified release, tamsulosin hydrochloride 400 microgram tablet: modified release, tamsulosin hydrochloride 400 microgram tablet: modified release, vitamin B complex (B1,B6,B12) 100,200,0.2 mg Film coated tablets [oral], metFORMIN hydrochloride 750 mg tablet: modified release, vitamin B complex (B1,B6,B12) 100,200,0.2 mg Film coated tablets [oral], metFORMIN hydrochloride 750 mg tablet: modified release, vitamin B complex (B1,B6,B12) 100,200,0.2 mg Film coated tablets [oral], metFORMIN hydrochloride 750 mg tablet: modified release, vitamin B complex (B1,B6,B12) 100,200,0.2 mg Film coated tablets [oral], metFORMIN hydrochloride 750 mg tablet: modified release, clopidogrel 75 mg tablet, clopidogrel 75 mg tablet, clopidogrel 75 mg tablet, clopidogrel 75 mg tablet, tamsulosin hydrochloride 400 microgram tablet: modified release, tamsulosin hydrochloride 400 microgram tablet: modified release, tamsulosin hydrochloride 400 microgram tablet: modified release, tamsulosin hydrochloride 400 microgram tablet: modified release</t>
  </si>
  <si>
    <t>حياه زين محمد الحارثي</t>
  </si>
  <si>
    <t>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t>
  </si>
  <si>
    <t>عبدالله قواس مطر المطيري</t>
  </si>
  <si>
    <t>vitamin B complex (B, B, metFORMIN hydrochloride, valsartan</t>
  </si>
  <si>
    <t>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valsartan 80 mg tablet, valsartan 80 mg tablet, valsartan 80 mg tablet, valsartan 80 mg tablet, valsartan 80 mg tablet, valsartan 80 mg tablet, valsartan 80 mg tablet, valsartan 80 mg tablet, 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metFORMIN hydrochloride 500 mg tablet, metFORMIN hydrochloride 500 mg tablet, metFORMIN hydrochloride 500 mg tablet</t>
  </si>
  <si>
    <t>مسعوده خنفر عوض الزهراني</t>
  </si>
  <si>
    <t>salicylic acid, paraffin soft white ointment, tube, mometasone furoate, calcipotriol</t>
  </si>
  <si>
    <t>salicylic acid 10% (100 mg/g) 30 g ointment, paraffin soft white ointment, tube, salicylic acid 10% (100 mg/g) 30 g ointment, paraffin soft white ointment, tube, salicylic acid 10% (100 mg/g) 30 g ointment, paraffin soft white ointment, tube, mometasone furoate 0.1% (1 mg/g) ointment, calcipotriol 0.005% (50 microgram/g) + betamethasone (as dipropionate) 0.05% (500 microgram/g) ointment, mometasone furoate 0.1% (1 mg/g) ointment, calcipotriol 0.005% (50 microgram/g) + betamethasone (as dipropionate) 0.05% (500 microgram/g) ointment, mometasone furoate 0.1% (1 mg/g) ointment, calcipotriol 0.005% (50 microgram/g) + betamethasone (as dipropionate) 0.05% (500 microgram/g) ointment, salicylic acid 10% (100 mg/g) 30 g ointment, paraffin soft white ointment, tube, salicylic acid 10% (100 mg/g) 30 g ointment, paraffin soft white ointment, tube, salicylic acid 10% (100 mg/g) 30 g ointment, paraffin soft white ointment, tube, mometasone furoate 0.1% (1 mg/g) ointment, calcipotriol 0.005% (50 microgram/g) + betamethasone (as dipropionate) 0.05% (500 microgram/g) ointment, mometasone furoate 0.1% (1 mg/g) ointment, calcipotriol 0.005% (50 microgram/g) + betamethasone (as dipropionate) 0.05% (500 microgram/g) ointment, mometasone furoate 0.1% (1 mg/g) ointment, calcipotriol 0.005% (50 microgram/g) + betamethasone (as dipropionate) 0.05% (500 microgram/g) ointment, paraffin soft white ointment, tube, salicylic acid 10% (100 mg/g) 30 g ointment, paraffin soft white ointment, tube, salicylic acid 10% (100 mg/g) 30 g ointment, paraffin soft white ointment, tube, salicylic acid 10% (100 mg/g) 30 g ointment, calcipotriol 0.005% (50 microgram/g) + betamethasone (as dipropionate) 0.05% (500 microgram/g) ointment, calcipotriol 0.005% (50 microgram/g) + betamethasone (as dipropionate) 0.05% (500 microgram/g) ointment, calcipotriol 0.005% (50 microgram/g) + betamethasone (as dipropionate) 0.05% (500 microgram/g) ointment, mometasone furoate 0.1% (1 mg/g) ointment, mometasone furoate 0.1% (1 mg/g) ointment, mometasone furoate 0.1% (1 mg/g) ointment</t>
  </si>
  <si>
    <t>محمد ابراهيم بوكر صيقل</t>
  </si>
  <si>
    <t>احمد محمد عبدالله الزهراني</t>
  </si>
  <si>
    <t>metFORMIN hydrochloride, pseudoephedrine hydrochloride, paracetamol, xylometazoline hydrochloride</t>
  </si>
  <si>
    <t>metFORMIN hydrochloride 500 mg tablet, pseudoephedrine hydrochloride 60 mg + triprolidine hydrochloride 2.5 mg tablet, paracetamol 500 mg tablet, xylometazoline hydrochloride 0.05% (500 microgram/mL) nasal drops, metFORMIN hydrochloride 500 mg tablet, pseudoephedrine hydrochloride 60 mg + triprolidine hydrochloride 2.5 mg tablet, paracetamol 500 mg tablet, xylometazoline hydrochloride 0.05% (500 microgram/mL) nasal drops, metFORMIN hydrochloride 500 mg tablet, pseudoephedrine hydrochloride 60 mg + triprolidine hydrochloride 2.5 mg tablet, paracetamol 500 mg tablet, xylometazoline hydrochloride 0.05% (500 microgram/mL) nasal drops, metFORMIN hydrochloride 500 mg tablet, pseudoephedrine hydrochloride 60 mg + triprolidine hydrochloride 2.5 mg tablet, paracetamol 500 mg tablet, xylometazoline hydrochloride 0.05% (500 microgram/mL) nasal drops, metFORMIN hydrochloride 500 mg tablet, pseudoephedrine hydrochloride 60 mg + triprolidine hydrochloride 2.5 mg tablet, paracetamol 500 mg tablet, xylometazoline hydrochloride 0.05% (500 microgram/mL) nasal drops, paracetamol 500 mg tablet, metFORMIN hydrochloride 500 mg tablet, paracetamol 500 mg tablet, metFORMIN hydrochloride 500 mg tablet, paracetamol 500 mg tablet, metFORMIN hydrochloride 500 mg tablet, paracetamol 500 mg tablet, metFORMIN hydrochloride 500 mg tablet, paracetamol 500 mg tablet, metFORMIN hydrochloride 500 mg tablet, xylometazoline hydrochloride 0.05% (500 microgram/mL) nasal drops, xylometazoline hydrochloride 0.05% (500 microgram/mL) nasal drops, xylometazoline hydrochloride 0.05% (500 microgram/mL) nasal drops, xylometazoline hydrochloride 0.05% (500 microgram/mL) nasal drops, xylometazoline hydrochloride 0.05% (500 microgram/mL) nasal drops, pseudoephedrine hydrochloride 60 mg + triprolidine hydrochloride 2.5 mg tablet, pseudoephedrine hydrochloride 60 mg + triprolidine hydrochloride 2.5 mg tablet, pseudoephedrine hydrochloride 60 mg + triprolidine hydrochloride 2.5 mg tablet, pseudoephedrine hydrochloride 60 mg + triprolidine hydrochloride 2.5 mg tablet, pseudoephedrine hydrochloride 60 mg + triprolidine hydrochloride 2.5 mg tablet</t>
  </si>
  <si>
    <t>فاطمه جمعان عبدالله الزهراني</t>
  </si>
  <si>
    <t>ساميه عبدالمجيد ناجي عسيري</t>
  </si>
  <si>
    <t>empagliflozin, amLODIPine, gliclazide, atorvastatin, metFORMIN hydrochloride</t>
  </si>
  <si>
    <t>empagliflozin 25 mg tablet, empagliflozin 25 mg tablet, empagliflozin 25 mg tablet, empagliflozin 25 mg tablet, amLODIPine 5 mg tablet, amLODIPine 5 mg tablet, amLODIPine 5 mg tablet, amLODIPine 5 mg tablet, gliclazide 60 mg tablet: modified release, gliclazide 60 mg tablet: modified release, gliclazide 60 mg tablet: modified release, gliclazide 60 mg tablet: modified release, atorvastatin 20 mg tablet, atorvastatin 20 mg tablet, atorvastatin 20 mg tablet, atorvastatin 20 mg tablet, metFORMIN hydrochloride 500 mg tablet, metFORMIN hydrochloride 500 mg tablet, metFORMIN hydrochloride 500 mg tablet, metFORMIN hydrochloride 500 mg tablet, atorvastatin 20 mg tablet, atorvastatin 20 mg tablet, atorvastatin 20 mg tablet, atorvastatin 20 mg tablet, metFORMIN hydrochloride 500 mg tablet, metFORMIN hydrochloride 500 mg tablet, metFORMIN hydrochloride 500 mg tablet, metFORMIN hydrochloride 500 mg tablet, gliclazide 60 mg tablet: modified release, gliclazide 60 mg tablet: modified release, gliclazide 60 mg tablet: modified release, gliclazide 60 mg tablet: modified release, empagliflozin 25 mg tablet, amLODIPine 5 mg tablet, empagliflozin 25 mg tablet, amLODIPine 5 mg tablet, empagliflozin 25 mg tablet, amLODIPine 5 mg tablet, empagliflozin 25 mg tablet, amLODIPine 5 mg tablet, atorvastatin 20 mg tablet, atorvastatin 20 mg tablet, atorvastatin 20 mg tablet, atorvastatin 20 mg tablet, metFORMIN hydrochloride 500 mg tablet, metFORMIN hydrochloride 500 mg tablet, metFORMIN hydrochloride 500 mg tablet, metFORMIN hydrochloride 500 mg tablet, amLODIPine 5 mg tablet, empagliflozin 25 mg tablet, gliclazide 60 mg tablet: modified release, amLODIPine 5 mg tablet, empagliflozin 25 mg tablet, gliclazide 60 mg tablet: modified release, amLODIPine 5 mg tablet, empagliflozin 25 mg tablet, gliclazide 60 mg tablet: modified release, amLODIPine 5 mg tablet, empagliflozin 25 mg tablet, gliclazide 60 mg tablet: modified release</t>
  </si>
  <si>
    <t>متعب بجاد عقيل العتيبي</t>
  </si>
  <si>
    <t>vitamin B complex (B, B, empagliflozin, metFORMIN hydrochloride, SITagliptin, Lancets (Accu-Check), Glucometer Device (Accu-Chek), Strips (Accu-Check)</t>
  </si>
  <si>
    <t>vitamin B complex (B1,B6,B12) 100,200,0.2 mg Film coated tablets [oral], empagliflozin 10 mg tablet, vitamin B complex (B1,B6,B12) 100,200,0.2 mg Film coated tablets [oral], empagliflozin 10 mg tablet, vitamin B complex (B1,B6,B12) 100,200,0.2 mg Film coated tablets [oral], empagliflozin 10 mg tablet, vitamin B complex (B1,B6,B12) 100,200,0.2 mg Film coated tablets [oral], empagliflozin 10 mg tablet, metFORMIN hydrochloride 750 mg tablet: modified release, SITagliptin 100 mg tablet, Lancets (Accu-Check) 1 box Lancets [n/a], metFORMIN hydrochloride 750 mg tablet: modified release, SITagliptin 100 mg tablet, Lancets (Accu-Check) 1 box Lancets [n/a], metFORMIN hydrochloride 750 mg tablet: modified release, SITagliptin 100 mg tablet, Lancets (Accu-Check) 1 box Lancets [n/a], metFORMIN hydrochloride 750 mg tablet: modified release, SITagliptin 100 mg tablet, Lancets (Accu-Check) 1 box Lancets [n/a], Glucometer Device (Accu-Chek) 1 device Device [n/a], Glucometer Device (Accu-Chek) 1 device Device [n/a], Glucometer Device (Accu-Chek) 1 device Device [n/a], Glucometer Device (Accu-Chek) 1 device Device [n/a], Strips (Accu-Check) 1 box Strip [n/a], Strips (Accu-Check) 1 box Strip [n/a], Strips (Accu-Check) 1 box Strip [n/a], Strips (Accu-Check) 1 box Strip [n/a], SITagliptin 100 mg tablet, Glucometer Device (Accu-Chek) 1 device Device [n/a], SITagliptin 100 mg tablet, Glucometer Device (Accu-Chek) 1 device Device [n/a], SITagliptin 100 mg tablet, Glucometer Device (Accu-Chek) 1 device Device [n/a], SITagliptin 100 mg tablet, Glucometer Device (Accu-Chek) 1 device Device [n/a], metFORMIN hydrochloride 750 mg tablet: modified release, Lancets (Accu-Check) 1 box Lancets [n/a], metFORMIN hydrochloride 750 mg tablet: modified release, Lancets (Accu-Check) 1 box Lancets [n/a], metFORMIN hydrochloride 750 mg tablet: modified release, Lancets (Accu-Check) 1 box Lancets [n/a], metFORMIN hydrochloride 750 mg tablet: modified release, Lancets (Accu-Check) 1 box Lancets [n/a], empagliflozin 10 mg tablet, vitamin B complex (B1,B6,B12) 100,200,0.2 mg Film coated tablets [oral], empagliflozin 10 mg tablet, vitamin B complex (B1,B6,B12) 100,200,0.2 mg Film coated tablets [oral], empagliflozin 10 mg tablet, vitamin B complex (B1,B6,B12) 100,200,0.2 mg Film coated tablets [oral], empagliflozin 10 mg tablet, vitamin B complex (B1,B6,B12) 100,200,0.2 mg Film coated tablets [oral], Strips (Accu-Check) 1 box Strip [n/a], Glucometer Device (Accu-Chek) 1 device Device [n/a], Lancets (Accu-Check) 1 box Lancets [n/a], vitamin B complex (B1,B6,B12) 100,200,0.2 mg Film coated tablets [oral], empagliflozin 10 mg tablet, metFORMIN hydrochloride 750 mg tablet: modified release, SITagliptin 100 mg tablet, Strips (Accu-Check) 1 box Strip [n/a], Glucometer Device (Accu-Chek) 1 device Device [n/a], Lancets (Accu-Check) 1 box Lancets [n/a], vitamin B complex (B1,B6,B12) 100,200,0.2 mg Film coated tablets [oral], empagliflozin 10 mg tablet, metFORMIN hydrochloride 750 mg tablet: modified release, SITagliptin 100 mg tablet, Strips (Accu-Check) 1 box Strip [n/a], Glucometer Device (Accu-Chek) 1 device Device [n/a], Lancets (Accu-Check) 1 box Lancets [n/a], vitamin B complex (B1,B6,B12) 100,200,0.2 mg Film coated tablets [oral], empagliflozin 10 mg tablet, metFORMIN hydrochloride 750 mg tablet: modified release, SITagliptin 100 mg tablet, Strips (Accu-Check) 1 box Strip [n/a], Glucometer Device (Accu-Chek) 1 device Device [n/a], Lancets (Accu-Check) 1 box Lancets [n/a], vitamin B complex (B1,B6,B12) 100,200,0.2 mg Film coated tablets [oral], empagliflozin 10 mg tablet, metFORMIN hydrochloride 750 mg tablet: modified release, SITagliptin 100 mg tablet, Glucometer Device (Accu-Chek) 1 device Device [n/a], Lancets (Accu-Check) 1 box Lancets [n/a], Glucometer Device (Accu-Chek) 1 device Device [n/a], Lancets (Accu-Check) 1 box Lancets [n/a], Glucometer Device (Accu-Chek) 1 device Device [n/a], Lancets (Accu-Check) 1 box Lancets [n/a], Glucometer Device (Accu-Chek) 1 device Device [n/a], Lancets (Accu-Check) 1 box Lancets [n/a], Strips (Accu-Check) 1 box Strip [n/a], SITagliptin 100 mg tablet, metFORMIN hydrochloride 750 mg tablet: modified release, empagliflozin 10 mg tablet, Strips (Accu-Check) 1 box Strip [n/a], SITagliptin 100 mg tablet, metFORMIN hydrochloride 750 mg tablet: modified release, empagliflozin 10 mg tablet, Strips (Accu-Check) 1 box Strip [n/a], SITagliptin 100 mg tablet, metFORMIN hydrochloride 750 mg tablet: modified release, empagliflozin 10 mg tablet, Strips (Accu-Check) 1 box Strip [n/a], SITagliptin 100 mg tablet, metFORMIN hydrochloride 750 mg tablet: modified release, empagliflozin 10 mg tablet, vitamin B complex (B1,B6,B12) 100,200,0.2 mg Film coated tablets [oral], vitamin B complex (B1,B6,B12) 100,200,0.2 mg Film coated tablets [oral], vitamin B complex (B1,B6,B12) 100,200,0.2 mg Film coated tablets [oral], vitamin B complex (B1,B6,B12) 100,200,0.2 mg Film coated tablets [oral], SITagliptin 100 mg tablet, SITagliptin 100 mg tablet, SITagliptin 100 mg tablet, SITagliptin 100 mg tablet, empagliflozin 10 mg tablet, Lancets (Accu-Check) 1 box Lancets [n/a], Glucometer Device (Accu-Chek) 1 device Device [n/a], Strips (Accu-Check) 1 box Strip [n/a], empagliflozin 10 mg tablet, Lancets (Accu-Check) 1 box Lancets [n/a], Glucometer Device (Accu-Chek) 1 device Device [n/a], Strips (Accu-Check) 1 box Strip [n/a], empagliflozin 10 mg tablet, Lancets (Accu-Check) 1 box Lancets [n/a], Glucometer Device (Accu-Chek) 1 device Device [n/a], Strips (Accu-Check) 1 box Strip [n/a], empagliflozin 10 mg tablet, Lancets (Accu-Check) 1 box Lancets [n/a], Glucometer Device (Accu-Chek) 1 device Device [n/a], Strips (Accu-Check) 1 box Strip [n/a], SITagliptin 100 mg tablet, vitamin B complex (B1,B6,B12) 100,200,0.2 mg Film coated tablets [oral], Strips (Accu-Check) 1 box Strip [n/a], metFORMIN hydrochloride 750 mg tablet: modified release, empagliflozin 10 mg tablet, SITagliptin 100 mg tablet, vitamin B complex (B1,B6,B12) 100,200,0.2 mg Film coated tablets [oral], Strips (Accu-Check) 1 box Strip [n/a], metFORMIN hydrochloride 750 mg tablet: modified release, empagliflozin 10 mg tablet, SITagliptin 100 mg tablet, vitamin B complex (B1,B6,B12) 100,200,0.2 mg Film coated tablets [oral], Strips (Accu-Check) 1 box Strip [n/a], metFORMIN hydrochloride 750 mg tablet: modified release, empagliflozin 10 mg tablet, SITagliptin 100 mg tablet, vitamin B complex (B1,B6,B12) 100,200,0.2 mg Film coated tablets [oral], Strips (Accu-Check) 1 box Strip [n/a], metFORMIN hydrochloride 750 mg tablet: modified release, empagliflozin 10 mg tablet, Lancets (Accu-Check) 1 box Lancets [n/a], Glucometer Device (Accu-Chek) 1 device Device [n/a], Lancets (Accu-Check) 1 box Lancets [n/a], Glucometer Device (Accu-Chek) 1 device Device [n/a], Lancets (Accu-Check) 1 box Lancets [n/a], Glucometer Device (Accu-Chek) 1 device Device [n/a], Lancets (Accu-Check) 1 box Lancets [n/a], Glucometer Device (Accu-Chek) 1 device Device [n/a]</t>
  </si>
  <si>
    <t>محيل حجاج بريك العتيبي</t>
  </si>
  <si>
    <t>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t>
  </si>
  <si>
    <t>غسان حامد سراج خسيفان</t>
  </si>
  <si>
    <t>مصباح معيض محمد الغامدي</t>
  </si>
  <si>
    <t>valsartan, cetirizine hydrochloride, paracetamol</t>
  </si>
  <si>
    <t>valsartan 80 mg tablet, valsartan 80 mg tablet, valsartan 80 mg tablet, cetirizine hydrochloride 10 mg tablet, cetirizine hydrochloride 10 mg tablet, cetirizine hydrochloride 10 mg tablet, paracetamol 500 mg tablet, paracetamol 500 mg tablet, paracetamol 500 mg tablet, cetirizine hydrochloride 10 mg tablet, paracetamol 500 mg tablet, cetirizine hydrochloride 10 mg tablet, paracetamol 500 mg tablet, cetirizine hydrochloride 10 mg tablet, paracetamol 500 mg tablet, valsartan 80 mg tablet, valsartan 80 mg tablet, valsartan 80 mg tablet, cetirizine hydrochloride 10 mg tablet, paracetamol 500 mg tablet, cetirizine hydrochloride 10 mg tablet, paracetamol 500 mg tablet, cetirizine hydrochloride 10 mg tablet, paracetamol 500 mg tablet, valsartan 80 mg tablet, valsartan 80 mg tablet, valsartan 80 mg tablet</t>
  </si>
  <si>
    <t>هند عتيق تليعان السناني</t>
  </si>
  <si>
    <t>metFORMIN hydrochloride, Glucometer Device (Accu-Chek), vitamin B complex (B, B, Lancets (Accu-Check)</t>
  </si>
  <si>
    <t>metFORMIN hydrochloride 500 mg tablet, Glucometer Device (Accu-Chek) 1 device Device [n/a], metFORMIN hydrochloride 500 mg tablet, Glucometer Device (Accu-Chek) 1 device Device [n/a], metFORMIN hydrochloride 500 mg tablet, Glucometer Device (Accu-Chek) 1 device Device [n/a], Glucometer Device (Accu-Chek) 1 device Device [n/a], Glucometer Device (Accu-Chek) 1 device Device [n/a], Glucometer Device (Accu-Chek) 1 device Device [n/a],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Lancets (Accu-Check) 1 box Lancets [n/a], Lancets (Accu-Check) 1 box Lancets [n/a], Lancets (Accu-Check) 1 box Lancets [n/a], vitamin B complex (B1,B6,B12) 100,200,0.2 mg Film coated tablets [oral], Lancets (Accu-Check) 1 box Lancets [n/a], vitamin B complex (B1,B6,B12) 100,200,0.2 mg Film coated tablets [oral], Lancets (Accu-Check) 1 box Lancets [n/a], vitamin B complex (B1,B6,B12) 100,200,0.2 mg Film coated tablets [oral], Lancets (Accu-Check) 1 box Lancets [n/a]</t>
  </si>
  <si>
    <t>مجري حسن حسين الروقي</t>
  </si>
  <si>
    <t>levothyroxine sodium, insulin aspart, perindopril arginine, mebeverine hydrochloride, acetylsalicylic acid, insulin glargine (lantus), omeprazole, vitamin B complex (B, B, atorvastatin</t>
  </si>
  <si>
    <t>levothyroxine sodium 50 microgram tablet, levothyroxine sodium 50 microgram tablet, insulin aspart 100 international units/mL injection, 3 mL prefilled pen, insulin aspart 100 international units/mL injection, 3 mL prefilled pen, perindopril arginine 5 mg tablet, mebeverine hydrochloride 200 mg capsule: modified release, perindopril arginine 5 mg tablet, mebeverine hydrochloride 200 mg capsule: modified release, acetylsalicylic acid 100 mg tablet: enteric coated, acetylsalicylic acid 100 mg tablet: enteric coated, insulin glargine (lantus) 100 international units/mL injection, 3 mL prefilled pen, omeprazole 20 mg tablet: enteric coated, insulin glargine (lantus) 100 international units/mL injection, 3 mL prefilled pen, omeprazole 20 mg tablet: enteric coated, vitamin B complex (B1,B6,B12) 100,200,0.2 mg Film coated tablets [oral], atorvastatin 20 mg tablet, insulin glargine (lantus) 100 international units/mL injection, 3 mL prefilled pen, perindopril arginine 5 mg tablet, vitamin B complex (B1,B6,B12) 100,200,0.2 mg Film coated tablets [oral], atorvastatin 20 mg tablet, insulin glargine (lantus) 100 international units/mL injection, 3 mL prefilled pen, perindopril arginine 5 mg tablet, levothyroxine sodium 50 microgram tablet, mebeverine hydrochloride 200 mg capsule: modified release, levothyroxine sodium 50 microgram tablet, mebeverine hydrochloride 200 mg capsule: modified release, vitamin B complex (B1,B6,B12) 100,200,0.2 mg Film coated tablets [oral], omeprazole 20 mg tablet: enteric coated, vitamin B complex (B1,B6,B12) 100,200,0.2 mg Film coated tablets [oral], omeprazole 20 mg tablet: enteric coated, atorvastatin 20 mg tablet, acetylsalicylic acid 100 mg tablet: enteric coated, atorvastatin 20 mg tablet, acetylsalicylic acid 100 mg tablet: enteric coated, insulin aspart 100 international units/mL injection, 3 mL prefilled pen, insulin aspart 100 international units/mL injection, 3 mL prefilled pen, levothyroxine sodium 50 microgram tablet, levothyroxine sodium 50 microgram tablet, mebeverine hydrochloride 200 mg capsule: modified release, perindopril arginine 5 mg tablet, omeprazole 20 mg tablet: enteric coated, mebeverine hydrochloride 200 mg capsule: modified release, perindopril arginine 5 mg tablet, omeprazole 20 mg tablet: enteric coated, atorvastatin 20 mg tablet, acetylsalicylic acid 100 mg tablet: enteric coated, insulin glargine (lantus) 100 international units/mL injection, 3 mL prefilled pen, atorvastatin 20 mg tablet, acetylsalicylic acid 100 mg tablet: enteric coated, insulin glargine (lantus) 100 international units/mL injection, 3 mL prefilled pen, vitamin B complex (B1,B6,B12) 100,200,0.2 mg Film coated tablets [oral], vitamin B complex (B1,B6,B12) 100,200,0.2 mg Film coated tablets [oral], insulin aspart 100 international units/mL injection, 3 mL prefilled pen, insulin aspart 100 international units/mL injection, 3 mL prefilled pen</t>
  </si>
  <si>
    <t>صفيه ثابت علي علوي</t>
  </si>
  <si>
    <t>diclofenac sodium 1% (10 mg/g) gel, diclofenac sodium 1% (10 mg/g) gel, diclofenac sodium 1% (10 mg/g) gel, diclofenac sodium 1% (10 mg/g) gel, diclofenac sodium 1% (10 mg/g) gel, diclofenac sodium 1% (10 mg/g) gel, diclofenac sodium 1% (10 mg/g) gel, diclofenac sodium 1% (10 mg/g) gel, paracetamol 500 mg tablet, paracetamol 500 mg tablet, paracetamol 500 mg tablet, paracetamol 500 mg tablet, paracetamol 500 mg tablet, paracetamol 500 mg tablet, paracetamol 500 mg tablet, paracetamol 500 mg tablet, diclofenac sodium 1% (10 mg/g) gel, diclofenac sodium 1% (10 mg/g) gel, diclofenac sodium 1% (10 mg/g) gel, diclofenac sodium 1% (10 mg/g) gel, paracetamol 500 mg tablet, paracetamol 500 mg tablet, paracetamol 500 mg tablet, paracetamol 500 mg tablet</t>
  </si>
  <si>
    <t>يحي علي علي علوي</t>
  </si>
  <si>
    <t>paracetamol, hyoscine butylbromide, loperamide hydrochloride</t>
  </si>
  <si>
    <t>paracetamol 500 mg tablet, hyoscine butylbromide 10 mg tablet, paracetamol 500 mg tablet, hyoscine butylbromide 10 mg tablet, paracetamol 500 mg tablet, hyoscine butylbromide 10 mg tablet, paracetamol 500 mg tablet, hyoscine butylbromide 10 mg tablet, paracetamol 500 mg tablet, hyoscine butylbromide 10 mg tablet, paracetamol 500 mg tablet, hyoscine butylbromide 10 mg tablet, paracetamol 500 mg tablet, hyoscine butylbromide 10 mg tablet, loperamide hydrochloride 2 mg capsule, loperamide hydrochloride 2 mg capsule, loperamide hydrochloride 2 mg capsule, loperamide hydrochloride 2 mg capsule, loperamide hydrochloride 2 mg capsule, loperamide hydrochloride 2 mg capsule, loperamide hydrochloride 2 mg capsule, paracetamol 500 mg tablet, paracetamol 500 mg tablet, paracetamol 500 mg tablet, paracetamol 500 mg tablet, paracetamol 500 mg tablet, paracetamol 500 mg tablet, paracetamol 500 mg tablet, loperamide hydrochloride 2 mg capsule, hyoscine butylbromide 10 mg tablet, loperamide hydrochloride 2 mg capsule, hyoscine butylbromide 10 mg tablet, loperamide hydrochloride 2 mg capsule, hyoscine butylbromide 10 mg tablet, loperamide hydrochloride 2 mg capsule, hyoscine butylbromide 10 mg tablet, loperamide hydrochloride 2 mg capsule, hyoscine butylbromide 10 mg tablet, loperamide hydrochloride 2 mg capsule, hyoscine butylbromide 10 mg tablet, loperamide hydrochloride 2 mg capsule, hyoscine butylbromide 10 mg tablet, paracetamol 500 mg tablet, hyoscine butylbromide 10 mg tablet, paracetamol 500 mg tablet, hyoscine butylbromide 10 mg tablet, paracetamol 500 mg tablet, hyoscine butylbromide 10 mg tablet, paracetamol 500 mg tablet, hyoscine butylbromide 10 mg tablet, paracetamol 500 mg tablet, hyoscine butylbromide 10 mg tablet, paracetamol 500 mg tablet, hyoscine butylbromide 10 mg tablet, paracetamol 500 mg tablet, hyoscine butylbromide 10 mg tablet, loperamide hydrochloride 2 mg capsule, loperamide hydrochloride 2 mg capsule, loperamide hydrochloride 2 mg capsule, loperamide hydrochloride 2 mg capsule, loperamide hydrochloride 2 mg capsule, loperamide hydrochloride 2 mg capsule, loperamide hydrochloride 2 mg capsule</t>
  </si>
  <si>
    <t>عبدالله محمد عبدالمعتني الجدعاني</t>
  </si>
  <si>
    <t>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t>
  </si>
  <si>
    <t>حمود عبدالله محمد الرشيدي</t>
  </si>
  <si>
    <t>SITagliptin, gliclazide, vitamin B complex (B, B, metFORMIN hydrochloride</t>
  </si>
  <si>
    <t>SITagliptin 100 mg tablet, gliclazide 60 mg tablet: modified release, vitamin B complex (B1,B6,B12) 100,200,0.2 mg Film coated tablets [oral], metFORMIN hydrochloride 500 mg tablet, SITagliptin 100 mg tablet, gliclazide 60 mg tablet: modified release, vitamin B complex (B1,B6,B12) 100,200,0.2 mg Film coated tablets [oral], metFORMIN hydrochloride 500 mg tablet, SITagliptin 100 mg tablet, gliclazide 60 mg tablet: modified release, vitamin B complex (B1,B6,B12) 100,200,0.2 mg Film coated tablets [oral], metFORMIN hydrochloride 500 mg tablet, SITagliptin 100 mg tablet, gliclazide 60 mg tablet: modified release, vitamin B complex (B1,B6,B12) 100,200,0.2 mg Film coated tablets [oral], metFORMIN hydrochloride 500 mg tablet, gliclazide 60 mg tablet: modified release, metFORMIN hydrochloride 500 mg tablet, gliclazide 60 mg tablet: modified release, metFORMIN hydrochloride 500 mg tablet, gliclazide 60 mg tablet: modified release, metFORMIN hydrochloride 500 mg tablet, gliclazide 60 mg tablet: modified release, metFORMIN hydrochloride 500 mg tablet, SITagliptin 100 mg tablet, SITagliptin 100 mg tablet, SITagliptin 100 mg tablet, SITagliptin 100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gliclazide 60 mg tablet: modified release, gliclazide 60 mg tablet: modified release, gliclazide 60 mg tablet: modified release, gliclazide 60 mg tablet: modified release, SITagliptin 100 mg tablet, metFORMIN hydrochloride 500 mg tablet, SITagliptin 100 mg tablet, metFORMIN hydrochloride 500 mg tablet, SITagliptin 100 mg tablet, metFORMIN hydrochloride 500 mg tablet, SITagliptin 100 mg tablet, metFORMIN hydrochloride 500 mg tablet, gliclazide 60 mg tablet: modified release, gliclazide 60 mg tablet: modified release, gliclazide 60 mg tablet: modified release, gliclazide 60 mg tablet: modified release, 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metFORMIN hydrochloride 500 mg tablet, metFORMIN hydrochloride 500 mg tablet, metFORMIN hydrochloride 500 mg tablet, SITagliptin 100 mg tablet, SITagliptin 100 mg tablet, SITagliptin 100 mg tablet, SITagliptin 100 mg tablet, vitamin B complex (B1,B6,B12) 100,200,0.2 mg Film coated tablets [oral], vitamin B complex (B1,B6,B12) 100,200,0.2 mg Film coated tablets [oral], vitamin B complex (B1,B6,B12) 100,200,0.2 mg Film coated tablets [oral], vitamin B complex (B1,B6,B12) 100,200,0.2 mg Film coated tablets [oral], gliclazide 60 mg tablet: modified release, gliclazide 60 mg tablet: modified release, gliclazide 60 mg tablet: modified release, gliclazide 60 mg tablet: modified release, SITagliptin 100 mg tablet, SITagliptin 100 mg tablet, SITagliptin 100 mg tablet, SITagliptin 100 mg tablet, metFORMIN hydrochloride 500 mg tablet, metFORMIN hydrochloride 500 mg tablet, metFORMIN hydrochloride 500 mg tablet, metFORMIN hydrochloride 500 mg tablet</t>
  </si>
  <si>
    <t>مقبل محمد مقبل الحربي</t>
  </si>
  <si>
    <t>colecalciferol, celecoxib, diclofenac sodium, atorvastatin, chlorzoxazone</t>
  </si>
  <si>
    <t>colecalciferol 50 000 international units tablet, colecalciferol 50 000 international units tablet, colecalciferol 50 000 international units tablet, celecoxib 200 mg capsule, celecoxib 200 mg capsule, celecoxib 200 mg capsule, diclofenac sodium 1% (10 mg/g) gel, diclofenac sodium 1% (10 mg/g) gel, diclofenac sodium 1% (10 mg/g) gel, atorvastatin 10 mg tablet, atorvastatin 10 mg tablet, atorvastatin 10 mg tablet, chlorzoxazone 250 mg + paracetamol 300 mg capsule, chlorzoxazone 250 mg + paracetamol 300 mg capsule, chlorzoxazone 250 mg + paracetamol 300 mg capsule, diclofenac sodium 1% (10 mg/g) gel, diclofenac sodium 1% (10 mg/g) gel, diclofenac sodium 1% (10 mg/g) gel, colecalciferol 50 000 international units tablet, colecalciferol 50 000 international units tablet, colecalciferol 50 000 international units tablet, atorvastatin 10 mg tablet, atorvastatin 10 mg tablet, atorvastatin 10 mg tablet, atorvastatin 10 mg tablet, diclofenac sodium 1% (10 mg/g) gel, atorvastatin 10 mg tablet, diclofenac sodium 1% (10 mg/g) gel, atorvastatin 10 mg tablet, diclofenac sodium 1% (10 mg/g) gel, chlorzoxazone 250 mg + paracetamol 300 mg capsule, colecalciferol 50 000 international units tablet, celecoxib 200 mg capsule, chlorzoxazone 250 mg + paracetamol 300 mg capsule, colecalciferol 50 000 international units tablet, celecoxib 200 mg capsule, chlorzoxazone 250 mg + paracetamol 300 mg capsule, colecalciferol 50 000 international units tablet, celecoxib 200 mg capsule, celecoxib 200 mg capsule, celecoxib 200 mg capsule, celecoxib 200 mg capsule, atorvastatin 10 mg tablet, chlorzoxazone 250 mg + paracetamol 300 mg capsule, atorvastatin 10 mg tablet, chlorzoxazone 250 mg + paracetamol 300 mg capsule, atorvastatin 10 mg tablet, chlorzoxazone 250 mg + paracetamol 300 mg capsule, colecalciferol 50 000 international units tablet, diclofenac sodium 1% (10 mg/g) gel, colecalciferol 50 000 international units tablet, diclofenac sodium 1% (10 mg/g) gel, colecalciferol 50 000 international units tablet, diclofenac sodium 1% (10 mg/g) gel, chlorzoxazone 250 mg + paracetamol 300 mg capsule, colecalciferol 50 000 international units tablet, chlorzoxazone 250 mg + paracetamol 300 mg capsule, colecalciferol 50 000 international units tablet, chlorzoxazone 250 mg + paracetamol 300 mg capsule, colecalciferol 50 000 international units tablet, diclofenac sodium 1% (10 mg/g) gel, diclofenac sodium 1% (10 mg/g) gel, diclofenac sodium 1% (10 mg/g) gel, atorvastatin 10 mg tablet, celecoxib 200 mg capsule, atorvastatin 10 mg tablet, celecoxib 200 mg capsule, atorvastatin 10 mg tablet, celecoxib 200 mg capsule</t>
  </si>
  <si>
    <t>جابره سعيد هنيدي الحربي</t>
  </si>
  <si>
    <t>atorvastatin, empagliflozin, diclofenac sodium, gliclazide, metFORMIN hydrochloride, paraffin soft white ointment, tube</t>
  </si>
  <si>
    <t>atorvastatin 10 mg tablet, atorvastatin 10 mg tablet, atorvastatin 10 mg tablet, atorvastatin 10 mg tablet, empagliflozin 10 mg tablet, diclofenac sodium 1% (10 mg/g) gel, empagliflozin 10 mg tablet, diclofenac sodium 1% (10 mg/g) gel, empagliflozin 10 mg tablet, diclofenac sodium 1% (10 mg/g) gel, empagliflozin 10 mg tablet, diclofenac sodium 1% (10 mg/g) gel, gliclazide 60 mg tablet: modified release, gliclazide 60 mg tablet: modified release, gliclazide 60 mg tablet: modified release, gliclazide 60 mg tablet: modified release, metFORMIN hydrochloride 750 mg tablet: modified release, metFORMIN hydrochloride 750 mg tablet: modified release, metFORMIN hydrochloride 750 mg tablet: modified release, metFORMIN hydrochloride 750 mg tablet: modified release, paraffin soft white ointment, tube, paraffin soft white ointment, tube, paraffin soft white ointment, tube, paraffin soft white ointment, tube, atorvastatin 10 mg tablet, atorvastatin 10 mg tablet, atorvastatin 10 mg tablet, atorvastatin 10 mg tablet, empagliflozin 10 mg tablet, empagliflozin 10 mg tablet, empagliflozin 10 mg tablet, empagliflozin 10 mg tablet, diclofenac sodium 1% (10 mg/g) gel, diclofenac sodium 1% (10 mg/g) gel, diclofenac sodium 1% (10 mg/g) gel, diclofenac sodium 1% (10 mg/g) gel, paraffin soft white ointment, tube, metFORMIN hydrochloride 750 mg tablet: modified release, paraffin soft white ointment, tube, metFORMIN hydrochloride 750 mg tablet: modified release, paraffin soft white ointment, tube, metFORMIN hydrochloride 750 mg tablet: modified release, paraffin soft white ointment, tube, metFORMIN hydrochloride 750 mg tablet: modified release, gliclazide 60 mg tablet: modified release, gliclazide 60 mg tablet: modified release, gliclazide 60 mg tablet: modified release, gliclazide 60 mg tablet: modified release, empagliflozin 10 mg tablet, diclofenac sodium 1% (10 mg/g) gel, empagliflozin 10 mg tablet, diclofenac sodium 1% (10 mg/g) gel, empagliflozin 10 mg tablet, diclofenac sodium 1% (10 mg/g) gel, empagliflozin 10 mg tablet, diclofenac sodium 1% (10 mg/g) gel, atorvastatin 10 mg tablet, atorvastatin 10 mg tablet, atorvastatin 10 mg tablet, atorvastatin 10 mg tablet, metFORMIN hydrochloride 750 mg tablet: modified release, metFORMIN hydrochloride 750 mg tablet: modified release, metFORMIN hydrochloride 750 mg tablet: modified release, metFORMIN hydrochloride 750 mg tablet: modified release, paraffin soft white ointment, tube, paraffin soft white ointment, tube, paraffin soft white ointment, tube, paraffin soft white ointment, tube, gliclazide 60 mg tablet: modified release, gliclazide 60 mg tablet: modified release, gliclazide 60 mg tablet: modified release, gliclazide 60 mg tablet: modified release</t>
  </si>
  <si>
    <t>هيله محمد ابن هجاد الخثعمي</t>
  </si>
  <si>
    <t>atorvastatin, vitamins (A, B, C, D</t>
  </si>
  <si>
    <t>atorvastatin 10 mg tablet, atorvastatin 10 mg tablet, atorvastatin 10 mg tablet, atorvastatin 10 mg tablet, vitamins (A, B1, B2, B3, C, D3) tablet, vitamins (A, B1, B2, B3, C, D3) tablet, vitamins (A, B1, B2, B3, C, D3) tablet, vitamins (A, B1, B2, B3, C, D3) tablet, atorvastatin 10 mg tablet, atorvastatin 10 mg tablet, atorvastatin 10 mg tablet, atorvastatin 10 mg tablet, vitamins (A, B1, B2, B3, C, D3) tablet, vitamins (A, B1, B2, B3, C, D3) tablet, vitamins (A, B1, B2, B3, C, D3) tablet, vitamins (A, B1, B2, B3, C, D3) tablet</t>
  </si>
  <si>
    <t>حمد سعيد حمد السلمي</t>
  </si>
  <si>
    <t>ibuprofen, amoxicillin</t>
  </si>
  <si>
    <t>ibuprofen 400 mg tablet, ibuprofen 400 mg tablet, amoxicillin 500 mg + clavulanic acid 125 mg tablet, amoxicillin 500 mg + clavulanic acid 125 mg tablet, ibuprofen 400 mg tablet, amoxicillin 500 mg + clavulanic acid 125 mg tablet, ibuprofen 400 mg tablet, amoxicillin 500 mg + clavulanic acid 125 mg tablet, amoxicillin 500 mg + clavulanic acid 125 mg tablet, amoxicillin 500 mg + clavulanic acid 125 mg tablet, ibuprofen 400 mg tablet, ibuprofen 400 mg tablet, ibuprofen 400 mg tablet, amoxicillin 500 mg + clavulanic acid 125 mg tablet, ibuprofen 400 mg tablet, amoxicillin 500 mg + clavulanic acid 125 mg tablet, amoxicillin 500 mg + clavulanic acid 125 mg tablet, amoxicillin 500 mg + clavulanic acid 125 mg tablet</t>
  </si>
  <si>
    <t>بثينه محمود عمر عبدالسلام</t>
  </si>
  <si>
    <t>metFORMIN hydrochloride, levothyroxine sodium, vitamins (A, B, C, D, ferrous sulfate, atorvastatin, amLODIPine</t>
  </si>
  <si>
    <t>metFORMIN hydrochloride 500 mg tablet, levothyroxine sodium 100 microgram tablet, vitamins (A, B1, B2, B3, C, D3) tablet, metFORMIN hydrochloride 500 mg tablet, levothyroxine sodium 100 microgram tablet, vitamins (A, B1, B2, B3, C, D3) tablet, ferrous sulfate 190 mg Tablets [oral], ferrous sulfate 190 mg Tablets [oral], atorvastatin 10 mg tablet, amLODIPine 10 mg capsule, atorvastatin 10 mg tablet, amLODIPine 10 mg capsule</t>
  </si>
  <si>
    <t>غزيل علي نويفع الحربي</t>
  </si>
  <si>
    <t>atorvastatin, valsartan, amLODIPine</t>
  </si>
  <si>
    <t>atorvastatin 20 mg tablet, atorvastatin 20 mg tablet, atorvastatin 20 mg tablet, atorvastatin 20 mg tablet, atorvastatin 20 mg tablet, atorvastatin 20 mg tablet, valsartan 80 mg tablet, valsartan 80 mg tablet, valsartan 80 mg tablet, valsartan 80 mg tablet, valsartan 80 mg tablet, valsartan 80 mg tablet, amLODIPine 5 mg tablet, amLODIPine 5 mg tablet, amLODIPine 5 mg tablet, amLODIPine 5 mg tablet, amLODIPine 5 mg tablet, amLODIPine 5 mg tablet, valsartan 80 mg tablet, valsartan 80 mg tablet, valsartan 80 mg tablet, valsartan 80 mg tablet, valsartan 80 mg tablet, valsartan 80 mg tablet, amLODIPine 5 mg tablet, amLODIPine 5 mg tablet, amLODIPine 5 mg tablet, amLODIPine 5 mg tablet, amLODIPine 5 mg tablet, amLODIPine 5 mg tablet, atorvastatin 20 mg tablet, atorvastatin 20 mg tablet, atorvastatin 20 mg tablet, atorvastatin 20 mg tablet, atorvastatin 20 mg tablet, atorvastatin 20 mg tablet, amLODIPine 5 mg tablet, amLODIPine 5 mg tablet, amLODIPine 5 mg tablet, amLODIPine 5 mg tablet, amLODIPine 5 mg tablet, amLODIPine 5 mg tablet, atorvastatin 20 mg tablet, atorvastatin 20 mg tablet, atorvastatin 20 mg tablet, atorvastatin 20 mg tablet, atorvastatin 20 mg tablet, atorvastatin 20 mg tablet, valsartan 80 mg tablet, valsartan 80 mg tablet, valsartan 80 mg tablet, valsartan 80 mg tablet, valsartan 80 mg tablet, valsartan 80 mg tablet</t>
  </si>
  <si>
    <t>حمده معزي حمد حلتيت</t>
  </si>
  <si>
    <t>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t>
  </si>
  <si>
    <t>ناصر عزي عبدالله باربود</t>
  </si>
  <si>
    <t>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t>
  </si>
  <si>
    <t>صالح علي عبدالله الخثعمي</t>
  </si>
  <si>
    <t>ميثا بنت صالح بن محمد القثامي</t>
  </si>
  <si>
    <t>metFORMIN hydrochloride, valsartan, salbutamol, atorvastatin, amLODIPine, colecalciferol, bisoprolol fumarate</t>
  </si>
  <si>
    <t>metFORMIN hydrochloride 500 mg tablet, metFORMIN hydrochloride 500 mg tablet, metFORMIN hydrochloride 500 mg tablet, valsartan 80 mg tablet, valsartan 80 mg tablet, valsartan 80 mg tablet, salbutamol 100 microgram/actuation inhaler, atorvastatin 20 mg tablet, salbutamol 100 microgram/actuation inhaler, atorvastatin 20 mg tablet, salbutamol 100 microgram/actuation inhaler, atorvastatin 20 mg tablet, amLODIPine 10 mg capsule, colecalciferol 1 000 international units capsule, amLODIPine 10 mg capsule, colecalciferol 1 000 international units capsule, amLODIPine 10 mg capsule, colecalciferol 1 000 international units capsule, salbutamol 100 microgram/actuation inhaler, atorvastatin 20 mg tablet, salbutamol 100 microgram/actuation inhaler, atorvastatin 20 mg tablet, salbutamol 100 microgram/actuation inhaler, atorvastatin 20 mg tablet, metFORMIN hydrochloride 500 mg tablet, amLODIPine 10 mg capsule, metFORMIN hydrochloride 500 mg tablet, amLODIPine 10 mg capsule, metFORMIN hydrochloride 500 mg tablet, amLODIPine 10 mg capsule, colecalciferol 1 000 international units capsule, colecalciferol 1 000 international units capsule, colecalciferol 1 000 international units capsule, bisoprolol fumarate 5 mg tablet, bisoprolol fumarate 5 mg tablet, bisoprolol fumarate 5 mg tablet, valsartan 80 mg tablet, bisoprolol fumarate 5 mg tablet, valsartan 80 mg tablet, bisoprolol fumarate 5 mg tablet, valsartan 80 mg tablet, bisoprolol fumarate 5 mg tablet, bisoprolol fumarate 5 mg tablet, bisoprolol fumarate 5 mg tablet, bisoprolol fumarate 5 mg tablet, colecalciferol 1 000 international units capsule, colecalciferol 1 000 international units capsule, colecalciferol 1 000 international units capsule, salbutamol 100 microgram/actuation inhaler, salbutamol 100 microgram/actuation inhaler, salbutamol 100 microgram/actuation inhaler, amLODIPine 10 mg capsule, amLODIPine 10 mg capsule, amLODIPine 10 mg capsule, valsartan 80 mg tablet, metFORMIN hydrochloride 500 mg tablet, atorvastatin 20 mg tablet, valsartan 80 mg tablet, metFORMIN hydrochloride 500 mg tablet, atorvastatin 20 mg tablet, valsartan 80 mg tablet, metFORMIN hydrochloride 500 mg tablet, atorvastatin 20 mg tablet</t>
  </si>
  <si>
    <t>احمد جابر ابراهيم عسيري</t>
  </si>
  <si>
    <t>diclofenac sodium 1% (10 mg/g) gel, diclofenac sodium 1% (10 mg/g) gel, diclofenac sodium 1% (10 mg/g) gel, diclofenac sodium 1% (10 mg/g) gel</t>
  </si>
  <si>
    <t>رقيه عبدالله داود عبدالرحمن</t>
  </si>
  <si>
    <t>colecalciferol, empagliflozin, Strips (Accu-Check), Lancets (Accu-Check), calcium carbonate</t>
  </si>
  <si>
    <t>colecalciferol 50 000 international units tablet, colecalciferol 50 000 international units tablet, colecalciferol 50 000 international units tablet, empagliflozin 10 mg tablet, Strips (Accu-Check) 1 box Strip [n/a], empagliflozin 10 mg tablet, Strips (Accu-Check) 1 box Strip [n/a], empagliflozin 10 mg tablet, Strips (Accu-Check) 1 box Strip [n/a], Lancets (Accu-Check) 1 box Lancets [n/a], Lancets (Accu-Check) 1 box Lancets [n/a], Lancets (Accu-Check) 1 box Lancets [n/a], calcium carbonate 600 mg - colecalciferol 200 international units Film coated tablets [oral], calcium carbonate 600 mg - colecalciferol 200 international units Film coated tablets [oral], calcium carbonate 600 mg - colecalciferol 200 international units Film coated tablets [oral], empagliflozin 10 mg tablet, calcium carbonate 600 mg - colecalciferol 200 international units Film coated tablets [oral], empagliflozin 10 mg tablet, calcium carbonate 600 mg - colecalciferol 200 international units Film coated tablets [oral], empagliflozin 10 mg tablet, calcium carbonate 600 mg - colecalciferol 200 international units Film coated tablets [oral], colecalciferol 50 000 international units tablet, Lancets (Accu-Check) 1 box Lancets [n/a], Strips (Accu-Check) 1 box Strip [n/a], colecalciferol 50 000 international units tablet, Lancets (Accu-Check) 1 box Lancets [n/a], Strips (Accu-Check) 1 box Strip [n/a], colecalciferol 50 000 international units tablet, Lancets (Accu-Check) 1 box Lancets [n/a], Strips (Accu-Check) 1 box Strip [n/a], Strips (Accu-Check) 1 box Strip [n/a], Strips (Accu-Check) 1 box Strip [n/a], Strips (Accu-Check) 1 box Strip [n/a], colecalciferol 50 000 international units tablet, Lancets (Accu-Check) 1 box Lancets [n/a], colecalciferol 50 000 international units tablet, Lancets (Accu-Check) 1 box Lancets [n/a], colecalciferol 50 000 international units tablet, Lancets (Accu-Check) 1 box Lancets [n/a], empagliflozin 10 mg tablet, calcium carbonate 600 mg - colecalciferol 200 international units Film coated tablets [oral], empagliflozin 10 mg tablet, calcium carbonate 600 mg - colecalciferol 200 international units Film coated tablets [oral], empagliflozin 10 mg tablet, calcium carbonate 600 mg - colecalciferol 200 international units Film coated tablets [oral]</t>
  </si>
  <si>
    <t>نوره ناصر عيسوب المعاوي</t>
  </si>
  <si>
    <t>نمر سعيد محمد الزهراني</t>
  </si>
  <si>
    <t>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t>
  </si>
  <si>
    <t>ناهيه عتيق الله مقيت السلمي</t>
  </si>
  <si>
    <t>amLODIPine, colecalciferol</t>
  </si>
  <si>
    <t>amLODIPine 5 mg tablet, colecalciferol 50 000 international units tablet, amLODIPine 5 mg tablet, colecalciferol 50 000 international units tablet, amLODIPine 5 mg tablet, amLODIPine 5 mg tablet, colecalciferol 50 000 international units tablet, colecalciferol 50 000 international units tablet, colecalciferol 50 000 international units tablet, amLODIPine 5 mg tablet, colecalciferol 50 000 international units tablet, amLODIPine 5 mg tablet</t>
  </si>
  <si>
    <t>مخلد عايض محمد العتيبي</t>
  </si>
  <si>
    <t>Lancets (Accu-Check) 1 box Lancets [n/a], Lancets (Accu-Check) 1 box Lancets [n/a], Lancets (Accu-Check) 1 box Lancets [n/a], Glucometer Device (Accu-Chek) 1 device Device [n/a], Glucometer Device (Accu-Chek) 1 device Device [n/a], Glucometer Device (Accu-Chek) 1 device Device [n/a], Strips (Accu-Check) 1 box Strip [n/a], Strips (Accu-Check) 1 box Strip [n/a], Strips (Accu-Check) 1 box Strip [n/a], Lancets (Accu-Check) 1 box Lancets [n/a], Lancets (Accu-Check) 1 box Lancets [n/a], Lancets (Accu-Check) 1 box Lancets [n/a], Glucometer Device (Accu-Chek) 1 device Device [n/a], Glucometer Device (Accu-Chek) 1 device Device [n/a], Glucometer Device (Accu-Chek) 1 device Device [n/a], Strips (Accu-Check) 1 box Strip [n/a], Strips (Accu-Check) 1 box Strip [n/a], Strips (Accu-Check) 1 box Strip [n/a], Glucometer Device (Accu-Chek) 1 device Device [n/a], Glucometer Device (Accu-Chek) 1 device Device [n/a], Glucometer Device (Accu-Chek) 1 device Device [n/a], Lancets (Accu-Check) 1 box Lancets [n/a], Lancets (Accu-Check) 1 box Lancets [n/a], Lancets (Accu-Check) 1 box Lancets [n/a], Strips (Accu-Check) 1 box Strip [n/a], Strips (Accu-Check) 1 box Strip [n/a], Strips (Accu-Check) 1 box Strip [n/a]</t>
  </si>
  <si>
    <t>عتيقه رده جبرين السلمي</t>
  </si>
  <si>
    <t>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 Insulin Pen Needle 4mm Needle [sc]</t>
  </si>
  <si>
    <t>يحي عاشور معيبد</t>
  </si>
  <si>
    <t>vitamin B complex (B, B, rosuvastatin, metFORMIN hydrochloride</t>
  </si>
  <si>
    <t>vitamin B complex (B1,B6,B12) 100,200,0.2 mg Film coated tablets [oral], vitamin B complex (B1,B6,B12) 100,200,0.2 mg Film coated tablets [oral], vitamin B complex (B1,B6,B12) 100,200,0.2 mg Film coated tablets [oral], vitamin B complex (B1,B6,B12) 100,200,0.2 mg Film coated tablets [oral], rosuvastatin 10 mg tablet, rosuvastatin 10 mg tablet, rosuvastatin 10 mg tablet, rosuvastatin 10 mg tablet, metFORMIN hydrochloride 500 mg tablet, metFORMIN hydrochloride 500 mg tablet, metFORMIN hydrochloride 500 mg tablet, metFORMIN hydrochloride 500 mg tablet, rosuvastatin 10 mg tablet, metFORMIN hydrochloride 500 mg tablet, rosuvastatin 10 mg tablet, metFORMIN hydrochloride 500 mg tablet, rosuvastatin 10 mg tablet, metFORMIN hydrochloride 500 mg tablet, rosuvastatin 10 mg tablet, metFORMIN hydrochloride 500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rosuvastatin 10 mg tablet, rosuvastatin 10 mg tablet, rosuvastatin 10 mg tablet, rosuvastatin 10 mg tablet</t>
  </si>
  <si>
    <t>نوال مصلح محمد العتيبي</t>
  </si>
  <si>
    <t>paracetamol 500 mg tablet, cetirizine hydrochloride 10 mg tablet, paracetamol 500 mg tablet, cetirizine hydrochloride 10 mg tablet, paracetamol 500 mg tablet, cetirizine hydrochloride 10 mg tablet, cetirizine hydrochloride 10 mg tablet, cetirizine hydrochloride 10 mg tablet, cetirizine hydrochloride 10 mg tablet, paracetamol 500 mg tablet, paracetamol 500 mg tablet, paracetamol 500 mg tablet, paracetamol 500 mg tablet, paracetamol 500 mg tablet, paracetamol 500 mg tablet</t>
  </si>
  <si>
    <t>فاطمه منصور عبدالقادر سروجي</t>
  </si>
  <si>
    <t>atorvastatin, levothyroxine sodium, insulin glargine (lantus), gliclazide, ferrous sulfate, metFORMIN hydrochloride, cetirizine hydrochloride, SITagliptin, omeprazole, empagliflozin</t>
  </si>
  <si>
    <t>atorvastatin 20 mg tablet, levothyroxine sodium 50 microgram tablet, insulin glargine (lantus) 100 international units/mL injection, 3 mL prefilled pen, gliclazide 60 mg tablet: modified release, atorvastatin 20 mg tablet, levothyroxine sodium 50 microgram tablet, insulin glargine (lantus) 100 international units/mL injection, 3 mL prefilled pen, gliclazide 60 mg tablet: modified release, atorvastatin 20 mg tablet, levothyroxine sodium 50 microgram tablet, insulin glargine (lantus) 100 international units/mL injection, 3 mL prefilled pen, gliclazide 60 mg tablet: modified release, atorvastatin 20 mg tablet, levothyroxine sodium 50 microgram tablet, insulin glargine (lantus) 100 international units/mL injection, 3 mL prefilled pen, gliclazide 60 mg tablet: modified release, atorvastatin 20 mg tablet, levothyroxine sodium 50 microgram tablet, insulin glargine (lantus) 100 international units/mL injection, 3 mL prefilled pen, gliclazide 60 mg tablet: modified release, ferrous sulfate 150 mg + folic acid 500 microgram capsule: modified release, metFORMIN hydrochloride 500 mg tablet, ferrous sulfate 150 mg + folic acid 500 microgram capsule: modified release, metFORMIN hydrochloride 500 mg tablet, ferrous sulfate 150 mg + folic acid 500 microgram capsule: modified release, metFORMIN hydrochloride 500 mg tablet, ferrous sulfate 150 mg + folic acid 500 microgram capsule: modified release, metFORMIN hydrochloride 500 mg tablet, ferrous sulfate 150 mg + folic acid 500 microgram capsule: modified release, metFORMIN hydrochloride 500 mg tablet, cetirizine hydrochloride 10 mg tablet, SITagliptin 100 mg tablet, omeprazole 20 mg tablet: enteric coated, cetirizine hydrochloride 10 mg tablet, SITagliptin 100 mg tablet, omeprazole 20 mg tablet: enteric coated, cetirizine hydrochloride 10 mg tablet, SITagliptin 100 mg tablet, omeprazole 20 mg tablet: enteric coated, cetirizine hydrochloride 10 mg tablet, SITagliptin 100 mg tablet, omeprazole 20 mg tablet: enteric coated, cetirizine hydrochloride 10 mg tablet, SITagliptin 100 mg tablet, omeprazole 20 mg tablet: enteric coated, empagliflozin 25 mg tablet, colecalciferol 1 000 international units capsule, levothyroxine sodium 25 microgram tablet, empagliflozin 25 mg tablet, colecalciferol 1 000 international units capsule, levothyroxine sodium 25 microgram tablet, empagliflozin 25 mg tablet, colecalciferol 1 000 international units capsule, levothyroxine sodium 25 microgram tablet, empagliflozin 25 mg tablet, colecalciferol 1 000 international units capsule, levothyroxine sodium 25 microgram tablet, empagliflozin 25 mg tablet, colecalciferol 1 000 international units capsule, levothyroxine sodium 25 microgram tablet, ferrous sulfate 150 mg + folic acid 500 microgram capsule: modified release, SITagliptin 100 mg tablet, ferrous sulfate 150 mg + folic acid 500 microgram capsule: modified release, SITagliptin 100 mg tablet, ferrous sulfate 150 mg + folic acid 500 microgram capsule: modified release, SITagliptin 100 mg tablet, ferrous sulfate 150 mg + folic acid 500 microgram capsule: modified release, SITagliptin 100 mg tablet, ferrous sulfate 150 mg + folic acid 500 microgram capsule: modified release, SITagliptin 100 mg tablet, atorvastatin 20 mg tablet, levothyroxine sodium 50 microgram tablet, metFORMIN hydrochloride 500 mg tablet, atorvastatin 20 mg tablet, levothyroxine sodium 50 microgram tablet, metFORMIN hydrochloride 500 mg tablet, atorvastatin 20 mg tablet, levothyroxine sodium 50 microgram tablet, metFORMIN hydrochloride 500 mg tablet, atorvastatin 20 mg tablet, levothyroxine sodium 50 microgram tablet, metFORMIN hydrochloride 500 mg tablet, atorvastatin 20 mg tablet, levothyroxine sodium 50 microgram tablet, metFORMIN hydrochloride 500 mg tablet, omeprazole 20 mg tablet: enteric coated, cetirizine hydrochloride 10 mg tablet, levothyroxine sodium 25 microgram tablet, insulin glargine (lantus) 100 international units/mL injection, 3 mL prefilled pen, gliclazide 60 mg tablet: modified release, omeprazole 20 mg tablet: enteric coated, cetirizine hydrochloride 10 mg tablet, levothyroxine sodium 25 microgram tablet, insulin glargine (lantus) 100 international units/mL injection, 3 mL prefilled pen, gliclazide 60 mg tablet: modified release, omeprazole 20 mg tablet: enteric coated, cetirizine hydrochloride 10 mg tablet, levothyroxine sodium 25 microgram tablet, insulin glargine (lantus) 100 international units/mL injection, 3 mL prefilled pen, gliclazide 60 mg tablet: modified release, omeprazole 20 mg tablet: enteric coated, cetirizine hydrochloride 10 mg tablet, levothyroxine sodium 25 microgram tablet, insulin glargine (lantus) 100 international units/mL injection, 3 mL prefilled pen, gliclazide 60 mg tablet: modified release, omeprazole 20 mg tablet: enteric coated, cetirizine hydrochloride 10 mg tablet, levothyroxine sodium 25 microgram tablet, insulin glargine (lantus) 100 international units/mL injection, 3 mL prefilled pen, gliclazide 60 mg tablet: modified release, colecalciferol 1 000 international units capsule, empagliflozin 25 mg tablet, colecalciferol 1 000 international units capsule, empagliflozin 25 mg tablet, colecalciferol 1 000 international units capsule, empagliflozin 25 mg tablet, colecalciferol 1 000 international units capsule, empagliflozin 25 mg tablet, colecalciferol 1 000 international units capsule, empagliflozin 25 mg tablet, colecalciferol 1 000 international units capsule, ferrous sulfate 150 mg + folic acid 500 microgram capsule: modified release, colecalciferol 1 000 international units capsule, ferrous sulfate 150 mg + folic acid 500 microgram capsule: modified release, colecalciferol 1 000 international units capsule, ferrous sulfate 150 mg + folic acid 500 microgram capsule: modified release, colecalciferol 1 000 international units capsule, ferrous sulfate 150 mg + folic acid 500 microgram capsule: modified release, colecalciferol 1 000 international units capsule, ferrous sulfate 150 mg + folic acid 500 microgram capsule: modified release, levothyroxine sodium 25 microgram tablet, cetirizine hydrochloride 10 mg tablet, metFORMIN hydrochloride 500 mg tablet, levothyroxine sodium 25 microgram tablet, cetirizine hydrochloride 10 mg tablet, metFORMIN hydrochloride 500 mg tablet, levothyroxine sodium 25 microgram tablet, cetirizine hydrochloride 10 mg tablet, metFORMIN hydrochloride 500 mg tablet, levothyroxine sodium 25 microgram tablet, cetirizine hydrochloride 10 mg tablet, metFORMIN hydrochloride 500 mg tablet, levothyroxine sodium 25 microgram tablet, cetirizine hydrochloride 10 mg tablet, metFORMIN hydrochloride 500 mg tablet, omeprazole 20 mg tablet: enteric coated, levothyroxine sodium 50 microgram tablet, SITagliptin 100 mg tablet, omeprazole 20 mg tablet: enteric coated, levothyroxine sodium 50 microgram tablet, SITagliptin 100 mg tablet, omeprazole 20 mg tablet: enteric coated, levothyroxine sodium 50 microgram tablet, SITagliptin 100 mg tablet, omeprazole 20 mg tablet: enteric coated, levothyroxine sodium 50 microgram tablet, SITagliptin 100 mg tablet, omeprazole 20 mg tablet: enteric coated, levothyroxine sodium 50 microgram tablet, SITagliptin 100 mg tablet, atorvastatin 20 mg tablet, insulin glargine (lantus) 100 international units/mL injection, 3 mL prefilled pen, empagliflozin 25 mg tablet, gliclazide 60 mg tablet: modified release, atorvastatin 20 mg tablet, insulin glargine (lantus) 100 international units/mL injection, 3 mL prefilled pen, empagliflozin 25 mg tablet, gliclazide 60 mg tablet: modified release, atorvastatin 20 mg tablet, insulin glargine (lantus) 100 international units/mL injection, 3 mL prefilled pen, empagliflozin 25 mg tablet, gliclazide 60 mg tablet: modified release, atorvastatin 20 mg tablet, insulin glargine (lantus) 100 international units/mL injection, 3 mL prefilled pen, empagliflozin 25 mg tablet, gliclazide 60 mg tablet: modified release, atorvastatin 20 mg tablet, insulin glargine (lantus) 100 international units/mL injection, 3 mL prefilled pen, empagliflozin 25 mg tablet, gliclazide 60 mg tablet: modified release</t>
  </si>
  <si>
    <t>Diabetes, Dyslipidemia, GI/PPI, Thyroid, Vitamins/Supplements</t>
  </si>
  <si>
    <t>عدنان سليمان عبدالرحمن فضل</t>
  </si>
  <si>
    <t>acetylsalicylic acid, bisoprolol fumarate, omeprazole, vitamin B complex (B, B, SITagliptin, clopidogrel, gliclazide, valsartan, metFORMIN hydrochloride</t>
  </si>
  <si>
    <t>acetylsalicylic acid 100 mg tablet: enteric coated, acetylsalicylic acid 100 mg tablet: enteric coated, acetylsalicylic acid 100 mg tablet: enteric coated, bisoprolol fumarate 5 mg tablet, omeprazole 20 mg tablet: enteric coated, vitamin B complex (B1,B6,B12) 100,200,0.2 mg Film coated tablets [oral], SITagliptin 100 mg tablet, clopidogrel 75 mg tablet, bisoprolol fumarate 5 mg tablet, omeprazole 20 mg tablet: enteric coated, vitamin B complex (B1,B6,B12) 100,200,0.2 mg Film coated tablets [oral], SITagliptin 100 mg tablet, clopidogrel 75 mg tablet, bisoprolol fumarate 5 mg tablet, omeprazole 20 mg tablet: enteric coated, vitamin B complex (B1,B6,B12) 100,200,0.2 mg Film coated tablets [oral], SITagliptin 100 mg tablet, clopidogrel 75 mg tablet, gliclazide 60 mg tablet: modified release, valsartan 80 mg tablet, metFORMIN hydrochloride 500 mg tablet, gliclazide 60 mg tablet: modified release, valsartan 80 mg tablet, metFORMIN hydrochloride 500 mg tablet, gliclazide 60 mg tablet: modified release, valsartan 80 mg tablet, metFORMIN hydrochloride 500 mg tablet, atorvastatin 20 mg tablet, atorvastatin 20 mg tablet, atorvastatin 20 mg tablet, SITagliptin 100 mg tablet, gliclazide 60 mg tablet: modified release, bisoprolol fumarate 5 mg tablet, SITagliptin 100 mg tablet, gliclazide 60 mg tablet: modified release, bisoprolol fumarate 5 mg tablet, SITagliptin 100 mg tablet, gliclazide 60 mg tablet: modified release, bisoprolol fumarate 5 mg tablet, vitamin B complex (B1,B6,B12) 100,200,0.2 mg Film coated tablets [oral], vitamin B complex (B1,B6,B12) 100,200,0.2 mg Film coated tablets [oral], vitamin B complex (B1,B6,B12) 100,200,0.2 mg Film coated tablets [oral], atorvastatin 20 mg tablet, acetylsalicylic acid 100 mg tablet: enteric coated, omeprazole 20 mg tablet: enteric coated, clopidogrel 75 mg tablet, metFORMIN hydrochloride 500 mg tablet, atorvastatin 20 mg tablet, acetylsalicylic acid 100 mg tablet: enteric coated, omeprazole 20 mg tablet: enteric coated, clopidogrel 75 mg tablet, metFORMIN hydrochloride 500 mg tablet, atorvastatin 20 mg tablet, acetylsalicylic acid 100 mg tablet: enteric coated, omeprazole 20 mg tablet: enteric coated, clopidogrel 75 mg tablet, metFORMIN hydrochloride 500 mg tablet, valsartan 80 mg tablet, valsartan 80 mg tablet, valsartan 80 mg tablet</t>
  </si>
  <si>
    <t>تركي محمد سحمي الخضري</t>
  </si>
  <si>
    <t>sodium chloride, paracetamol, cetirizine hydrochloride</t>
  </si>
  <si>
    <t>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t>
  </si>
  <si>
    <t>ماجد حمد محمد المالكي</t>
  </si>
  <si>
    <t>chlorzoxazone 250 mg + paracetamol 300 mg capsule, diclofenac sodium 1% (10 mg/g) gel, chlorzoxazone 250 mg + paracetamol 300 mg capsule, diclofenac sodium 1% (10 mg/g) gel, chlorzoxazone 250 mg + paracetamol 300 mg capsule, diclofenac sodium 1% (10 mg/g) gel, chlorzoxazone 250 mg + paracetamol 300 mg capsule, diclofenac sodium 1% (10 mg/g) gel, chlorzoxazone 250 mg + paracetamol 300 mg capsule, diclofenac sodium 1% (10 mg/g) gel, chlorzoxazone 250 mg + paracetamol 300 mg capsule, chlorzoxazone 250 mg + paracetamol 300 mg capsule, chlorzoxazone 250 mg + paracetamol 300 mg capsule, chlorzoxazone 250 mg + paracetamol 300 mg capsule, chlorzoxazone 250 mg + paracetamol 300 mg capsule, diclofenac sodium 1% (10 mg/g) gel, diclofenac sodium 1% (10 mg/g) gel, diclofenac sodium 1% (10 mg/g) gel, diclofenac sodium 1% (10 mg/g) gel, diclofenac sodium 1% (10 mg/g) gel, chlorzoxazone 250 mg + paracetamol 300 mg capsule, chlorzoxazone 250 mg + paracetamol 300 mg capsule, chlorzoxazone 250 mg + paracetamol 300 mg capsule, chlorzoxazone 250 mg + paracetamol 300 mg capsule, chlorzoxazone 250 mg + paracetamol 300 mg capsule, diclofenac sodium 1% (10 mg/g) gel, diclofenac sodium 1% (10 mg/g) gel, diclofenac sodium 1% (10 mg/g) gel, diclofenac sodium 1% (10 mg/g) gel, diclofenac sodium 1% (10 mg/g) gel</t>
  </si>
  <si>
    <t>سعد علي سعد الزهراني</t>
  </si>
  <si>
    <t>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t>
  </si>
  <si>
    <t>محمد بن خضر بن غرم الله الغامدي</t>
  </si>
  <si>
    <t>amLODIPine, atorvastatin</t>
  </si>
  <si>
    <t>amLODIPine 5 mg tablet, amLODIPine 5 mg tablet, amLODIPine 5 mg tablet, atorvastatin 10 mg tablet, atorvastatin 10 mg tablet, atorvastatin 10 mg tablet, atorvastatin 10 mg tablet, atorvastatin 10 mg tablet, atorvastatin 10 mg tablet, amLODIPine 5 mg tablet, amLODIPine 5 mg tablet, amLODIPine 5 mg tablet, amLODIPine 5 mg tablet, amLODIPine 5 mg tablet, amLODIPine 5 mg tablet, atorvastatin 10 mg tablet, atorvastatin 10 mg tablet, atorvastatin 10 mg tablet, atorvastatin 10 mg tablet, amLODIPine 5 mg tablet, atorvastatin 10 mg tablet, amLODIPine 5 mg tablet, atorvastatin 10 mg tablet, amLODIPine 5 mg tablet, atorvastatin 10 mg tablet, amLODIPine 5 mg tablet, atorvastatin 10 mg tablet, amLODIPine 5 mg tablet, atorvastatin 10 mg tablet, amLODIPine 5 mg tablet</t>
  </si>
  <si>
    <t>زين حمزه محمد سبيه</t>
  </si>
  <si>
    <t>diclofenac sodium, metFORMIN hydrochloride, levothyroxine sodium, rosuvastatin, vitamin B complex (B, B, empagliflozin, celecoxib</t>
  </si>
  <si>
    <t>diclofenac sodium 1% (10 mg/g) gel, diclofenac sodium 1% (10 mg/g) gel, diclofenac sodium 1% (10 mg/g) gel, diclofenac sodium 1% (10 mg/g) gel, metFORMIN hydrochloride 500 mg tablet, metFORMIN hydrochloride 500 mg tablet, metFORMIN hydrochloride 500 mg tablet, metFORMIN hydrochloride 500 mg tablet, levothyroxine sodium 100 microgram tablet, rosuvastatin 10 mg tablet, levothyroxine sodium 100 microgram tablet, rosuvastatin 10 mg tablet, levothyroxine sodium 100 microgram tablet, rosuvastatin 10 mg tablet, levothyroxine sodium 100 microgram tablet, rosuvastatin 10 mg tablet, vitamin B complex (B1,B6,B12) 100,200,0.2 mg Film coated tablets [oral], vitamin B complex (B1,B6,B12) 100,200,0.2 mg Film coated tablets [oral], vitamin B complex (B1,B6,B12) 100,200,0.2 mg Film coated tablets [oral], vitamin B complex (B1,B6,B12) 100,200,0.2 mg Film coated tablets [oral], empagliflozin 10 mg tablet, empagliflozin 10 mg tablet, empagliflozin 10 mg tablet, empagliflozin 10 mg tablet, celecoxib 200 mg capsule, celecoxib 200 mg capsule, celecoxib 200 mg capsule, celecoxib 200 mg capsule, metFORMIN hydrochloride 500 mg tablet, levothyroxine sodium 100 microgram tablet, metFORMIN hydrochloride 500 mg tablet, levothyroxine sodium 100 microgram tablet, metFORMIN hydrochloride 500 mg tablet, levothyroxine sodium 100 microgram tablet, metFORMIN hydrochloride 500 mg tablet, levothyroxine sodium 100 microgram tablet, empagliflozin 10 mg tablet, diclofenac sodium 1% (10 mg/g) gel, empagliflozin 10 mg tablet, diclofenac sodium 1% (10 mg/g) gel, empagliflozin 10 mg tablet, diclofenac sodium 1% (10 mg/g) gel, empagliflozin 10 mg tablet, diclofenac sodium 1% (10 mg/g) gel, celecoxib 200 mg capsule, celecoxib 200 mg capsule, celecoxib 200 mg capsule, celecoxib 200 mg capsule, vitamin B complex (B1,B6,B12) 100,200,0.2 mg Film coated tablets [oral], rosuvastatin 10 mg tablet, vitamin B complex (B1,B6,B12) 100,200,0.2 mg Film coated tablets [oral], rosuvastatin 10 mg tablet, vitamin B complex (B1,B6,B12) 100,200,0.2 mg Film coated tablets [oral], rosuvastatin 10 mg tablet, vitamin B complex (B1,B6,B12) 100,200,0.2 mg Film coated tablets [oral], rosuvastatin 10 mg tablet, empagliflozin 10 mg tablet, empagliflozin 10 mg tablet, empagliflozin 10 mg tablet, empagliflozin 10 mg tablet, rosuvastatin 10 mg tablet, rosuvastatin 10 mg tablet, rosuvastatin 10 mg tablet, rosuvastatin 10 mg tablet, vitamin B complex (B1,B6,B12) 100,200,0.2 mg Film coated tablets [oral], diclofenac sodium 1% (10 mg/g) gel, levothyroxine sodium 100 microgram tablet, celecoxib 200 mg capsule, metFORMIN hydrochloride 500 mg tablet, vitamin B complex (B1,B6,B12) 100,200,0.2 mg Film coated tablets [oral], diclofenac sodium 1% (10 mg/g) gel, levothyroxine sodium 100 microgram tablet, celecoxib 200 mg capsule, metFORMIN hydrochloride 500 mg tablet, vitamin B complex (B1,B6,B12) 100,200,0.2 mg Film coated tablets [oral], diclofenac sodium 1% (10 mg/g) gel, levothyroxine sodium 100 microgram tablet, celecoxib 200 mg capsule, metFORMIN hydrochloride 500 mg tablet, vitamin B complex (B1,B6,B12) 100,200,0.2 mg Film coated tablets [oral], diclofenac sodium 1% (10 mg/g) gel, levothyroxine sodium 100 microgram tablet, celecoxib 200 mg capsule, metFORMIN hydrochloride 500 mg tablet, vitamin B complex (B1,B6,B12) 100,200,0.2 mg Film coated tablets [oral], vitamin B complex (B1,B6,B12) 100,200,0.2 mg Film coated tablets [oral], vitamin B complex (B1,B6,B12) 100,200,0.2 mg Film coated tablets [oral], vitamin B complex (B1,B6,B12) 100,200,0.2 mg Film coated tablets [oral], diclofenac sodium 1% (10 mg/g) gel, diclofenac sodium 1% (10 mg/g) gel, diclofenac sodium 1% (10 mg/g) gel, diclofenac sodium 1% (10 mg/g) gel, rosuvastatin 10 mg tablet, celecoxib 200 mg capsule, rosuvastatin 10 mg tablet, celecoxib 200 mg capsule, rosuvastatin 10 mg tablet, celecoxib 200 mg capsule, rosuvastatin 10 mg tablet, celecoxib 200 mg capsule, celecoxib 200 mg capsule, celecoxib 200 mg capsule, celecoxib 200 mg capsule, celecoxib 200 mg capsule, levothyroxine sodium 100 microgram tablet, rosuvastatin 10 mg tablet, levothyroxine sodium 100 microgram tablet, rosuvastatin 10 mg tablet, levothyroxine sodium 100 microgram tablet, rosuvastatin 10 mg tablet, levothyroxine sodium 100 microgram tablet, rosuvastatin 10 mg tablet, empagliflozin 10 mg tablet, vitamin B complex (B1,B6,B12) 100,200,0.2 mg Film coated tablets [oral], diclofenac sodium 1% (10 mg/g) gel, empagliflozin 10 mg tablet, vitamin B complex (B1,B6,B12) 100,200,0.2 mg Film coated tablets [oral], diclofenac sodium 1% (10 mg/g) gel, empagliflozin 10 mg tablet, vitamin B complex (B1,B6,B12) 100,200,0.2 mg Film coated tablets [oral], diclofenac sodium 1% (10 mg/g) gel, empagliflozin 10 mg tablet, vitamin B complex (B1,B6,B12) 100,200,0.2 mg Film coated tablets [oral], diclofenac sodium 1% (10 mg/g) gel,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levothyroxine sodium 100 microgram tablet, diclofenac sodium 1% (10 mg/g) gel, empagliflozin 10 mg tablet, levothyroxine sodium 100 microgram tablet, diclofenac sodium 1% (10 mg/g) gel, empagliflozin 10 mg tablet, levothyroxine sodium 100 microgram tablet, diclofenac sodium 1% (10 mg/g) gel, empagliflozin 10 mg tablet, levothyroxine sodium 100 microgram tablet, diclofenac sodium 1% (10 mg/g) gel, empagliflozin 10 mg tablet, celecoxib 200 mg capsule, rosuvastatin 10 mg tablet, celecoxib 200 mg capsule, rosuvastatin 10 mg tablet, celecoxib 200 mg capsule, rosuvastatin 10 mg tablet, celecoxib 200 mg capsule, rosuvastatin 10 mg tablet</t>
  </si>
  <si>
    <t>فايز بن عاتق بن حشيم القويسمي</t>
  </si>
  <si>
    <t>amLODIPine 10 mg capsule, amLODIPine 10 mg capsule, amLODIPine 10 mg capsule, perindopril arginine 5 mg tablet, perindopril arginine 5 mg tablet, perindopril arginine 5 mg tablet, amLODIPine 10 mg capsule, atorvastatin 20 mg tablet, perindopril arginine 5 mg tablet, amLODIPine 10 mg capsule, atorvastatin 20 mg tablet, perindopril arginine 5 mg tablet, amLODIPine 10 mg capsule, atorvastatin 20 mg tablet, perindopril arginine 5 mg tablet, perindopril arginine 5 mg tablet, perindopril arginine 5 mg tablet, perindopril arginine 5 mg tablet, amLODIPine 10 mg capsule, amLODIPine 10 mg capsule, amLODIPine 10 mg capsule, atorvastatin 20 mg tablet, atorvastatin 20 mg tablet, atorvastatin 20 mg tablet, amLODIPine 10 mg capsule, amLODIPine 10 mg capsule, amLODIPine 10 mg capsule, atorvastatin 20 mg tablet, perindopril arginine 5 mg tablet, atorvastatin 20 mg tablet, perindopril arginine 5 mg tablet, atorvastatin 20 mg tablet, perindopril arginine 5 mg tablet, perindopril arginine 5 mg tablet, amLODIPine 10 mg capsule, atorvastatin 20 mg tablet, perindopril arginine 5 mg tablet, amLODIPine 10 mg capsule, atorvastatin 20 mg tablet, perindopril arginine 5 mg tablet, amLODIPine 10 mg capsule, atorvastatin 20 mg tablet</t>
  </si>
  <si>
    <t>مشعان معوض عوض المخلفي</t>
  </si>
  <si>
    <t>amLODIPine 5 mg tablet, amLODIPine 5 mg tablet, valsartan 80 mg tablet, valsartan 80 mg tablet, valsartan 80 mg tablet, valsartan 80 mg tablet, amLODIPine 5 mg tablet, amLODIPine 5 mg tablet</t>
  </si>
  <si>
    <t>صالحه عويبد عبيد الانصاري</t>
  </si>
  <si>
    <t>valsartan, empagliflozin, vitamin B complex (B, B, metFORMIN hydrochloride</t>
  </si>
  <si>
    <t>valsartan 80 mg tablet, empagliflozin 25 mg tablet, valsartan 80 mg tablet, empagliflozin 25 mg tablet, valsartan 80 mg tablet, empagliflozin 25 mg tablet, valsartan 80 mg tablet, empagliflozin 25 mg tablet, vitamin B complex (B1,B6,B12) 100,200,0.2 mg Film coated tablets [oral], vitamin B complex (B1,B6,B12) 100,200,0.2 mg Film coated tablets [oral], vitamin B complex (B1,B6,B12) 100,200,0.2 mg Film coated tablets [oral], vitamin B complex (B1,B6,B12) 100,200,0.2 mg Film coated tablets [oral], valsartan 80 mg tablet, vitamin B complex (B1,B6,B12) 100,200,0.2 mg Film coated tablets [oral], valsartan 80 mg tablet, vitamin B complex (B1,B6,B12) 100,200,0.2 mg Film coated tablets [oral], valsartan 80 mg tablet, vitamin B complex (B1,B6,B12) 100,200,0.2 mg Film coated tablets [oral], valsartan 80 mg tablet, vitamin B complex (B1,B6,B12) 100,200,0.2 mg Film coated tablets [oral], metFORMIN hydrochloride 500 mg tablet, metFORMIN hydrochloride 500 mg tablet, metFORMIN hydrochloride 500 mg tablet, metFORMIN hydrochloride 500 mg tablet, empagliflozin 25 mg tablet, empagliflozin 25 mg tablet, empagliflozin 25 mg tablet, empagliflozin 25 mg tablet, metFORMIN hydrochloride 500 mg tablet, metFORMIN hydrochloride 500 mg tablet, metFORMIN hydrochloride 500 mg tablet, metFORMIN hydrochloride 500 mg tablet, empagliflozin 25 mg tablet, empagliflozin 25 mg tablet, empagliflozin 25 mg tablet, empagliflozin 25 mg tablet, metFORMIN hydrochloride 500 mg tablet, valsartan 80 mg tablet, metFORMIN hydrochloride 500 mg tablet, valsartan 80 mg tablet, metFORMIN hydrochloride 500 mg tablet, valsartan 80 mg tablet, metFORMIN hydrochloride 500 mg tablet, valsartan 80 mg tablet, vitamin B complex (B1,B6,B12) 100,200,0.2 mg Film coated tablets [oral], vitamin B complex (B1,B6,B12) 100,200,0.2 mg Film coated tablets [oral], vitamin B complex (B1,B6,B12) 100,200,0.2 mg Film coated tablets [oral], vitamin B complex (B1,B6,B12) 100,200,0.2 mg Film coated tablets [oral]</t>
  </si>
  <si>
    <t>موسى زيدي بيشي الرزقي</t>
  </si>
  <si>
    <t>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t>
  </si>
  <si>
    <t>شاره احمد عبيدالله الهيلي</t>
  </si>
  <si>
    <t>SITagliptin 100 mg tablet, SITagliptin 100 mg tablet, SITagliptin 100 mg tablet, metFORMIN hydrochloride 750 mg tablet: modified release, metFORMIN hydrochloride 750 mg tablet: modified release, metFORMIN hydrochloride 750 mg tablet: modified release, atorvastatin 20 mg tablet, atorvastatin 20 mg tablet, atorvastatin 20 mg tablet, SITagliptin 100 mg tablet, SITagliptin 100 mg tablet, SITagliptin 100 mg tablet, metFORMIN hydrochloride 750 mg tablet: modified release, metFORMIN hydrochloride 750 mg tablet: modified release, metFORMIN hydrochloride 750 mg tablet: modified release, atorvastatin 20 mg tablet, atorvastatin 20 mg tablet, atorvastatin 20 mg tablet, atorvastatin 20 mg tablet, metFORMIN hydrochloride 750 mg tablet: modified release, SITagliptin 100 mg tablet, atorvastatin 20 mg tablet, metFORMIN hydrochloride 750 mg tablet: modified release, SITagliptin 100 mg tablet, atorvastatin 20 mg tablet, metFORMIN hydrochloride 750 mg tablet: modified release, SITagliptin 100 mg tablet</t>
  </si>
  <si>
    <t>صالح ابن سعد ابن صالح الجحدلي</t>
  </si>
  <si>
    <t>metFORMIN hydrochloride 750 mg tablet: modified release, metFORMIN hydrochloride 750 mg tablet: modified release, metFORMIN hydrochloride 750 mg tablet: modified release, SITagliptin 100 mg tablet, SITagliptin 100 mg tablet, SITagliptin 100 mg tablet, metFORMIN hydrochloride 750 mg tablet: modified release, metFORMIN hydrochloride 750 mg tablet: modified release, metFORMIN hydrochloride 750 mg tablet: modified release, SITagliptin 100 mg tablet, SITagliptin 100 mg tablet, SITagliptin 100 mg tablet, metFORMIN hydrochloride 750 mg tablet: modified release, metFORMIN hydrochloride 750 mg tablet: modified release, metFORMIN hydrochloride 750 mg tablet: modified release, SITagliptin 100 mg tablet, SITagliptin 100 mg tablet, SITagliptin 100 mg tablet</t>
  </si>
  <si>
    <t>فاطمه مبروك ابن حميدان السلمي</t>
  </si>
  <si>
    <t>يحي غالب محمد البيشي</t>
  </si>
  <si>
    <t>betamethasone (as valerate), Strips (Accu-Check), gliclazide, metFORMIN hydrochloride, empagliflozin, ketoconazole, vitamin B complex (B, B</t>
  </si>
  <si>
    <t>betamethasone (as valerate) 0.1% (1 mg/mL) scalp application, Strips (Accu-Check) 1 box Strip [n/a], gliclazide 60 mg tablet: modified release, metFORMIN hydrochloride 500 mg tablet, empagliflozin 25 mg tablet, ketoconazole 2% (20 mg/g) shampoo, betamethasone (as valerate) 0.1% (1 mg/mL) scalp application, Strips (Accu-Check) 1 box Strip [n/a], gliclazide 60 mg tablet: modified release, metFORMIN hydrochloride 500 mg tablet, empagliflozin 25 mg tablet, ketoconazole 2% (20 mg/g) shampoo, betamethasone (as valerate) 0.1% (1 mg/mL) scalp application, Strips (Accu-Check) 1 box Strip [n/a], gliclazide 60 mg tablet: modified release, metFORMIN hydrochloride 500 mg tablet, empagliflozin 25 mg tablet, ketoconazole 2% (20 mg/g) shampoo, betamethasone (as valerate) 0.1% (1 mg/mL) scalp application, Strips (Accu-Check) 1 box Strip [n/a], gliclazide 60 mg tablet: modified release, metFORMIN hydrochloride 500 mg tablet, empagliflozin 25 mg tablet, ketoconazole 2% (20 mg/g) shampoo, betamethasone (as valerate) 0.1% (1 mg/mL) scalp application, Strips (Accu-Check) 1 box Strip [n/a], gliclazide 60 mg tablet: modified release, metFORMIN hydrochloride 500 mg tablet, empagliflozin 25 mg tablet, ketoconazole 2% (20 mg/g) shampoo, betamethasone (as valerate) 0.1% (1 mg/mL) scalp application, Strips (Accu-Check) 1 box Strip [n/a], gliclazide 60 mg tablet: modified release, metFORMIN hydrochloride 500 mg tablet, empagliflozin 25 mg tablet, ketoconazole 2% (20 mg/g) shampoo, betamethasone (as valerate) 0.1% (1 mg/mL) scalp application, Strips (Accu-Check) 1 box Strip [n/a], gliclazide 60 mg tablet: modified release, metFORMIN hydrochloride 500 mg tablet, empagliflozin 25 mg tablet, ketoconazole 2% (20 mg/g) shampoo,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empagliflozin 25 mg tablet, vitamin B complex (B1,B6,B12) 100,200,0.2 mg Film coated tablets [oral], empagliflozin 25 mg tablet, vitamin B complex (B1,B6,B12) 100,200,0.2 mg Film coated tablets [oral], empagliflozin 25 mg tablet, vitamin B complex (B1,B6,B12) 100,200,0.2 mg Film coated tablets [oral], empagliflozin 25 mg tablet, vitamin B complex (B1,B6,B12) 100,200,0.2 mg Film coated tablets [oral], empagliflozin 25 mg tablet, vitamin B complex (B1,B6,B12) 100,200,0.2 mg Film coated tablets [oral], empagliflozin 25 mg tablet, vitamin B complex (B1,B6,B12) 100,200,0.2 mg Film coated tablets [oral], empagliflozin 25 mg tablet, betamethasone (as valerate) 0.1% (1 mg/mL) scalp application, ketoconazole 2% (20 mg/g) shampoo, betamethasone (as valerate) 0.1% (1 mg/mL) scalp application, ketoconazole 2% (20 mg/g) shampoo, betamethasone (as valerate) 0.1% (1 mg/mL) scalp application, ketoconazole 2% (20 mg/g) shampoo, betamethasone (as valerate) 0.1% (1 mg/mL) scalp application, ketoconazole 2% (20 mg/g) shampoo, betamethasone (as valerate) 0.1% (1 mg/mL) scalp application, ketoconazole 2% (20 mg/g) shampoo, betamethasone (as valerate) 0.1% (1 mg/mL) scalp application, ketoconazole 2% (20 mg/g) shampoo, betamethasone (as valerate) 0.1% (1 mg/mL) scalp application, ketoconazole 2% (20 mg/g) shampoo, Strips (Accu-Check) 1 box Strip [n/a], gliclazide 60 mg tablet: modified release, metFORMIN hydrochloride 500 mg tablet, Strips (Accu-Check) 1 box Strip [n/a], gliclazide 60 mg tablet: modified release, metFORMIN hydrochloride 500 mg tablet, Strips (Accu-Check) 1 box Strip [n/a], gliclazide 60 mg tablet: modified release, metFORMIN hydrochloride 500 mg tablet, Strips (Accu-Check) 1 box Strip [n/a], gliclazide 60 mg tablet: modified release, metFORMIN hydrochloride 500 mg tablet, Strips (Accu-Check) 1 box Strip [n/a], gliclazide 60 mg tablet: modified release, metFORMIN hydrochloride 500 mg tablet, Strips (Accu-Check) 1 box Strip [n/a], gliclazide 60 mg tablet: modified release, metFORMIN hydrochloride 500 mg tablet, Strips (Accu-Check) 1 box Strip [n/a], gliclazide 60 mg tablet: modified release, metFORMIN hydrochloride 500 mg tablet,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metFORMIN hydrochloride 500 mg tablet, metFORMIN hydrochloride 500 mg tablet, metFORMIN hydrochloride 500 mg tablet, metFORMIN hydrochloride 500 mg tablet, metFORMIN hydrochloride 500 mg tablet, metFORMIN hydrochloride 500 mg tablet, metFORMIN hydrochloride 500 mg tablet, betamethasone (as valerate) 0.1% (1 mg/mL) scalp application, betamethasone (as valerate) 0.1% (1 mg/mL) scalp application, betamethasone (as valerate) 0.1% (1 mg/mL) scalp application, betamethasone (as valerate) 0.1% (1 mg/mL) scalp application, betamethasone (as valerate) 0.1% (1 mg/mL) scalp application, betamethasone (as valerate) 0.1% (1 mg/mL) scalp application, betamethasone (as valerate) 0.1% (1 mg/mL) scalp application,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Strips (Accu-Check) 1 box Strip [n/a], empagliflozin 25 mg tablet, ketoconazole 2% (20 mg/g) shampoo, Strips (Accu-Check) 1 box Strip [n/a], empagliflozin 25 mg tablet, ketoconazole 2% (20 mg/g) shampoo, Strips (Accu-Check) 1 box Strip [n/a], empagliflozin 25 mg tablet, ketoconazole 2% (20 mg/g) shampoo, Strips (Accu-Check) 1 box Strip [n/a], empagliflozin 25 mg tablet, ketoconazole 2% (20 mg/g) shampoo, Strips (Accu-Check) 1 box Strip [n/a], empagliflozin 25 mg tablet, ketoconazole 2% (20 mg/g) shampoo, Strips (Accu-Check) 1 box Strip [n/a], empagliflozin 25 mg tablet, ketoconazole 2% (20 mg/g) shampoo, Strips (Accu-Check) 1 box Strip [n/a], empagliflozin 25 mg tablet, ketoconazole 2% (20 mg/g) shampoo, vitamin B complex (B1,B6,B12) 100,200,0.2 mg Film coated tablets [oral], gliclazide 60 mg tablet: modified release, metFORMIN hydrochloride 500 mg tablet, betamethasone (as valerate) 0.1% (1 mg/mL) scalp application, vitamin B complex (B1,B6,B12) 100,200,0.2 mg Film coated tablets [oral], gliclazide 60 mg tablet: modified release, metFORMIN hydrochloride 500 mg tablet, betamethasone (as valerate) 0.1% (1 mg/mL) scalp application, vitamin B complex (B1,B6,B12) 100,200,0.2 mg Film coated tablets [oral], gliclazide 60 mg tablet: modified release, metFORMIN hydrochloride 500 mg tablet, betamethasone (as valerate) 0.1% (1 mg/mL) scalp application, vitamin B complex (B1,B6,B12) 100,200,0.2 mg Film coated tablets [oral], gliclazide 60 mg tablet: modified release, metFORMIN hydrochloride 500 mg tablet, betamethasone (as valerate) 0.1% (1 mg/mL) scalp application, vitamin B complex (B1,B6,B12) 100,200,0.2 mg Film coated tablets [oral], gliclazide 60 mg tablet: modified release, metFORMIN hydrochloride 500 mg tablet, betamethasone (as valerate) 0.1% (1 mg/mL) scalp application, vitamin B complex (B1,B6,B12) 100,200,0.2 mg Film coated tablets [oral], gliclazide 60 mg tablet: modified release, metFORMIN hydrochloride 500 mg tablet, betamethasone (as valerate) 0.1% (1 mg/mL) scalp application, vitamin B complex (B1,B6,B12) 100,200,0.2 mg Film coated tablets [oral], gliclazide 60 mg tablet: modified release, metFORMIN hydrochloride 500 mg tablet, betamethasone (as valerate) 0.1% (1 mg/mL) scalp application, Strips (Accu-Check) 1 box Strip [n/a], vitamin B complex (B1,B6,B12) 100,200,0.2 mg Film coated tablets [oral], gliclazide 60 mg tablet: modified release, Strips (Accu-Check) 1 box Strip [n/a], vitamin B complex (B1,B6,B12) 100,200,0.2 mg Film coated tablets [oral], gliclazide 60 mg tablet: modified release, Strips (Accu-Check) 1 box Strip [n/a], vitamin B complex (B1,B6,B12) 100,200,0.2 mg Film coated tablets [oral], gliclazide 60 mg tablet: modified release, Strips (Accu-Check) 1 box Strip [n/a], vitamin B complex (B1,B6,B12) 100,200,0.2 mg Film coated tablets [oral], gliclazide 60 mg tablet: modified release, Strips (Accu-Check) 1 box Strip [n/a], vitamin B complex (B1,B6,B12) 100,200,0.2 mg Film coated tablets [oral], gliclazide 60 mg tablet: modified release, Strips (Accu-Check) 1 box Strip [n/a], vitamin B complex (B1,B6,B12) 100,200,0.2 mg Film coated tablets [oral], gliclazide 60 mg tablet: modified release, Strips (Accu-Check) 1 box Strip [n/a], vitamin B complex (B1,B6,B12) 100,200,0.2 mg Film coated tablets [oral],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vitamin B complex (B1,B6,B12) 100,200,0.2 mg Film coated tablets [oral], ketoconazole 2% (20 mg/g) shampoo, vitamin B complex (B1,B6,B12) 100,200,0.2 mg Film coated tablets [oral], ketoconazole 2% (20 mg/g) shampoo, vitamin B complex (B1,B6,B12) 100,200,0.2 mg Film coated tablets [oral], ketoconazole 2% (20 mg/g) shampoo, vitamin B complex (B1,B6,B12) 100,200,0.2 mg Film coated tablets [oral], ketoconazole 2% (20 mg/g) shampoo, vitamin B complex (B1,B6,B12) 100,200,0.2 mg Film coated tablets [oral], ketoconazole 2% (20 mg/g) shampoo, vitamin B complex (B1,B6,B12) 100,200,0.2 mg Film coated tablets [oral], ketoconazole 2% (20 mg/g) shampoo, vitamin B complex (B1,B6,B12) 100,200,0.2 mg Film coated tablets [oral], ketoconazole 2% (20 mg/g) shampoo, metFORMIN hydrochloride 500 mg tablet, Strips (Accu-Check) 1 box Strip [n/a], metFORMIN hydrochloride 500 mg tablet, Strips (Accu-Check) 1 box Strip [n/a], metFORMIN hydrochloride 500 mg tablet, Strips (Accu-Check) 1 box Strip [n/a], metFORMIN hydrochloride 500 mg tablet, Strips (Accu-Check) 1 box Strip [n/a], metFORMIN hydrochloride 500 mg tablet, Strips (Accu-Check) 1 box Strip [n/a], metFORMIN hydrochloride 500 mg tablet, Strips (Accu-Check) 1 box Strip [n/a], metFORMIN hydrochloride 500 mg tablet, Strips (Accu-Check) 1 box Strip [n/a], betamethasone (as valerate) 0.1% (1 mg/mL) scalp application, betamethasone (as valerate) 0.1% (1 mg/mL) scalp application, betamethasone (as valerate) 0.1% (1 mg/mL) scalp application, betamethasone (as valerate) 0.1% (1 mg/mL) scalp application, betamethasone (as valerate) 0.1% (1 mg/mL) scalp application, betamethasone (as valerate) 0.1% (1 mg/mL) scalp application, betamethasone (as valerate) 0.1% (1 mg/mL) scalp application, empagliflozin 25 mg tablet, empagliflozin 25 mg tablet, empagliflozin 25 mg tablet, empagliflozin 25 mg tablet, empagliflozin 25 mg tablet, empagliflozin 25 mg tablet, empagliflozin 25 mg tablet, ketoconazole 2% (20 mg/g) shampoo, gliclazide 60 mg tablet: modified release, ketoconazole 2% (20 mg/g) shampoo, gliclazide 60 mg tablet: modified release, ketoconazole 2% (20 mg/g) shampoo, gliclazide 60 mg tablet: modified release, ketoconazole 2% (20 mg/g) shampoo, gliclazide 60 mg tablet: modified release, ketoconazole 2% (20 mg/g) shampoo, gliclazide 60 mg tablet: modified release, ketoconazole 2% (20 mg/g) shampoo, gliclazide 60 mg tablet: modified release, ketoconazole 2% (20 mg/g) shampoo, gliclazide 60 mg tablet: modified release, empagliflozin 25 mg tablet, metFORMIN hydrochloride 500 mg tablet, empagliflozin 25 mg tablet, metFORMIN hydrochloride 500 mg tablet, empagliflozin 25 mg tablet, metFORMIN hydrochloride 500 mg tablet, empagliflozin 25 mg tablet, metFORMIN hydrochloride 500 mg tablet, empagliflozin 25 mg tablet, metFORMIN hydrochloride 500 mg tablet, empagliflozin 25 mg tablet, metFORMIN hydrochloride 500 mg tablet, empagliflozin 25 mg tablet, metFORMIN hydrochloride 500 mg tablet, betamethasone (as valerate) 0.1% (1 mg/mL) scalp application, Strips (Accu-Check) 1 box Strip [n/a], betamethasone (as valerate) 0.1% (1 mg/mL) scalp application, Strips (Accu-Check) 1 box Strip [n/a], betamethasone (as valerate) 0.1% (1 mg/mL) scalp application, Strips (Accu-Check) 1 box Strip [n/a], betamethasone (as valerate) 0.1% (1 mg/mL) scalp application, Strips (Accu-Check) 1 box Strip [n/a], betamethasone (as valerate) 0.1% (1 mg/mL) scalp application, Strips (Accu-Check) 1 box Strip [n/a], betamethasone (as valerate) 0.1% (1 mg/mL) scalp application, Strips (Accu-Check) 1 box Strip [n/a], betamethasone (as valerate) 0.1% (1 mg/mL) scalp application, Strips (Accu-Check) 1 box Strip [n/a],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t>
  </si>
  <si>
    <t>فيصل محمد عبدالله حمزه</t>
  </si>
  <si>
    <t>insulin glargine (lantus), metFORMIN hydrochloride, Lancets (Accu-Check), Strips (Accu-Check), vitamin B complex (B, B, insulin aspart</t>
  </si>
  <si>
    <t>insulin glargine (lantus) 100 international units/mL injection, 3 mL prefilled pen, insulin glargine (lantus) 100 international units/mL injection, 3 mL prefilled pen, insulin glargine (lantus) 100 international units/mL injection, 3 mL prefilled pen, metFORMIN hydrochloride 500 mg tablet, Lancets (Accu-Check) 1 box Lancets [n/a], Strips (Accu-Check) 1 box Strip [n/a], vitamin B complex (B1,B6,B12) 100,200,0.2 mg Film coated tablets [oral], metFORMIN hydrochloride 500 mg tablet, Lancets (Accu-Check) 1 box Lancets [n/a], Strips (Accu-Check) 1 box Strip [n/a], vitamin B complex (B1,B6,B12) 100,200,0.2 mg Film coated tablets [oral], metFORMIN hydrochloride 500 mg tablet, Lancets (Accu-Check) 1 box Lancets [n/a], Strips (Accu-Check) 1 box Strip [n/a], vitamin B complex (B1,B6,B12) 100,200,0.2 mg Film coated tablets [oral], insulin aspart 100 international units/mL injection, 3 mL prefilled pen, insulin aspart 100 international units/mL injection, 3 mL prefilled pen, insulin aspart 100 international units/mL injection, 3 mL prefilled pen, vitamin B complex (B1,B6,B12) 100,200,0.2 mg Film coated tablets [oral], vitamin B complex (B1,B6,B12) 100,200,0.2 mg Film coated tablets [oral], vitamin B complex (B1,B6,B12) 100,200,0.2 mg Film coated tablets [oral], metFORMIN hydrochloride 500 mg tablet, insulin aspart 100 international units/mL injection, 3 mL prefilled pen, Strips (Accu-Check) 1 box Strip [n/a], metFORMIN hydrochloride 500 mg tablet, insulin aspart 100 international units/mL injection, 3 mL prefilled pen, Strips (Accu-Check) 1 box Strip [n/a], metFORMIN hydrochloride 500 mg tablet, insulin aspart 100 international units/mL injection, 3 mL prefilled pen, Strips (Accu-Check) 1 box Strip [n/a], Lancets (Accu-Check) 1 box Lancets [n/a], insulin glargine (lantus) 100 international units/mL injection, 3 mL prefilled pen, Lancets (Accu-Check) 1 box Lancets [n/a], insulin glargine (lantus) 100 international units/mL injection, 3 mL prefilled pen, Lancets (Accu-Check) 1 box Lancets [n/a], insulin glargine (lantus) 100 international units/mL injection, 3 mL prefilled pen, Strips (Accu-Check) 1 box Strip [n/a], Lancets (Accu-Check) 1 box Lancets [n/a], insulin aspart 100 international units/mL injection, 3 mL prefilled pen, Strips (Accu-Check) 1 box Strip [n/a], Lancets (Accu-Check) 1 box Lancets [n/a], insulin aspart 100 international units/mL injection, 3 mL prefilled pen, Strips (Accu-Check) 1 box Strip [n/a], Lancets (Accu-Check) 1 box Lancets [n/a], insulin aspart 100 international units/mL injection, 3 mL prefilled pen, vitamin B complex (B1,B6,B12) 100,200,0.2 mg Film coated tablets [oral], metFORMIN hydrochloride 500 mg tablet, insulin glargine (lantus) 100 international units/mL injection, 3 mL prefilled pen, vitamin B complex (B1,B6,B12) 100,200,0.2 mg Film coated tablets [oral], metFORMIN hydrochloride 500 mg tablet, insulin glargine (lantus) 100 international units/mL injection, 3 mL prefilled pen, vitamin B complex (B1,B6,B12) 100,200,0.2 mg Film coated tablets [oral], metFORMIN hydrochloride 500 mg tablet, insulin glargine (lantus) 100 international units/mL injection, 3 mL prefilled pen</t>
  </si>
  <si>
    <t>صلاح بريك مبيريك المعبدي</t>
  </si>
  <si>
    <t>sodium chloride, fluticasone propionate, cetirizine hydrochloride</t>
  </si>
  <si>
    <t>sodium chloride 0.9% (9 mg/mL) nasal spray, sodium chloride 0.9% (9 mg/mL) nasal spray, sodium chloride 0.9% (9 mg/mL) nasal spray, sodium chloride 0.9% (9 mg/mL) nasal spray, fluticasone propionate 0.05% nasal spray, fluticasone propionate 0.05% nasal spray, fluticasone propionate 0.05% nasal spray, fluticasone propionate 0.05% nasal spray, cetirizine hydrochloride 10 mg tablet, cetirizine hydrochloride 10 mg tablet, cetirizine hydrochloride 10 mg tablet, cetirizine hydrochloride 10 mg tablet, sodium chloride 0.9% (9 mg/mL) nasal spray, sodium chloride 0.9% (9 mg/mL) nasal spray, sodium chloride 0.9% (9 mg/mL) nasal spray, sodium chloride 0.9% (9 mg/mL) nasal spray, cetirizine hydrochloride 10 mg tablet, cetirizine hydrochloride 10 mg tablet, cetirizine hydrochloride 10 mg tablet, cetirizine hydrochloride 10 mg tablet, fluticasone propionate 0.05% nasal spray, fluticasone propionate 0.05% nasal spray, fluticasone propionate 0.05% nasal spray, fluticasone propionate 0.05% nasal spray, sodium chloride 0.9% (9 mg/mL) nasal spray, sodium chloride 0.9% (9 mg/mL) nasal spray, sodium chloride 0.9% (9 mg/mL) nasal spray, sodium chloride 0.9% (9 mg/mL) nasal spray, cetirizine hydrochloride 10 mg tablet, cetirizine hydrochloride 10 mg tablet, cetirizine hydrochloride 10 mg tablet, cetirizine hydrochloride 10 mg tablet, fluticasone propionate 0.05% nasal spray, fluticasone propionate 0.05% nasal spray, fluticasone propionate 0.05% nasal spray, fluticasone propionate 0.05% nasal spray</t>
  </si>
  <si>
    <t>محمد عتيق عاتق الجحدلي</t>
  </si>
  <si>
    <t>simeticone, mebeverine hydrochloride, perindopril arginine</t>
  </si>
  <si>
    <t>simeticone 40 mg/0.6 mL oral drops, simeticone 40 mg/0.6 mL oral drops, simeticone 40 mg/0.6 mL oral drops, simeticone 40 mg/0.6 mL oral drops, mebeverine hydrochloride 200 mg capsule: modified release, mebeverine hydrochloride 200 mg capsule: modified release, mebeverine hydrochloride 200 mg capsule: modified release, mebeverine hydrochloride 200 mg capsule: modified release, perindopril arginine 5 mg tablet, perindopril arginine 5 mg tablet, perindopril arginine 5 mg tablet, perindopril arginine 5 mg tablet, simeticone 40 mg/0.6 mL oral drops, mebeverine hydrochloride 200 mg capsule: modified release, simeticone 40 mg/0.6 mL oral drops, mebeverine hydrochloride 200 mg capsule: modified release, simeticone 40 mg/0.6 mL oral drops, mebeverine hydrochloride 200 mg capsule: modified release, simeticone 40 mg/0.6 mL oral drops, mebeverine hydrochloride 200 mg capsule: modified release, simeticone 40 mg/0.6 mL oral drops, simeticone 40 mg/0.6 mL oral drops, simeticone 40 mg/0.6 mL oral drops, simeticone 40 mg/0.6 mL oral drops, mebeverine hydrochloride 200 mg capsule: modified release, mebeverine hydrochloride 200 mg capsule: modified release, mebeverine hydrochloride 200 mg capsule: modified release, mebeverine hydrochloride 200 mg capsule: modified release, perindopril arginine 5 mg tablet, perindopril arginine 5 mg tablet, perindopril arginine 5 mg tablet, perindopril arginine 5 mg tablet, perindopril arginine 5 mg tablet, perindopril arginine 5 mg tablet, perindopril arginine 5 mg tablet, perindopril arginine 5 mg tablet, mebeverine hydrochloride 200 mg capsule: modified release, simeticone 40 mg/0.6 mL oral drops, mebeverine hydrochloride 200 mg capsule: modified release, simeticone 40 mg/0.6 mL oral drops, mebeverine hydrochloride 200 mg capsule: modified release, simeticone 40 mg/0.6 mL oral drops, mebeverine hydrochloride 200 mg capsule: modified release, simeticone 40 mg/0.6 mL oral drops, perindopril arginine 5 mg tablet, perindopril arginine 5 mg tablet, perindopril arginine 5 mg tablet, perindopril arginine 5 mg tablet, mebeverine hydrochloride 200 mg capsule: modified release, simeticone 40 mg/0.6 mL oral drops, mebeverine hydrochloride 200 mg capsule: modified release, simeticone 40 mg/0.6 mL oral drops, mebeverine hydrochloride 200 mg capsule: modified release, simeticone 40 mg/0.6 mL oral drops, mebeverine hydrochloride 200 mg capsule: modified release, simeticone 40 mg/0.6 mL oral drops, mebeverine hydrochloride 200 mg capsule: modified release, simeticone 40 mg/0.6 mL oral drops, mebeverine hydrochloride 200 mg capsule: modified release, simeticone 40 mg/0.6 mL oral drops, mebeverine hydrochloride 200 mg capsule: modified release, simeticone 40 mg/0.6 mL oral drops, mebeverine hydrochloride 200 mg capsule: modified release, simeticone 40 mg/0.6 mL oral drops, perindopril arginine 5 mg tablet, perindopril arginine 5 mg tablet, perindopril arginine 5 mg tablet, perindopril arginine 5 mg tablet, simeticone 40 mg/0.6 mL oral drops, simeticone 40 mg/0.6 mL oral drops, simeticone 40 mg/0.6 mL oral drops, simeticone 40 mg/0.6 mL oral drops, perindopril arginine 5 mg tablet, mebeverine hydrochloride 200 mg capsule: modified release, perindopril arginine 5 mg tablet, mebeverine hydrochloride 200 mg capsule: modified release, perindopril arginine 5 mg tablet, mebeverine hydrochloride 200 mg capsule: modified release, perindopril arginine 5 mg tablet, mebeverine hydrochloride 200 mg capsule: modified release</t>
  </si>
  <si>
    <t>عبيدالله عامر عبيدالله الحمراني</t>
  </si>
  <si>
    <t>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t>
  </si>
  <si>
    <t>عبدالله عمر سريحان الجحدلي</t>
  </si>
  <si>
    <t>perindopril arginine, levothyroxine sodium, omeprazole, betahistine dihydrochloride, rosuvastatin</t>
  </si>
  <si>
    <t>perindopril arginine 5 mg tablet, perindopril arginine 5 mg tablet, levothyroxine sodium 25 microgram tablet, omeprazole 20 mg tablet: enteric coated, betahistine dihydrochloride 16 mg tablet, levothyroxine sodium 25 microgram tablet, omeprazole 20 mg tablet: enteric coated, betahistine dihydrochloride 16 mg tablet, rosuvastatin 20 mg tablet, rosuvastatin 20 mg tablet, levothyroxine sodium 25 microgram tablet, levothyroxine sodium 25 microgram tablet, perindopril arginine 5 mg tablet, perindopril arginine 5 mg tablet, betahistine dihydrochloride 16 mg tablet, omeprazole 20 mg tablet: enteric coated, betahistine dihydrochloride 16 mg tablet, omeprazole 20 mg tablet: enteric coated, rosuvastatin 20 mg tablet, rosuvastatin 20 mg tablet, omeprazole 20 mg tablet: enteric coated, omeprazole 20 mg tablet: enteric coated, perindopril arginine 5 mg tablet, betahistine dihydrochloride 16 mg tablet, rosuvastatin 20 mg tablet, perindopril arginine 5 mg tablet, betahistine dihydrochloride 16 mg tablet, rosuvastatin 20 mg tablet, levothyroxine sodium 25 microgram tablet, levothyroxine sodium 25 microgram tablet</t>
  </si>
  <si>
    <t>يحي بن طيب بن جابر مجرشي</t>
  </si>
  <si>
    <t>vitamin B complex (B, B, SITagliptin, metFORMIN hydrochloride, valsartan</t>
  </si>
  <si>
    <t>vitamin B complex (B1,B6,B12) 100,200,0.2 mg Film coated tablets [oral], SITagliptin 100 mg tablet, vitamin B complex (B1,B6,B12) 100,200,0.2 mg Film coated tablets [oral], SITagliptin 100 mg tablet, vitamin B complex (B1,B6,B12) 100,200,0.2 mg Film coated tablets [oral], SITagliptin 100 mg tablet, metFORMIN hydrochloride 750 mg tablet: modified release, metFORMIN hydrochloride 750 mg tablet: modified release, metFORMIN hydrochloride 750 mg tablet: modified release, valsartan 80 mg tablet, valsartan 80 mg tablet, valsartan 80 mg tablet, metFORMIN hydrochloride 750 mg tablet: modified release, metFORMIN hydrochloride 750 mg tablet: modified release, metFORMIN hydrochloride 750 mg tablet: modified release, SITagliptin 100 mg tablet, vitamin B complex (B1,B6,B12) 100,200,0.2 mg Film coated tablets [oral], SITagliptin 100 mg tablet, vitamin B complex (B1,B6,B12) 100,200,0.2 mg Film coated tablets [oral], SITagliptin 100 mg tablet, vitamin B complex (B1,B6,B12) 100,200,0.2 mg Film coated tablets [oral], valsartan 80 mg tablet, valsartan 80 mg tablet, valsartan 80 mg tablet</t>
  </si>
  <si>
    <t>مزنه ماجد قعيد الهذيلي</t>
  </si>
  <si>
    <t>metFORMIN hydrochloride, SITagliptin, amLODIPine, valsartan</t>
  </si>
  <si>
    <t>metFORMIN hydrochloride 500 mg tablet, SITagliptin 100 mg tablet, amLODIPine 5 mg tablet, metFORMIN hydrochloride 500 mg tablet, SITagliptin 100 mg tablet, amLODIPine 5 mg tablet, metFORMIN hydrochloride 500 mg tablet, SITagliptin 100 mg tablet, amLODIPine 5 mg tablet, valsartan 80 mg tablet, valsartan 80 mg tablet, valsartan 80 mg tablet, valsartan 80 mg tablet, valsartan 80 mg tablet, valsartan 80 mg tablet, SITagliptin 100 mg tablet, metFORMIN hydrochloride 500 mg tablet, SITagliptin 100 mg tablet, metFORMIN hydrochloride 500 mg tablet, SITagliptin 100 mg tablet, metFORMIN hydrochloride 500 mg tablet, amLODIPine 5 mg tablet, amLODIPine 5 mg tablet, amLODIPine 5 mg tablet, amLODIPine 5 mg tablet, valsartan 80 mg tablet, SITagliptin 100 mg tablet, metFORMIN hydrochloride 500 mg tablet, amLODIPine 5 mg tablet, valsartan 80 mg tablet, SITagliptin 100 mg tablet, metFORMIN hydrochloride 500 mg tablet, amLODIPine 5 mg tablet, valsartan 80 mg tablet, SITagliptin 100 mg tablet, metFORMIN hydrochloride 500 mg tablet</t>
  </si>
  <si>
    <t>غنيه حسن عبده واصلي</t>
  </si>
  <si>
    <t>hydrocortisone, cetirizine hydrochloride, paracetamol, paraffin soft white ointment, tube, mometasone furoate</t>
  </si>
  <si>
    <t>hydrocortisone 1% (10 mg/g) cream, cetirizine hydrochloride 10 mg tablet, paracetamol 500 mg tablet, hydrocortisone 1% (10 mg/g) cream, cetirizine hydrochloride 10 mg tablet, paracetamol 500 mg tablet, hydrocortisone 1% (10 mg/g) cream, cetirizine hydrochloride 10 mg tablet, paracetamol 500 mg tablet, hydrocortisone 1% (10 mg/g) cream, cetirizine hydrochloride 10 mg tablet, paracetamol 500 mg tablet, paraffin soft white ointment, tube, mometasone furoate 0.1% (1 mg/g) ointment, paraffin soft white ointment, tube, mometasone furoate 0.1% (1 mg/g) ointment, paraffin soft white ointment, tube, mometasone furoate 0.1% (1 mg/g) ointment, paraffin soft white ointment, tube, mometasone furoate 0.1% (1 mg/g) ointment, hydrocortisone 1% (10 mg/g) cream, paraffin soft white ointment, tube, hydrocortisone 1% (10 mg/g) cream, paraffin soft white ointment, tube, hydrocortisone 1% (10 mg/g) cream, paraffin soft white ointment, tube, hydrocortisone 1% (10 mg/g) cream, paraffin soft white ointment, tube, paracetamol 500 mg tablet, mometasone furoate 0.1% (1 mg/g) ointment, paracetamol 500 mg tablet, mometasone furoate 0.1% (1 mg/g) ointment, paracetamol 500 mg tablet, mometasone furoate 0.1% (1 mg/g) ointment, paracetamol 500 mg tablet, mometasone furoate 0.1% (1 mg/g) ointment, cetirizine hydrochloride 10 mg tablet, cetirizine hydrochloride 10 mg tablet, cetirizine hydrochloride 10 mg tablet, cetirizine hydrochloride 10 mg tablet</t>
  </si>
  <si>
    <t>مستوره عبدالرحمن نايم السلمي</t>
  </si>
  <si>
    <t>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t>
  </si>
  <si>
    <t>عبدالمجيد صالح بن علي القحطاني</t>
  </si>
  <si>
    <t>insulin glargine, Insulin Pen Needle, insulin aspart</t>
  </si>
  <si>
    <t>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Insulin Pen Needle 4mm Needle [sc],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Pen Needle 4mm Needle [sc], Insulin Pen Needle 4mm Needle [sc], Insulin Pen Needle 4mm Needle [sc], Insulin Pen Needle 4mm Needle [sc], Insulin Pen Needle 4mm Needle [sc], Insulin Pen Needle 4mm Needle [sc]</t>
  </si>
  <si>
    <t>رحمه محمد علي العرياني</t>
  </si>
  <si>
    <t>dextromethorphan hydrobromide, omeprazole, paracetamol</t>
  </si>
  <si>
    <t>dextromethorphan hydrobromide 10 mg/5 mL + guaiFENesin 100 mg/5 mL oral liquid, omeprazole 20 mg tablet: enteric coated, dextromethorphan hydrobromide 10 mg/5 mL + guaiFENesin 100 mg/5 mL oral liquid, omeprazole 20 mg tablet: enteric coated, dextromethorphan hydrobromide 10 mg/5 mL + guaiFENesin 100 mg/5 mL oral liquid, omeprazole 20 mg tablet: enteric coated, dextromethorphan hydrobromide 10 mg/5 mL + guaiFENesin 100 mg/5 mL oral liquid, omeprazole 20 mg tablet: enteric coated, dextromethorphan hydrobromide 10 mg/5 mL + guaiFENesin 100 mg/5 mL oral liquid, omeprazole 20 mg tablet: enteric coated, dextromethorphan hydrobromide 10 mg/5 mL + guaiFENesin 100 mg/5 mL oral liquid, omeprazole 20 mg tablet: enteric coated, paracetamol 500 mg tablet, paracetamol 500 mg tablet, paracetamol 500 mg tablet, paracetamol 500 mg tablet, paracetamol 500 mg tablet, paracetamol 500 mg tablet, omeprazole 20 mg tablet: enteric coated, omeprazole 20 mg tablet: enteric coated, omeprazole 20 mg tablet: enteric coated, omeprazole 20 mg tablet: enteric coated, omeprazole 20 mg tablet: enteric coated, omeprazole 20 mg tablet: enteric coated, dextromethorphan hydrobromide 10 mg/5 mL + guaiFENesin 100 mg/5 mL oral liquid, dextromethorphan hydrobromide 10 mg/5 mL + guaiFENesin 100 mg/5 mL oral liquid, dextromethorphan hydrobromide 10 mg/5 mL + guaiFENesin 100 mg/5 mL oral liquid, dextromethorphan hydrobromide 10 mg/5 mL + guaiFENesin 100 mg/5 mL oral liquid, dextromethorphan hydrobromide 10 mg/5 mL + guaiFENesin 100 mg/5 mL oral liquid, dextromethorphan hydrobromide 10 mg/5 mL + guaiFENesin 100 mg/5 mL oral liquid, paracetamol 500 mg tablet, paracetamol 500 mg tablet, paracetamol 500 mg tablet, paracetamol 500 mg tablet, paracetamol 500 mg tablet, paracetamol 500 mg tablet, dextromethorphan hydrobromide 10 mg/5 mL + guaiFENesin 100 mg/5 mL oral liquid, dextromethorphan hydrobromide 10 mg/5 mL + guaiFENesin 100 mg/5 mL oral liquid, dextromethorphan hydrobromide 10 mg/5 mL + guaiFENesin 100 mg/5 mL oral liquid, dextromethorphan hydrobromide 10 mg/5 mL + guaiFENesin 100 mg/5 mL oral liquid, dextromethorphan hydrobromide 10 mg/5 mL + guaiFENesin 100 mg/5 mL oral liquid, dextromethorphan hydrobromide 10 mg/5 mL + guaiFENesin 100 mg/5 mL oral liquid, paracetamol 500 mg tablet, omeprazole 20 mg tablet: enteric coated, paracetamol 500 mg tablet, omeprazole 20 mg tablet: enteric coated, paracetamol 500 mg tablet, omeprazole 20 mg tablet: enteric coated, paracetamol 500 mg tablet, omeprazole 20 mg tablet: enteric coated, paracetamol 500 mg tablet, omeprazole 20 mg tablet: enteric coated, paracetamol 500 mg tablet, omeprazole 20 mg tablet: enteric coated</t>
  </si>
  <si>
    <t>حليمه الحسن حسن الشيخي</t>
  </si>
  <si>
    <t>lactulose, mebeverine hydrochloride</t>
  </si>
  <si>
    <t>lactulose 3.35 g/5 mL oral liquid, mebeverine hydrochloride 200 mg capsule: modified release, lactulose 3.35 g/5 mL oral liquid, mebeverine hydrochloride 200 mg capsule: modified release, lactulose 3.35 g/5 mL oral liquid, mebeverine hydrochloride 200 mg capsule: modified release, lactulose 3.35 g/5 mL oral liquid, mebeverine hydrochloride 200 mg capsule: modified release, lactulose 3.35 g/5 mL oral liquid, mebeverine hydrochloride 200 mg capsule: modified release, lactulose 3.35 g/5 mL oral liquid, mebeverine hydrochloride 200 mg capsule: modified release, lactulose 3.35 g/5 mL oral liquid, lactulose 3.35 g/5 mL oral liquid, lactulose 3.35 g/5 mL oral liquid, mebeverine hydrochloride 200 mg capsule: modified release, mebeverine hydrochloride 200 mg capsule: modified release, mebeverine hydrochloride 200 mg capsule: modified release, lactulose 3.35 g/5 mL oral liquid, lactulose 3.35 g/5 mL oral liquid, lactulose 3.35 g/5 mL oral liquid,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lactulose 3.35 g/5 mL oral liquid, lactulose 3.35 g/5 mL oral liquid, lactulose 3.35 g/5 mL oral liquid, mebeverine hydrochloride 200 mg capsule: modified release, mebeverine hydrochloride 200 mg capsule: modified release, mebeverine hydrochloride 200 mg capsule: modified release</t>
  </si>
  <si>
    <t>ضيف الله بن صهلان بن خليفه السلمي</t>
  </si>
  <si>
    <t>عثمان بكر علي باعنتر</t>
  </si>
  <si>
    <t>cetirizine hydrochloride, mometasone furoate, omeprazole, rosuvastatin, gliclazide, valsartan, hydroCHLOROthiazide, metFORMIN hydrochloride, empagliflozin, doxycycline</t>
  </si>
  <si>
    <t>cetirizine hydrochloride 10 mg tablet, mometasone furoate 0.1% (1 mg/g) cream, omeprazole 20 mg tablet: enteric coated, cetirizine hydrochloride 10 mg tablet, mometasone furoate 0.1% (1 mg/g) cream, omeprazole 20 mg tablet: enteric coated, cetirizine hydrochloride 10 mg tablet, mometasone furoate 0.1% (1 mg/g) cream, omeprazole 20 mg tablet: enteric coated, rosuvastatin 10 mg tablet, gliclazide 60 mg tablet: modified release, valsartan 80 mg tablet, hydroCHLOROthiazide 25 mg tablet: scored, rosuvastatin 10 mg tablet, gliclazide 60 mg tablet: modified release, valsartan 80 mg tablet, hydroCHLOROthiazide 25 mg tablet: scored, rosuvastatin 10 mg tablet, gliclazide 60 mg tablet: modified release, valsartan 80 mg tablet, hydroCHLOROthiazide 25 mg tablet: scored, metFORMIN hydrochloride 500 mg tablet, metFORMIN hydrochloride 500 mg tablet, metFORMIN hydrochloride 500 mg tablet, empagliflozin 25 mg tablet, empagliflozin 25 mg tablet, empagliflozin 25 mg tablet, doxycycline 100 mg capsule, doxycycline 100 mg capsule, doxycycline 100 mg capsule, valsartan 80 mg tablet, valsartan 80 mg tablet, valsartan 80 mg tablet, empagliflozin 25 mg tablet, omeprazole 20 mg tablet: enteric coated, cetirizine hydrochloride 10 mg tablet, empagliflozin 25 mg tablet, omeprazole 20 mg tablet: enteric coated, cetirizine hydrochloride 10 mg tablet, empagliflozin 25 mg tablet, omeprazole 20 mg tablet: enteric coated, cetirizine hydrochloride 10 mg tablet, rosuvastatin 10 mg tablet, rosuvastatin 10 mg tablet, rosuvastatin 10 mg tablet, hydroCHLOROthiazide 25 mg tablet: scored, hydroCHLOROthiazide 25 mg tablet: scored, hydroCHLOROthiazide 25 mg tablet: scored, doxycycline 100 mg capsule, gliclazide 60 mg tablet: modified release, mometasone furoate 0.1% (1 mg/g) cream, metFORMIN hydrochloride 500 mg tablet, doxycycline 100 mg capsule, gliclazide 60 mg tablet: modified release, mometasone furoate 0.1% (1 mg/g) cream, metFORMIN hydrochloride 500 mg tablet, doxycycline 100 mg capsule, gliclazide 60 mg tablet: modified release, mometasone furoate 0.1% (1 mg/g) cream, metFORMIN hydrochloride 500 mg tablet</t>
  </si>
  <si>
    <t>Diabetes, Dyslipidemia, GI/PPI, Hypertension</t>
  </si>
  <si>
    <t>شاكره شاكر محمدسعيد المغربي</t>
  </si>
  <si>
    <t>atorvastatin, omeprazole, diclofenac sodium</t>
  </si>
  <si>
    <t>atorvastatin 10 mg tablet, omeprazole 20 mg tablet: enteric coated, atorvastatin 10 mg tablet, omeprazole 20 mg tablet: enteric coated, atorvastatin 10 mg tablet, omeprazole 20 mg tablet: enteric coated, atorvastatin 10 mg tablet, omeprazole 20 mg tablet: enteric coated, atorvastatin 10 mg tablet, omeprazole 20 mg tablet: enteric coated, diclofenac sodium 1% (10 mg/g) gel, diclofenac sodium 1% (10 mg/g) gel, diclofenac sodium 1% (10 mg/g) gel, diclofenac sodium 1% (10 mg/g) gel, diclofenac sodium 1% (10 mg/g) gel, atorvastatin 10 mg tablet, atorvastatin 10 mg tablet, atorvastatin 10 mg tablet, atorvastatin 10 mg tablet, atorvastatin 10 mg tablet, omeprazole 20 mg tablet: enteric coated, diclofenac sodium 1% (10 mg/g) gel, omeprazole 20 mg tablet: enteric coated, diclofenac sodium 1% (10 mg/g) gel, omeprazole 20 mg tablet: enteric coated, diclofenac sodium 1% (10 mg/g) gel, omeprazole 20 mg tablet: enteric coated, diclofenac sodium 1% (10 mg/g) gel, omeprazole 20 mg tablet: enteric coated, diclofenac sodium 1% (10 mg/g) gel, atorvastatin 10 mg tablet, atorvastatin 10 mg tablet, atorvastatin 10 mg tablet, atorvastatin 10 mg tablet, atorvastatin 10 mg tablet, omeprazole 20 mg tablet: enteric coated, omeprazole 20 mg tablet: enteric coated, omeprazole 20 mg tablet: enteric coated, omeprazole 20 mg tablet: enteric coated, omeprazole 20 mg tablet: enteric coated, diclofenac sodium 1% (10 mg/g) gel, diclofenac sodium 1% (10 mg/g) gel, diclofenac sodium 1% (10 mg/g) gel, diclofenac sodium 1% (10 mg/g) gel, diclofenac sodium 1% (10 mg/g) gel</t>
  </si>
  <si>
    <t>ساميه مصطفى عبداللطيف المغربي</t>
  </si>
  <si>
    <t>هدى واهس محمد الجهني</t>
  </si>
  <si>
    <t>chlorzoxazone, diclofenac sodium, atorvastatin, colecalciferol</t>
  </si>
  <si>
    <t>chlorzoxazone 250 mg + paracetamol 300 mg capsule, chlorzoxazone 250 mg + paracetamol 300 mg capsule, chlorzoxazone 250 mg + paracetamol 300 mg capsule, chlorzoxazone 250 mg + paracetamol 300 mg capsule, diclofenac sodium 1% (10 mg/g) gel, atorvastatin 20 mg tablet, diclofenac sodium 1% (10 mg/g) gel, atorvastatin 20 mg tablet, diclofenac sodium 1% (10 mg/g) gel, atorvastatin 20 mg tablet, diclofenac sodium 1% (10 mg/g) gel, atorvastatin 20 mg tablet, chlorzoxazone 250 mg + paracetamol 300 mg capsule, chlorzoxazone 250 mg + paracetamol 300 mg capsule, chlorzoxazone 250 mg + paracetamol 300 mg capsule, chlorzoxazone 250 mg + paracetamol 300 mg capsule, atorvastatin 20 mg tablet, diclofenac sodium 1% (10 mg/g) gel, atorvastatin 20 mg tablet, diclofenac sodium 1% (10 mg/g) gel, atorvastatin 20 mg tablet, diclofenac sodium 1% (10 mg/g) gel, atorvastatin 20 mg tablet, diclofenac sodium 1% (10 mg/g) gel,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chlorzoxazone 250 mg + paracetamol 300 mg capsule, chlorzoxazone 250 mg + paracetamol 300 mg capsule, chlorzoxazone 250 mg + paracetamol 300 mg capsule, chlorzoxazone 250 mg + paracetamol 300 mg capsule, atorvastatin 20 mg tablet, colecalciferol 1 000 international units capsule, atorvastatin 20 mg tablet, colecalciferol 1 000 international units capsule, atorvastatin 20 mg tablet, colecalciferol 1 000 international units capsule, atorvastatin 20 mg tablet, colecalciferol 1 000 international units capsule, diclofenac sodium 1% (10 mg/g) gel, diclofenac sodium 1% (10 mg/g) gel, diclofenac sodium 1% (10 mg/g) gel, diclofenac sodium 1% (10 mg/g) gel</t>
  </si>
  <si>
    <t>نويفع بن نافع بن سواد السلمي</t>
  </si>
  <si>
    <t>زرعه محمد شائع الشهري</t>
  </si>
  <si>
    <t>mometasone furoate, paraffin soft white ointment, tube, levothyroxine sodium, perindopril arginine, atorvastatin, metFORMIN hydrochloride</t>
  </si>
  <si>
    <t>mometasone furoate 0.1% (1 mg/g) cream, mometasone furoate 0.1% (1 mg/g) cream, paraffin soft white ointment, tube, levothyroxine sodium 25 microgram tablet, perindopril arginine 5 mg tablet, paraffin soft white ointment, tube, levothyroxine sodium 25 microgram tablet, perindopril arginine 5 mg tablet, atorvastatin 20 mg tablet, metFORMIN hydrochloride 500 mg tablet, atorvastatin 20 mg tablet, metFORMIN hydrochloride 500 mg tablet, atorvastatin 20 mg tablet, perindopril arginine 5 mg tablet, metFORMIN hydrochloride 500 mg tablet, atorvastatin 20 mg tablet, perindopril arginine 5 mg tablet, metFORMIN hydrochloride 500 mg tablet, mometasone furoate 0.1% (1 mg/g) cream, paraffin soft white ointment, tube, levothyroxine sodium 25 microgram tablet, mometasone furoate 0.1% (1 mg/g) cream, paraffin soft white ointment, tube, levothyroxine sodium 25 microgram tablet, metFORMIN hydrochloride 500 mg tablet, atorvastatin 20 mg tablet, metFORMIN hydrochloride 500 mg tablet, atorvastatin 20 mg tablet, paraffin soft white ointment, tube, perindopril arginine 5 mg tablet, paraffin soft white ointment, tube, perindopril arginine 5 mg tablet, levothyroxine sodium 25 microgram tablet, mometasone furoate 0.1% (1 mg/g) cream, levothyroxine sodium 25 microgram tablet, mometasone furoate 0.1% (1 mg/g) cream, metFORMIN hydrochloride 500 mg tablet, paraffin soft white ointment, tube, metFORMIN hydrochloride 500 mg tablet, paraffin soft white ointment, tube, levothyroxine sodium 25 microgram tablet, atorvastatin 20 mg tablet, perindopril arginine 5 mg tablet, levothyroxine sodium 25 microgram tablet, atorvastatin 20 mg tablet, perindopril arginine 5 mg tablet, metFORMIN hydrochloride 500 mg tablet, paraffin soft white ointment, tube, atorvastatin 20 mg tablet, metFORMIN hydrochloride 500 mg tablet, paraffin soft white ointment, tube, atorvastatin 20 mg tablet, mometasone furoate 0.1% (1 mg/g) cream, mometasone furoate 0.1% (1 mg/g) cream, perindopril arginine 5 mg tablet, levothyroxine sodium 25 microgram tablet, perindopril arginine 5 mg tablet, levothyroxine sodium 25 microgram tablet, atorvastatin 20 mg tablet, perindopril arginine 5 mg tablet, atorvastatin 20 mg tablet, perindopril arginine 5 mg tablet, mometasone furoate 0.1% (1 mg/g) cream, metFORMIN hydrochloride 500 mg tablet, levothyroxine sodium 25 microgram tablet, mometasone furoate 0.1% (1 mg/g) cream, metFORMIN hydrochloride 500 mg tablet, levothyroxine sodium 25 microgram tablet, paraffin soft white ointment, tube, paraffin soft white ointment, tube, perindopril arginine 5 mg tablet, perindopril arginine 5 mg tablet, mometasone furoate 0.1% (1 mg/g) cream, atorvastatin 20 mg tablet, mometasone furoate 0.1% (1 mg/g) cream, atorvastatin 20 mg tablet</t>
  </si>
  <si>
    <t>خديجه محمد علي الغامدي</t>
  </si>
  <si>
    <t>atorvastatin, levothyroxine sodium</t>
  </si>
  <si>
    <t>atorvastatin 20 mg tablet, atorvastatin 20 mg tablet, atorvastatin 20 mg tablet, atorvastatin 20 mg tablet, atorvastatin 20 mg tablet, atorvastatin 20 mg tablet, atorvastatin 20 mg tablet, atorvastatin 20 mg tablet, levothyroxine sodium 100 microgram tablet, levothyroxine sodium 25 microgram tablet, levothyroxine sodium 100 microgram tablet, levothyroxine sodium 25 microgram tablet, levothyroxine sodium 100 microgram tablet, levothyroxine sodium 25 microgram tablet, levothyroxine sodium 100 microgram tablet, levothyroxine sodium 25 microgram tablet, levothyroxine sodium 25 microgram tablet, levothyroxine sodium 25 microgram tablet, levothyroxine sodium 25 microgram tablet, levothyroxine sodium 25 microgram tablet, levothyroxine sodium 100 microgram tablet, levothyroxine sodium 100 microgram tablet, levothyroxine sodium 100 microgram tablet, levothyroxine sodium 100 microgram tablet, atorvastatin 20 mg tablet, atorvastatin 20 mg tablet, atorvastatin 20 mg tablet, atorvastatin 20 mg tablet, levothyroxine sodium 100 microgram tablet, levothyroxine sodium 25 microgram tablet, levothyroxine sodium 100 microgram tablet, levothyroxine sodium 25 microgram tablet, levothyroxine sodium 100 microgram tablet, levothyroxine sodium 25 microgram tablet, levothyroxine sodium 100 microgram tablet, levothyroxine sodium 25 microgram tablet</t>
  </si>
  <si>
    <t>تركي نافع جبر الحربي</t>
  </si>
  <si>
    <t>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t>
  </si>
  <si>
    <t>أحمد محمد أحمد الشمراني</t>
  </si>
  <si>
    <t>metFORMIN hydrochloride, Strips (Accu-Check), acetylsalicylic acid, valsartan, vitamin B complex (B, B, atorvastatin, SITagliptin, indapamide</t>
  </si>
  <si>
    <t>metFORMIN hydrochloride 500 mg tablet, metFORMIN hydrochloride 500 mg tablet, Strips (Accu-Check) 1 box Strip [n/a], acetylsalicylic acid 100 mg tablet: enteric coated, Strips (Accu-Check) 1 box Strip [n/a], acetylsalicylic acid 100 mg tablet: enteric coated, acetylsalicylic acid 100 mg tablet: enteric coated, Strips (Accu-Check) 1 box Strip [n/a], acetylsalicylic acid 100 mg tablet: enteric coated, Strips (Accu-Check) 1 box Strip [n/a], metFORMIN hydrochloride 500 mg tablet, metFORMIN hydrochloride 500 mg tablet, valsartan 80 mg tablet, vitamin B complex (B1,B6,B12) 100,200,0.2 mg Film coated tablets [oral], valsartan 80 mg tablet, vitamin B complex (B1,B6,B12) 100,200,0.2 mg Film coated tablets [oral], atorvastatin 20 mg tablet, atorvastatin 20 mg tablet, SITagliptin 100 mg tablet, indapamide 1.5 mg tablet: modified release, SITagliptin 100 mg tablet, indapamide 1.5 mg tablet: modified release, atorvastatin 20 mg tablet, valsartan 80 mg tablet, SITagliptin 100 mg tablet, atorvastatin 20 mg tablet, valsartan 80 mg tablet, SITagliptin 100 mg tablet, vitamin B complex (B1,B6,B12) 100,200,0.2 mg Film coated tablets [oral], vitamin B complex (B1,B6,B12) 100,200,0.2 mg Film coated tablets [oral], indapamide 1.5 mg tablet: modified release, indapamide 1.5 mg tablet: modified release, metFORMIN hydrochloride 500 mg tablet, acetylsalicylic acid 100 mg tablet: enteric coated, valsartan 80 mg tablet, metFORMIN hydrochloride 500 mg tablet, acetylsalicylic acid 100 mg tablet: enteric coated, valsartan 80 mg tablet, indapamide 1.5 mg tablet: modified release, atorvastatin 20 mg tablet, indapamide 1.5 mg tablet: modified release, atorvastatin 20 mg tablet, vitamin B complex (B1,B6,B12) 100,200,0.2 mg Film coated tablets [oral], Strips (Accu-Check) 1 box Strip [n/a], vitamin B complex (B1,B6,B12) 100,200,0.2 mg Film coated tablets [oral], Strips (Accu-Check) 1 box Strip [n/a], SITagliptin 100 mg tablet, SITagliptin 100 mg tablet</t>
  </si>
  <si>
    <t>ممدوح سعيد موسى القليطى</t>
  </si>
  <si>
    <t>vitamin B complex (B, B, levothyroxine sodium, metFORMIN hydrochloride</t>
  </si>
  <si>
    <t>vitamin B complex (B1,B6,B12) 100,200,0.2 mg Film coated tablets [oral], vitamin B complex (B1,B6,B12) 100,200,0.2 mg Film coated tablets [oral], vitamin B complex (B1,B6,B12) 100,200,0.2 mg Film coated tablets [oral], vitamin B complex (B1,B6,B12) 100,200,0.2 mg Film coated tablets [oral], levothyroxine sodium 100 microgram tablet, levothyroxine sodium 100 microgram tablet, levothyroxine sodium 100 microgram tablet, levothyroxine sodium 100 microgram tablet, metFORMIN hydrochloride 500 mg tablet, metFORMIN hydrochloride 500 mg tablet, metFORMIN hydrochloride 500 mg tablet, metFORMIN hydrochloride 500 mg tablet, vitamin B complex (B1,B6,B12) 100,200,0.2 mg Film coated tablets [oral], levothyroxine sodium 100 microgram tablet, vitamin B complex (B1,B6,B12) 100,200,0.2 mg Film coated tablets [oral], levothyroxine sodium 100 microgram tablet, vitamin B complex (B1,B6,B12) 100,200,0.2 mg Film coated tablets [oral], levothyroxine sodium 100 microgram tablet, vitamin B complex (B1,B6,B12) 100,200,0.2 mg Film coated tablets [oral], levothyroxine sodium 100 microgram tablet, metFORMIN hydrochloride 500 mg tablet, metFORMIN hydrochloride 500 mg tablet, metFORMIN hydrochloride 500 mg tablet, metFORMIN hydrochloride 500 mg tablet</t>
  </si>
  <si>
    <t>Diabetes, Thyroid, Vitamins/Supplements</t>
  </si>
  <si>
    <t>عايض سفر عازب الحارثي</t>
  </si>
  <si>
    <t>metFORMIN hydrochloride 500 mg tablet, metFORMIN hydrochloride 500 mg tablet, metFORMIN hydrochloride 500 mg tablet, empagliflozin 10 mg tablet, empagliflozin 10 mg tablet, empagliflozin 10 mg tablet, empagliflozin 10 mg tablet, empagliflozin 10 mg tablet, empagliflozin 10 mg tablet, metFORMIN hydrochloride 500 mg tablet, metFORMIN hydrochloride 500 mg tablet, metFORMIN hydrochloride 500 mg tablet, empagliflozin 10 mg tablet, metFORMIN hydrochloride 500 mg tablet, empagliflozin 10 mg tablet, metFORMIN hydrochloride 500 mg tablet, empagliflozin 10 mg tablet, metFORMIN hydrochloride 500 mg tablet, metFORMIN hydrochloride 500 mg tablet, empagliflozin 10 mg tablet, metFORMIN hydrochloride 500 mg tablet, empagliflozin 10 mg tablet, metFORMIN hydrochloride 500 mg tablet, empagliflozin 10 mg tablet, empagliflozin 10 mg tablet, metFORMIN hydrochloride 500 mg tablet, empagliflozin 10 mg tablet, metFORMIN hydrochloride 500 mg tablet, empagliflozin 10 mg tablet, metFORMIN hydrochloride 500 mg tablet, empagliflozin 10 mg tablet, metFORMIN hydrochloride 500 mg tablet, empagliflozin 10 mg tablet, metFORMIN hydrochloride 500 mg tablet, empagliflozin 10 mg tablet, metFORMIN hydrochloride 500 mg tablet, empagliflozin 10 mg tablet, empagliflozin 10 mg tablet, empagliflozin 10 mg tablet, metFORMIN hydrochloride 500 mg tablet, metFORMIN hydrochloride 500 mg tablet, metFORMIN hydrochloride 500 mg tablet, metFORMIN hydrochloride 500 mg tablet, empagliflozin 10 mg tablet, metFORMIN hydrochloride 500 mg tablet, empagliflozin 10 mg tablet, metFORMIN hydrochloride 500 mg tablet, empagliflozin 10 mg tablet</t>
  </si>
  <si>
    <t>مروه فائز احمد الجحدلي</t>
  </si>
  <si>
    <t>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t>
  </si>
  <si>
    <t>صالحه محمد عبدالعزيز القريقري</t>
  </si>
  <si>
    <t>ketoconazole</t>
  </si>
  <si>
    <t>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t>
  </si>
  <si>
    <t>فاطمه سليمان عوض الحضرمي</t>
  </si>
  <si>
    <t>insulin aspart, mometasone furoate, amLODIPine</t>
  </si>
  <si>
    <t>insulin aspart 100 international units/mL injection, 3 mL prefilled pen, mometasone furoate 0.1% (1 mg/g) cream, amLODIPine 10 mg capsule, insulin aspart 100 international units/mL injection, 3 mL prefilled pen, mometasone furoate 0.1% (1 mg/g) cream, amLODIPine 10 mg capsule, insulin aspart 100 international units/mL injection, 3 mL prefilled pen, mometasone furoate 0.1% (1 mg/g) cream, amLODIPine 10 mg capsule, mometasone furoate 0.1% (1 mg/g) cream, mometasone furoate 0.1% (1 mg/g) cream, mometasone furoate 0.1% (1 mg/g) cream, amLODIPine 10 mg capsule, amLODIPine 10 mg capsule, amLODIPine 10 mg capsule, insulin aspart 100 international units/mL injection, 3 mL prefilled pen, insulin aspart 100 international units/mL injection, 3 mL prefilled pen, insulin aspart 100 international units/mL injection, 3 mL prefilled pen</t>
  </si>
  <si>
    <t>يوسف محمد ابن سلامه الجهني</t>
  </si>
  <si>
    <t>metFORMIN hydrochloride 750 mg tablet: modified release, metFORMIN hydrochloride 750 mg tablet: modified release, metFORMIN hydrochloride 750 mg tablet: modified release, metFORMIN hydrochloride 750 mg tablet: modified release, metFORMIN hydrochloride 750 mg tablet: modified release, atorvastatin 20 mg tablet, atorvastatin 20 mg tablet, atorvastatin 20 mg tablet, atorvastatin 20 mg tablet, atorvastatin 20 mg tablet, metFORMIN hydrochloride 750 mg tablet: modified release, metFORMIN hydrochloride 750 mg tablet: modified release, metFORMIN hydrochloride 750 mg tablet: modified release, metFORMIN hydrochloride 750 mg tablet: modified release, metFORMIN hydrochloride 750 mg tablet: modified release, atorvastatin 20 mg tablet, atorvastatin 20 mg tablet, atorvastatin 20 mg tablet, atorvastatin 20 mg tablet, atorvastatin 20 mg tablet</t>
  </si>
  <si>
    <t>عواطف سلمان سالم الحربي</t>
  </si>
  <si>
    <t>سمير عبدالله عبدالصمد مياه</t>
  </si>
  <si>
    <t>vitamin B complex (B, B, Insulin Pen Needle, insulin aspart</t>
  </si>
  <si>
    <t>vitamin B complex (B1,B6,B12) 100,200,0.2 mg Film coated tablets [oral], Insulin Pen Needle 4mm Needle [sc], insulin aspart 100 international units/mL injection, 3 mL prefilled pen, vitamin B complex (B1,B6,B12) 100,200,0.2 mg Film coated tablets [oral], Insulin Pen Needle 4mm Needle [sc], insulin aspart 100 international units/mL injection, 3 mL prefilled pen, vitamin B complex (B1,B6,B12) 100,200,0.2 mg Film coated tablets [oral], Insulin Pen Needle 4mm Needle [sc], insulin aspart 100 international units/mL injection, 3 mL prefilled pen, vitamin B complex (B1,B6,B12) 100,200,0.2 mg Film coated tablets [oral], Insulin Pen Needle 4mm Needle [sc],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Pen Needle 4mm Needle [sc], vitamin B complex (B1,B6,B12) 100,200,0.2 mg Film coated tablets [oral], Insulin Pen Needle 4mm Needle [sc], vitamin B complex (B1,B6,B12) 100,200,0.2 mg Film coated tablets [oral], Insulin Pen Needle 4mm Needle [sc], vitamin B complex (B1,B6,B12) 100,200,0.2 mg Film coated tablets [oral], Insulin Pen Needle 4mm Needle [sc], vitamin B complex (B1,B6,B12) 100,200,0.2 mg Film coated tablets [oral], Insulin Pen Needle 4mm Needle [sc], Insulin Pen Needle 4mm Needle [sc], Insulin Pen Needle 4mm Needle [sc], Insulin Pen Needle 4mm Needle [sc], vitamin B complex (B1,B6,B12) 100,200,0.2 mg Film coated tablets [oral], insulin aspart 100 international units/mL injection, 3 mL prefilled pen, vitamin B complex (B1,B6,B12) 100,200,0.2 mg Film coated tablets [oral], insulin aspart 100 international units/mL injection, 3 mL prefilled pen, vitamin B complex (B1,B6,B12) 100,200,0.2 mg Film coated tablets [oral], insulin aspart 100 international units/mL injection, 3 mL prefilled pen, vitamin B complex (B1,B6,B12) 100,200,0.2 mg Film coated tablets [oral],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Pen Needle 4mm Needle [sc], vitamin B complex (B1,B6,B12) 100,200,0.2 mg Film coated tablets [oral], Insulin Pen Needle 4mm Needle [sc], vitamin B complex (B1,B6,B12) 100,200,0.2 mg Film coated tablets [oral], Insulin Pen Needle 4mm Needle [sc], vitamin B complex (B1,B6,B12) 100,200,0.2 mg Film coated tablets [oral], Insulin Pen Needle 4mm Needle [sc], vitamin B complex (B1,B6,B12) 100,200,0.2 mg Film coated tablets [oral], Insulin Pen Needle 4mm Needle [sc], Insulin Pen Needle 4mm Needle [sc], Insulin Pen Needle 4mm Needle [sc], Insulin Pen Needle 4mm Needle [sc],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vitamin B complex (B1,B6,B12) 100,200,0.2 mg Film coated tablets [oral], vitamin B complex (B1,B6,B12) 100,200,0.2 mg Film coated tablets [oral], vitamin B complex (B1,B6,B12) 100,200,0.2 mg Film coated tablets [oral], vitamin B complex (B1,B6,B12) 100,200,0.2 mg Film coated tablets [oral], Insulin Pen Needle 4mm Needle [sc], Insulin Pen Needle 4mm Needle [sc], Insulin Pen Needle 4mm Needle [sc], Insulin Pen Needle 4mm Needle [sc], vitamin B complex (B1,B6,B12) 100,200,0.2 mg Film coated tablets [oral], insulin aspart 100 international units/mL injection, 3 mL prefilled pen, vitamin B complex (B1,B6,B12) 100,200,0.2 mg Film coated tablets [oral], insulin aspart 100 international units/mL injection, 3 mL prefilled pen, vitamin B complex (B1,B6,B12) 100,200,0.2 mg Film coated tablets [oral], insulin aspart 100 international units/mL injection, 3 mL prefilled pen, vitamin B complex (B1,B6,B12) 100,200,0.2 mg Film coated tablets [oral],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vitamin B complex (B1,B6,B12) 100,200,0.2 mg Film coated tablets [oral], Insulin Pen Needle 4mm Needle [sc], vitamin B complex (B1,B6,B12) 100,200,0.2 mg Film coated tablets [oral], Insulin Pen Needle 4mm Needle [sc], vitamin B complex (B1,B6,B12) 100,200,0.2 mg Film coated tablets [oral], Insulin Pen Needle 4mm Needle [sc], vitamin B complex (B1,B6,B12) 100,200,0.2 mg Film coated tablets [oral], Insulin Pen Needle 4mm Needle [sc]</t>
  </si>
  <si>
    <t>مريم عبدالشكور عبدالقادر الميمني</t>
  </si>
  <si>
    <t>rosuvastatin, insulin aspart, Insulin Pen Needle, insulin glargine</t>
  </si>
  <si>
    <t>rosuvastatin 20 mg tablet, rosuvastatin 20 mg tablet, rosuvastatin 20 mg tablet, rosuvastatin 20 mg tablet, insulin aspart 100 international units/mL injection, 3 mL prefilled pen, Insulin Pen Needle 4mm Needle [sc], insulin aspart 100 international units/mL injection, 3 mL prefilled pen, Insulin Pen Needle 4mm Needle [sc], insulin aspart 100 international units/mL injection, 3 mL prefilled pen, Insulin Pen Needle 4mm Needle [sc], insulin aspart 100 international units/mL injection, 3 mL prefilled pen, Insulin Pen Needle 4mm Needle [sc], insulin glargine 300 international units/mL injection, 1.5 mL prefilled pen, rosuvastatin 20 mg tablet, insulin glargine 300 international units/mL injection, 1.5 mL prefilled pen, rosuvastatin 20 mg tablet, insulin glargine 300 international units/mL injection, 1.5 mL prefilled pen, rosuvastatin 20 mg tablet, insulin glargine 300 international units/mL injection, 1.5 mL prefilled pen, rosuvastatin 20 mg tablet,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rosuvastatin 20 mg tablet, rosuvastatin 20 mg tablet, rosuvastatin 20 mg tablet, rosuvastatin 20 mg tablet, Insulin Pen Needle 4mm Needle [sc], Insulin Pen Needle 4mm Needle [sc], Insulin Pen Needle 4mm Needle [sc], Insulin Pen Needle 4mm Needle [sc], Insulin Pen Needle 4mm Needle [sc], Insulin Pen Needle 4mm Needle [sc], Insulin Pen Needle 4mm Needle [sc], Insulin Pen Needle 4mm Needle [sc], rosuvastatin 20 mg tablet, rosuvastatin 20 mg tablet, rosuvastatin 20 mg tablet, rosuvastatin 20 mg tablet,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rosuvastatin 20 mg tablet, rosuvastatin 20 mg tablet, rosuvastatin 20 mg tablet, rosuvastatin 20 mg tablet, Insulin Pen Needle 4mm Needle [sc], Insulin Pen Needle 4mm Needle [sc], Insulin Pen Needle 4mm Needle [sc], Insulin Pen Needle 4mm Needle [sc],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rosuvastatin 20 mg tablet, Insulin Pen Needle 4mm Needle [sc], rosuvastatin 20 mg tablet, Insulin Pen Needle 4mm Needle [sc], rosuvastatin 20 mg tablet, Insulin Pen Needle 4mm Needle [sc], rosuvastatin 20 mg tablet, Insulin Pen Needle 4mm Needle [sc],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rosuvastatin 20 mg tablet, rosuvastatin 20 mg tablet, rosuvastatin 20 mg tablet, rosuvastatin 20 mg tablet, Insulin Pen Needle 4mm Needle [sc], Insulin Pen Needle 4mm Needle [sc], Insulin Pen Needle 4mm Needle [sc], Insulin Pen Needle 4mm Needle [sc],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Pen Needle 4mm Needle [sc], Insulin Pen Needle 4mm Needle [sc], Insulin Pen Needle 4mm Needle [sc], Insulin Pen Needle 4mm Needle [sc], rosuvastatin 20 mg tablet, rosuvastatin 20 mg tablet, rosuvastatin 20 mg tablet, rosuvastatin 20 mg tablet,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rosuvastatin 20 mg tablet, rosuvastatin 20 mg tablet, rosuvastatin 20 mg tablet, rosuvastatin 20 mg tablet, Insulin Pen Needle 4mm Needle [sc], Insulin Pen Needle 4mm Needle [sc], Insulin Pen Needle 4mm Needle [sc], Insulin Pen Needle 4mm Needle [sc],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rosuvastatin 20 mg tablet, rosuvastatin 20 mg tablet, rosuvastatin 20 mg tablet, rosuvastatin 20 mg tablet</t>
  </si>
  <si>
    <t>فوزيه محمد عزي الربعي</t>
  </si>
  <si>
    <t>SITagliptin, empagliflozin, atorvastatin, colecalciferol, metFORMIN hydrochloride, gliclazide</t>
  </si>
  <si>
    <t>SITagliptin 100 mg tablet, SITagliptin 100 mg tablet, SITagliptin 100 mg tablet, empagliflozin 10 mg tablet, empagliflozin 10 mg tablet, empagliflozin 10 mg tablet, atorvastatin 20 mg tablet, atorvastatin 20 mg tablet, atorvastatin 20 mg tablet, colecalciferol 5000 international units Capsules [oral], colecalciferol 5000 international units Capsules [oral], colecalciferol 5000 international units Capsules [oral], SITagliptin 100 mg tablet, metFORMIN hydrochloride 500 mg tablet, gliclazide 60 mg tablet: modified release, SITagliptin 100 mg tablet, metFORMIN hydrochloride 500 mg tablet, gliclazide 60 mg tablet: modified release, SITagliptin 100 mg tablet, metFORMIN hydrochloride 500 mg tablet, gliclazide 60 mg tablet: modified release, colecalciferol 5000 international units Capsules [oral], colecalciferol 5000 international units Capsules [oral], colecalciferol 5000 international units Capsules [oral], gliclazide 60 mg tablet: modified release, gliclazide 60 mg tablet: modified release, gliclazide 60 mg tablet: modified release, empagliflozin 10 mg tablet, metFORMIN hydrochloride 500 mg tablet, empagliflozin 10 mg tablet, metFORMIN hydrochloride 500 mg tablet, empagliflozin 10 mg tablet, metFORMIN hydrochloride 500 mg tablet, atorvastatin 20 mg tablet, atorvastatin 20 mg tablet, atorvastatin 20 mg tablet</t>
  </si>
  <si>
    <t>صفيه احمد ابراهيم الحذيفي</t>
  </si>
  <si>
    <t>escitalopram, amLODIPine, Strips (Accu-Check)</t>
  </si>
  <si>
    <t>escitalopram 10 mg tablet, amLODIPine 5 mg tablet, Strips (Accu-Check) 1 box Strip [n/a], escitalopram 10 mg tablet, amLODIPine 5 mg tablet, Strips (Accu-Check) 1 box Strip [n/a], escitalopram 10 mg tablet, amLODIPine 5 mg tablet, Strips (Accu-Check) 1 box Strip [n/a], escitalopram 10 mg tablet, amLODIPine 5 mg tablet, Strips (Accu-Check) 1 box Strip [n/a], escitalopram 10 mg tablet, amLODIPine 5 mg tablet, Strips (Accu-Check) 1 box Strip [n/a], amLODIPine 5 mg tablet, amLODIPine 5 mg tablet, amLODIPine 5 mg tablet, amLODIPine 5 mg tablet, amLODIPine 5 mg tablet, Strips (Accu-Check) 1 box Strip [n/a], escitalopram 10 mg tablet, Strips (Accu-Check) 1 box Strip [n/a], escitalopram 10 mg tablet, Strips (Accu-Check) 1 box Strip [n/a], escitalopram 10 mg tablet, Strips (Accu-Check) 1 box Strip [n/a], escitalopram 10 mg tablet, Strips (Accu-Check) 1 box Strip [n/a], escitalopram 10 mg tablet, amLODIPine 5 mg tablet, amLODIPine 5 mg tablet, amLODIPine 5 mg tablet, amLODIPine 5 mg tablet, amLODIPine 5 mg tablet, Strips (Accu-Check) 1 box Strip [n/a], amLODIPine 5 mg tablet, Strips (Accu-Check) 1 box Strip [n/a], amLODIPine 5 mg tablet, Strips (Accu-Check) 1 box Strip [n/a], amLODIPine 5 mg tablet, Strips (Accu-Check) 1 box Strip [n/a], amLODIPine 5 mg tablet, Strips (Accu-Check) 1 box Strip [n/a], amLODIPine 5 mg tablet, escitalopram 10 mg tablet, escitalopram 10 mg tablet, escitalopram 10 mg tablet, escitalopram 10 mg tablet, escitalopram 10 mg tablet, Strips (Accu-Check) 1 box Strip [n/a], Strips (Accu-Check) 1 box Strip [n/a], Strips (Accu-Check) 1 box Strip [n/a], Strips (Accu-Check) 1 box Strip [n/a], Strips (Accu-Check) 1 box Strip [n/a], amLODIPine 5 mg tablet, amLODIPine 5 mg tablet, amLODIPine 5 mg tablet, amLODIPine 5 mg tablet, amLODIPine 5 mg tablet, amLODIPine 5 mg tablet, amLODIPine 5 mg tablet, amLODIPine 5 mg tablet, amLODIPine 5 mg tablet, amLODIPine 5 mg tablet, Strips (Accu-Check) 1 box Strip [n/a], escitalopram 10 mg tablet, Strips (Accu-Check) 1 box Strip [n/a], escitalopram 10 mg tablet, Strips (Accu-Check) 1 box Strip [n/a], escitalopram 10 mg tablet, Strips (Accu-Check) 1 box Strip [n/a], escitalopram 10 mg tablet, Strips (Accu-Check) 1 box Strip [n/a], escitalopram 10 mg tablet, Strips (Accu-Check) 1 box Strip [n/a], Strips (Accu-Check) 1 box Strip [n/a], Strips (Accu-Check) 1 box Strip [n/a], Strips (Accu-Check) 1 box Strip [n/a], Strips (Accu-Check) 1 box Strip [n/a], amLODIPine 5 mg tablet, escitalopram 10 mg tablet, amLODIPine 5 mg tablet, escitalopram 10 mg tablet, amLODIPine 5 mg tablet, escitalopram 10 mg tablet, amLODIPine 5 mg tablet, escitalopram 10 mg tablet, amLODIPine 5 mg tablet, escitalopram 10 mg tablet</t>
  </si>
  <si>
    <t>مفرج بن مقبل بن قبال الجدعاني</t>
  </si>
  <si>
    <t>chlorzoxazone, varenicline (, varenicline</t>
  </si>
  <si>
    <t>chlorzoxazone 250 mg + paracetamol 300 mg capsule, chlorzoxazone 250 mg + paracetamol 300 mg capsule, chlorzoxazone 250 mg + paracetamol 300 mg capsule, chlorzoxazone 250 mg + paracetamol 300 mg capsule, chlorzoxazone 250 mg + paracetamol 300 mg capsule, varenicline (11 x 500 microgram tablets, 14 x 1 mg tablets), 1 starter pack, varenicline (11 x 500 microgram tablets, 14 x 1 mg tablets), 1 starter pack, varenicline (11 x 500 microgram tablets, 14 x 1 mg tablets), 1 starter pack, varenicline (11 x 500 microgram tablets, 14 x 1 mg tablets), 1 starter pack, varenicline (11 x 500 microgram tablets, 14 x 1 mg tablets), 1 starter pack, varenicline 1 mg tablet, varenicline 1 mg tablet, varenicline 1 mg tablet, varenicline 1 mg tablet, varenicline 1 mg tablet, varenicline 1 mg tablet, chlorzoxazone 250 mg + paracetamol 300 mg capsule, varenicline 1 mg tablet, chlorzoxazone 250 mg + paracetamol 300 mg capsule, varenicline 1 mg tablet, chlorzoxazone 250 mg + paracetamol 300 mg capsule, varenicline 1 mg tablet, chlorzoxazone 250 mg + paracetamol 300 mg capsule, varenicline 1 mg tablet, chlorzoxazone 250 mg + paracetamol 300 mg capsule, varenicline (11 x 500 microgram tablets, 14 x 1 mg tablets), 1 starter pack, varenicline (11 x 500 microgram tablets, 14 x 1 mg tablets), 1 starter pack, varenicline (11 x 500 microgram tablets, 14 x 1 mg tablets), 1 starter pack, varenicline (11 x 500 microgram tablets, 14 x 1 mg tablets), 1 starter pack, varenicline (11 x 500 microgram tablets, 14 x 1 mg tablets), 1 starter pack, varenicline (11 x 500 microgram tablets, 14 x 1 mg tablets), 1 starter pack, chlorzoxazone 250 mg + paracetamol 300 mg capsule, varenicline (11 x 500 microgram tablets, 14 x 1 mg tablets), 1 starter pack, chlorzoxazone 250 mg + paracetamol 300 mg capsule, varenicline (11 x 500 microgram tablets, 14 x 1 mg tablets), 1 starter pack, chlorzoxazone 250 mg + paracetamol 300 mg capsule, varenicline (11 x 500 microgram tablets, 14 x 1 mg tablets), 1 starter pack, chlorzoxazone 250 mg + paracetamol 300 mg capsule, varenicline (11 x 500 microgram tablets, 14 x 1 mg tablets), 1 starter pack, chlorzoxazone 250 mg + paracetamol 300 mg capsule, varenicline 1 mg tablet, varenicline 1 mg tablet, varenicline 1 mg tablet, varenicline 1 mg tablet, varenicline 1 mg tablet</t>
  </si>
  <si>
    <t>فاضل عبدالرحمن ياسين هزازي</t>
  </si>
  <si>
    <t>sodium chloride, paracetamol, mometasone furoate, pseudoephedrine hydrochloride, azithromycin</t>
  </si>
  <si>
    <t>sodium chloride 0.9% (9 mg/mL) nasal spray, sodium chloride 0.9% (9 mg/mL) nasal spray, sodium chloride 0.9% (9 mg/mL) nasal spray, sodium chloride 0.9% (9 mg/mL) nasal spray, sodium chloride 0.9% (9 mg/mL) nasal spray, sodium chloride 0.9% (9 mg/mL) nasal spray, sodium chloride 0.9% (9 mg/mL) nasal spray, paracetamol 500 mg tablet, mometasone furoate 0.05% nasal spray, pseudoephedrine hydrochloride 60 mg + triprolidine hydrochloride 2.5 mg tablet, azithromycin 250 mg capsule, paracetamol 500 mg tablet, mometasone furoate 0.05% nasal spray, pseudoephedrine hydrochloride 60 mg + triprolidine hydrochloride 2.5 mg tablet, azithromycin 250 mg capsule, paracetamol 500 mg tablet, mometasone furoate 0.05% nasal spray, pseudoephedrine hydrochloride 60 mg + triprolidine hydrochloride 2.5 mg tablet, azithromycin 250 mg capsule, paracetamol 500 mg tablet, mometasone furoate 0.05% nasal spray, pseudoephedrine hydrochloride 60 mg + triprolidine hydrochloride 2.5 mg tablet, azithromycin 250 mg capsule, paracetamol 500 mg tablet, mometasone furoate 0.05% nasal spray, pseudoephedrine hydrochloride 60 mg + triprolidine hydrochloride 2.5 mg tablet, azithromycin 250 mg capsule, paracetamol 500 mg tablet, mometasone furoate 0.05% nasal spray, pseudoephedrine hydrochloride 60 mg + triprolidine hydrochloride 2.5 mg tablet, azithromycin 250 mg capsule, paracetamol 500 mg tablet, mometasone furoate 0.05% nasal spray, pseudoephedrine hydrochloride 60 mg + triprolidine hydrochloride 2.5 mg tablet, azithromycin 250 mg capsule, sodium chloride 0.9% (9 mg/mL) nasal spray, sodium chloride 0.9% (9 mg/mL) nasal spray, sodium chloride 0.9% (9 mg/mL) nasal spray, sodium chloride 0.9% (9 mg/mL) nasal spray, sodium chloride 0.9% (9 mg/mL) nasal spray, sodium chloride 0.9% (9 mg/mL) nasal spray, sodium chloride 0.9% (9 mg/mL) nasal spray, pseudoephedrine hydrochloride 60 mg + triprolidine hydrochloride 2.5 mg tablet, mometasone furoate 0.05% nasal spray, azithromycin 250 mg capsule, paracetamol 500 mg tablet, pseudoephedrine hydrochloride 60 mg + triprolidine hydrochloride 2.5 mg tablet, mometasone furoate 0.05% nasal spray, azithromycin 250 mg capsule, paracetamol 500 mg tablet, pseudoephedrine hydrochloride 60 mg + triprolidine hydrochloride 2.5 mg tablet, mometasone furoate 0.05% nasal spray, azithromycin 250 mg capsule, paracetamol 500 mg tablet, pseudoephedrine hydrochloride 60 mg + triprolidine hydrochloride 2.5 mg tablet, mometasone furoate 0.05% nasal spray, azithromycin 250 mg capsule, paracetamol 500 mg tablet, pseudoephedrine hydrochloride 60 mg + triprolidine hydrochloride 2.5 mg tablet, mometasone furoate 0.05% nasal spray, azithromycin 250 mg capsule, paracetamol 500 mg tablet, pseudoephedrine hydrochloride 60 mg + triprolidine hydrochloride 2.5 mg tablet, mometasone furoate 0.05% nasal spray, azithromycin 250 mg capsule, paracetamol 500 mg tablet, pseudoephedrine hydrochloride 60 mg + triprolidine hydrochloride 2.5 mg tablet, mometasone furoate 0.05% nasal spray, azithromycin 250 mg capsule, paracetamol 500 mg tablet, paracetamol 500 mg tablet, pseudoephedrine hydrochloride 60 mg + triprolidine hydrochloride 2.5 mg tablet, azithromycin 250 mg capsule, mometasone furoate 0.05% nasal spray, paracetamol 500 mg tablet, pseudoephedrine hydrochloride 60 mg + triprolidine hydrochloride 2.5 mg tablet, azithromycin 250 mg capsule, mometasone furoate 0.05% nasal spray, paracetamol 500 mg tablet, pseudoephedrine hydrochloride 60 mg + triprolidine hydrochloride 2.5 mg tablet, azithromycin 250 mg capsule, mometasone furoate 0.05% nasal spray, paracetamol 500 mg tablet, pseudoephedrine hydrochloride 60 mg + triprolidine hydrochloride 2.5 mg tablet, azithromycin 250 mg capsule, mometasone furoate 0.05% nasal spray, paracetamol 500 mg tablet, pseudoephedrine hydrochloride 60 mg + triprolidine hydrochloride 2.5 mg tablet, azithromycin 250 mg capsule, mometasone furoate 0.05% nasal spray, paracetamol 500 mg tablet, pseudoephedrine hydrochloride 60 mg + triprolidine hydrochloride 2.5 mg tablet, azithromycin 250 mg capsule, mometasone furoate 0.05% nasal spray, paracetamol 500 mg tablet, pseudoephedrine hydrochloride 60 mg + triprolidine hydrochloride 2.5 mg tablet, azithromycin 250 mg capsule, mometasone furoate 0.05% nasal spray, sodium chloride 0.9% (9 mg/mL) nasal spray, sodium chloride 0.9% (9 mg/mL) nasal spray, sodium chloride 0.9% (9 mg/mL) nasal spray, sodium chloride 0.9% (9 mg/mL) nasal spray, sodium chloride 0.9% (9 mg/mL) nasal spray, sodium chloride 0.9% (9 mg/mL) nasal spray, sodium chloride 0.9% (9 mg/mL) nasal spray</t>
  </si>
  <si>
    <t>امال علي محمد باحمدين</t>
  </si>
  <si>
    <t>ابراهيم عيسى عثمان الجعفري</t>
  </si>
  <si>
    <t>levothyroxine sodium, vitamins (A, B, C, D</t>
  </si>
  <si>
    <t>levothyroxine sodium 25 microgram tablet, levothyroxine sodium 25 microgram tablet, levothyroxine sodium 25 microgram tablet, levothyroxine sodium 25 microgram tablet, levothyroxine sodium 25 microgram tablet, vitamins (A, B1, B2, B3, C, D3) tablet, vitamins (A, B1, B2, B3, C, D3) tablet, vitamins (A, B1, B2, B3, C, D3) tablet, vitamins (A, B1, B2, B3, C, D3) tablet, vitamins (A, B1, B2, B3, C, D3) tablet, levothyroxine sodium 25 microgram tablet, vitamins (A, B1, B2, B3, C, D3) tablet, levothyroxine sodium 25 microgram tablet, vitamins (A, B1, B2, B3, C, D3) tablet, levothyroxine sodium 25 microgram tablet, vitamins (A, B1, B2, B3, C, D3) tablet, levothyroxine sodium 25 microgram tablet, vitamins (A, B1, B2, B3, C, D3) tablet, levothyroxine sodium 25 microgram tablet, vitamins (A, B1, B2, B3, C, D3) tablet</t>
  </si>
  <si>
    <t>Thyroid, Vitamins/Supplements</t>
  </si>
  <si>
    <t>جازيه مانع عايض المطيري</t>
  </si>
  <si>
    <t>paracetamol, paraffin soft white ointment, tube, diclofenac sodium, vitamins (A, B, C, D</t>
  </si>
  <si>
    <t>paracetamol 500 mg tablet, paracetamol 500 mg tablet, paracetamol 500 mg tablet, paracetamol 500 mg tablet, paracetamol 500 mg tablet, paracetamol 500 mg tablet, paracetamol 500 mg tablet, paraffin soft white ointment, tube, paraffin soft white ointment, tube, paraffin soft white ointment, tube, paraffin soft white ointment, tube, paraffin soft white ointment, tube, paraffin soft white ointment, tube, paraffin soft white ointment, tube, paracetamol 500 mg tablet, diclofenac sodium 1% (10 mg/g) gel, paracetamol 500 mg tablet, diclofenac sodium 1% (10 mg/g) gel, paracetamol 500 mg tablet, diclofenac sodium 1% (10 mg/g) gel, paracetamol 500 mg tablet, diclofenac sodium 1% (10 mg/g) gel, paracetamol 500 mg tablet, diclofenac sodium 1% (10 mg/g) gel, paracetamol 500 mg tablet, diclofenac sodium 1% (10 mg/g) gel, paracetamol 500 mg tablet, diclofenac sodium 1% (10 mg/g) gel, vitamins (A, B1, B2, B3, C, D3) tablet, vitamins (A, B1, B2, B3, C, D3) tablet, vitamins (A, B1, B2, B3, C, D3) tablet, vitamins (A, B1, B2, B3, C, D3) tablet, vitamins (A, B1, B2, B3, C, D3) tablet, vitamins (A, B1, B2, B3, C, D3) tablet, vitamins (A, B1, B2, B3, C, D3) tablet, paraffin soft white ointment, tube, paraffin soft white ointment, tube, paraffin soft white ointment, tube, paraffin soft white ointment, tube, paraffin soft white ointment, tube, paraffin soft white ointment, tube, paraffin soft white ointment, tube, vitamins (A, B1, B2, B3, C, D3) tablet, vitamins (A, B1, B2, B3, C, D3) tablet, vitamins (A, B1, B2, B3, C, D3) tablet, vitamins (A, B1, B2, B3, C, D3) tablet, vitamins (A, B1, B2, B3, C, D3) tablet, vitamins (A, B1, B2, B3, C, D3) tablet, vitamins (A, B1, B2, B3, C, D3) tablet, paraffin soft white ointment, tube, paracetamol 500 mg tablet, paraffin soft white ointment, tube, paracetamol 500 mg tablet, paraffin soft white ointment, tube, paracetamol 500 mg tablet, paraffin soft white ointment, tube, paracetamol 500 mg tablet, paraffin soft white ointment, tube, paracetamol 500 mg tablet, paraffin soft white ointment, tube, paracetamol 500 mg tablet, paraffin soft white ointment, tube, paracetamol 500 mg tablet,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vitamins (A, B1, B2, B3, C, D3) tablet, paracetamol 500 mg tablet, paraffin soft white ointment, tube, vitamins (A, B1, B2, B3, C, D3) tablet, paracetamol 500 mg tablet, paraffin soft white ointment, tube, vitamins (A, B1, B2, B3, C, D3) tablet, paracetamol 500 mg tablet, paraffin soft white ointment, tube, vitamins (A, B1, B2, B3, C, D3) tablet, paracetamol 500 mg tablet, paraffin soft white ointment, tube, vitamins (A, B1, B2, B3, C, D3) tablet, paracetamol 500 mg tablet, paraffin soft white ointment, tube, vitamins (A, B1, B2, B3, C, D3) tablet, paracetamol 500 mg tablet, paraffin soft white ointment, tube, vitamins (A, B1, B2, B3, C, D3) tablet, paracetamol 500 mg tablet, paraffin soft white ointment, tube</t>
  </si>
  <si>
    <t>احمد محمد سعد الحربي</t>
  </si>
  <si>
    <t>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t>
  </si>
  <si>
    <t>عادل عبدالرحمن علي الزهراني</t>
  </si>
  <si>
    <t>dextromethorphan hydrobromide, sodium chloride</t>
  </si>
  <si>
    <t>dextromethorphan hydrobromide 15 mg/5 mL oral liquid, dextromethorphan hydrobromide 15 mg/5 mL oral liquid, dextromethorphan hydrobromide 15 mg/5 mL oral liquid, sodium chloride 0.9% (9 mg/mL) nasal spray, sodium chloride 0.9% (9 mg/mL) nasal spray, sodium chloride 0.9% (9 mg/mL) nasal spray, sodium chloride 0.9% (9 mg/mL) nasal spray, sodium chloride 0.9% (9 mg/mL) nasal spray, sodium chloride 0.9% (9 mg/mL) nasal spray, dextromethorphan hydrobromide 15 mg/5 mL oral liquid, dextromethorphan hydrobromide 15 mg/5 mL oral liquid, dextromethorphan hydrobromide 15 mg/5 mL oral liquid, sodium chloride 0.9% (9 mg/mL) nasal spray, sodium chloride 0.9% (9 mg/mL) nasal spray, sodium chloride 0.9% (9 mg/mL) nasal spray, dextromethorphan hydrobromide 15 mg/5 mL oral liquid, dextromethorphan hydrobromide 15 mg/5 mL oral liquid, dextromethorphan hydrobromide 15 mg/5 mL oral liquid</t>
  </si>
  <si>
    <t>فازع عطاالله عبدالهادى الروقي</t>
  </si>
  <si>
    <t>sulfamethoxazole</t>
  </si>
  <si>
    <t>sulfamethoxazole 800 mg + trimethoprim 160 mg tablet, sulfamethoxazole 800 mg + trimethoprim 160 mg tablet, sulfamethoxazole 800 mg + trimethoprim 160 mg tablet, sulfamethoxazole 800 mg + trimethoprim 160 mg tablet, sulfamethoxazole 800 mg + trimethoprim 160 mg tablet, sulfamethoxazole 800 mg + trimethoprim 160 mg tablet</t>
  </si>
  <si>
    <t>أمجد عبدالمولى حسين السلمي</t>
  </si>
  <si>
    <t>vitamins (A, B, C, D, cetirizine hydrochloride, xylometazoline hydrochloride, paracetamol</t>
  </si>
  <si>
    <t>vitamins (A, B1, B2, B3, C, D3) tablet, vitamins (A, B1, B2, B3, C, D3) tablet, cetirizine hydrochloride 10 mg tablet, cetirizine hydrochloride 10 mg tablet, xylometazoline hydrochloride 0.05% (500 microgram/mL) nasal drops, xylometazoline hydrochloride 0.05% (500 microgram/mL) nasal drops, paracetamol 500 mg tablet, paracetamol 500 mg tablet, cetirizine hydrochloride 10 mg tablet, paracetamol 500 mg tablet, cetirizine hydrochloride 10 mg tablet, paracetamol 500 mg tablet, vitamins (A, B1, B2, B3, C, D3) tablet, xylometazoline hydrochloride 0.05% (500 microgram/mL) nasal drops, vitamins (A, B1, B2, B3, C, D3) tablet, xylometazoline hydrochloride 0.05% (500 microgram/mL) nasal drops</t>
  </si>
  <si>
    <t>عبدالقادر عبدالرحمن عبدالقادر خوقير</t>
  </si>
  <si>
    <t>vitamin B complex (B, B, glimepiride, bisoprolol fumarate, amLODIPine, metFORMIN hydrochloride</t>
  </si>
  <si>
    <t>vitamin B complex (B1,B6,B12) 100,200,0.2 mg Film coated tablets [oral], vitamin B complex (B1,B6,B12) 100,200,0.2 mg Film coated tablets [oral], glimepiride 2 mg tablet, glimepiride 2 mg tablet, bisoprolol fumarate 5 mg tablet, bisoprolol fumarate 5 mg tablet, amLODIPine 5 mg tablet, metFORMIN hydrochloride 500 mg tablet, amLODIPine 5 mg tablet, metFORMIN hydrochloride 500 mg tablet, glimepiride 2 mg tablet, glimepiride 2 mg tablet, bisoprolol fumarate 5 mg tablet, bisoprolol fumarate 5 mg tablet, bisoprolol fumarate 5 mg tablet, glimepiride 2 mg tablet, amLODIPine 5 mg tablet, vitamin B complex (B1,B6,B12) 100,200,0.2 mg Film coated tablets [oral], metFORMIN hydrochloride 500 mg tablet, bisoprolol fumarate 5 mg tablet, glimepiride 2 mg tablet, amLODIPine 5 mg tablet, vitamin B complex (B1,B6,B12) 100,200,0.2 mg Film coated tablets [oral], metFORMIN hydrochloride 500 mg tablet</t>
  </si>
  <si>
    <t>محمد جعفر علي الشهري</t>
  </si>
  <si>
    <t>cetirizine hydrochloride, indapamide, valsartan, atorvastatin</t>
  </si>
  <si>
    <t>cetirizine hydrochloride 10 mg tablet, cetirizine hydrochloride 10 mg tablet, cetirizine hydrochloride 10 mg tablet, cetirizine hydrochloride 10 mg tablet, indapamide 1.5 mg tablet: modified release, valsartan 80 mg tablet, atorvastatin 20 mg tablet, indapamide 1.5 mg tablet: modified release, valsartan 80 mg tablet, atorvastatin 20 mg tablet, indapamide 1.5 mg tablet: modified release, valsartan 80 mg tablet, atorvastatin 20 mg tablet, indapamide 1.5 mg tablet: modified release, valsartan 80 mg tablet, atorvastatin 20 mg tablet, valsartan 80 mg tablet, valsartan 80 mg tablet, valsartan 80 mg tablet, valsartan 80 mg tablet, atorvastatin 20 mg tablet, atorvastatin 20 mg tablet, atorvastatin 20 mg tablet, atorvastatin 20 mg tablet, cetirizine hydrochloride 10 mg tablet, indapamide 1.5 mg tablet: modified release, cetirizine hydrochloride 10 mg tablet, indapamide 1.5 mg tablet: modified release, cetirizine hydrochloride 10 mg tablet, indapamide 1.5 mg tablet: modified release, cetirizine hydrochloride 10 mg tablet, indapamide 1.5 mg tablet: modified release, valsartan 80 mg tablet, valsartan 80 mg tablet, valsartan 80 mg tablet, valsartan 80 mg tablet, atorvastatin 20 mg tablet, valsartan 80 mg tablet, atorvastatin 20 mg tablet, valsartan 80 mg tablet, atorvastatin 20 mg tablet, valsartan 80 mg tablet, atorvastatin 20 mg tablet, valsartan 80 mg tablet, cetirizine hydrochloride 10 mg tablet, cetirizine hydrochloride 10 mg tablet, cetirizine hydrochloride 10 mg tablet, cetirizine hydrochloride 10 mg tablet, indapamide 1.5 mg tablet: modified release, indapamide 1.5 mg tablet: modified release, indapamide 1.5 mg tablet: modified release, indapamide 1.5 mg tablet: modified release, valsartan 80 mg tablet, valsartan 80 mg tablet, valsartan 80 mg tablet, valsartan 80 mg tablet, atorvastatin 20 mg tablet, atorvastatin 20 mg tablet, atorvastatin 20 mg tablet, atorvastatin 20 mg tablet, indapamide 1.5 mg tablet: modified release, cetirizine hydrochloride 10 mg tablet, indapamide 1.5 mg tablet: modified release, cetirizine hydrochloride 10 mg tablet, indapamide 1.5 mg tablet: modified release, cetirizine hydrochloride 10 mg tablet, indapamide 1.5 mg tablet: modified release, cetirizine hydrochloride 10 mg tablet, valsartan 80 mg tablet, valsartan 80 mg tablet, valsartan 80 mg tablet, valsartan 80 mg tablet, indapamide 1.5 mg tablet: modified release, indapamide 1.5 mg tablet: modified release, indapamide 1.5 mg tablet: modified release, indapamide 1.5 mg tablet: modified release, valsartan 80 mg tablet, valsartan 80 mg tablet, valsartan 80 mg tablet, valsartan 80 mg tablet, cetirizine hydrochloride 10 mg tablet, cetirizine hydrochloride 10 mg tablet, cetirizine hydrochloride 10 mg tablet, cetirizine hydrochloride 10 mg tablet, atorvastatin 20 mg tablet, atorvastatin 20 mg tablet, atorvastatin 20 mg tablet, atorvastatin 20 mg tablet</t>
  </si>
  <si>
    <t>أمل سليمان صالح زهران</t>
  </si>
  <si>
    <t>acetylsalicylic acid, gliclazide, rosuvastatin, vitamin B complex (B, B, fenofibrate, metFORMIN hydrochloride</t>
  </si>
  <si>
    <t>acetylsalicylic acid 100 mg tablet: enteric coated, acetylsalicylic acid 100 mg tablet: enteric coated, acetylsalicylic acid 100 mg tablet: enteric coated, acetylsalicylic acid 100 mg tablet: enteric coated, acetylsalicylic acid 100 mg tablet: enteric coated, gliclazide 30 mg tablet: modified release, rosuvastatin 20 mg tablet, vitamin B complex (B1,B6,B12) 100,200,0.2 mg Film coated tablets [oral], gliclazide 30 mg tablet: modified release, rosuvastatin 20 mg tablet, vitamin B complex (B1,B6,B12) 100,200,0.2 mg Film coated tablets [oral], gliclazide 30 mg tablet: modified release, rosuvastatin 20 mg tablet, vitamin B complex (B1,B6,B12) 100,200,0.2 mg Film coated tablets [oral], gliclazide 30 mg tablet: modified release, rosuvastatin 20 mg tablet, vitamin B complex (B1,B6,B12) 100,200,0.2 mg Film coated tablets [oral], gliclazide 30 mg tablet: modified release, rosuvastatin 20 mg tablet, vitamin B complex (B1,B6,B12) 100,200,0.2 mg Film coated tablets [oral], fenofibrate 145 mg tablet, fenofibrate 145 mg tablet, fenofibrate 145 mg tablet, fenofibrate 145 mg tablet, fenofibrate 145 mg tablet, metFORMIN hydrochloride 750 mg tablet: modified release, metFORMIN hydrochloride 750 mg tablet: modified release, metFORMIN hydrochloride 750 mg tablet: modified release, metFORMIN hydrochloride 750 mg tablet: modified release, metFORMIN hydrochloride 750 mg tablet: modified release, gliclazide 30 mg tablet: modified release, gliclazide 30 mg tablet: modified release, gliclazide 30 mg tablet: modified release, gliclazide 30 mg tablet: modified release, gliclazide 30 mg tablet: modified release, fenofibrate 145 mg tablet, acetylsalicylic acid 100 mg tablet: enteric coated, vitamin B complex (B1,B6,B12) 100,200,0.2 mg Film coated tablets [oral], fenofibrate 145 mg tablet, acetylsalicylic acid 100 mg tablet: enteric coated, vitamin B complex (B1,B6,B12) 100,200,0.2 mg Film coated tablets [oral], fenofibrate 145 mg tablet, acetylsalicylic acid 100 mg tablet: enteric coated, vitamin B complex (B1,B6,B12) 100,200,0.2 mg Film coated tablets [oral], fenofibrate 145 mg tablet, acetylsalicylic acid 100 mg tablet: enteric coated, vitamin B complex (B1,B6,B12) 100,200,0.2 mg Film coated tablets [oral], fenofibrate 145 mg tablet, acetylsalicylic acid 100 mg tablet: enteric coated, vitamin B complex (B1,B6,B12) 100,200,0.2 mg Film coated tablets [oral],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rosuvastatin 20 mg tablet, vitamin B complex (B1,B6,B12) 100,200,0.2 mg Film coated tablets [oral], fenofibrate 145 mg tablet, acetylsalicylic acid 100 mg tablet: enteric coated, gliclazide 30 mg tablet: modified release, rosuvastatin 20 mg tablet, vitamin B complex (B1,B6,B12) 100,200,0.2 mg Film coated tablets [oral], fenofibrate 145 mg tablet, acetylsalicylic acid 100 mg tablet: enteric coated, gliclazide 30 mg tablet: modified release, rosuvastatin 20 mg tablet, vitamin B complex (B1,B6,B12) 100,200,0.2 mg Film coated tablets [oral], fenofibrate 145 mg tablet, acetylsalicylic acid 100 mg tablet: enteric coated, gliclazide 30 mg tablet: modified release, rosuvastatin 20 mg tablet, vitamin B complex (B1,B6,B12) 100,200,0.2 mg Film coated tablets [oral], fenofibrate 145 mg tablet, acetylsalicylic acid 100 mg tablet: enteric coated, gliclazide 30 mg tablet: modified release, rosuvastatin 20 mg tablet, vitamin B complex (B1,B6,B12) 100,200,0.2 mg Film coated tablets [oral], fenofibrate 145 mg tablet, acetylsalicylic acid 100 mg tablet: enteric coated, gliclazide 30 mg tablet: modified release, gliclazide 30 mg tablet: modified release, gliclazide 30 mg tablet: modified release, gliclazide 30 mg tablet: modified release, gliclazide 30 mg tablet: modified release, gliclazide 30 mg tablet: modified release, acetylsalicylic acid 100 mg tablet: enteric coated, fenofibrate 145 mg tablet, acetylsalicylic acid 100 mg tablet: enteric coated, fenofibrate 145 mg tablet, acetylsalicylic acid 100 mg tablet: enteric coated, fenofibrate 145 mg tablet, acetylsalicylic acid 100 mg tablet: enteric coated, fenofibrate 145 mg tablet, acetylsalicylic acid 100 mg tablet: enteric coated, fenofibrate 145 mg tablet, metFORMIN hydrochloride 750 mg tablet: modified release, rosuvastatin 20 mg tablet, vitamin B complex (B1,B6,B12) 100,200,0.2 mg Film coated tablets [oral], metFORMIN hydrochloride 750 mg tablet: modified release, rosuvastatin 20 mg tablet, vitamin B complex (B1,B6,B12) 100,200,0.2 mg Film coated tablets [oral], metFORMIN hydrochloride 750 mg tablet: modified release, rosuvastatin 20 mg tablet, vitamin B complex (B1,B6,B12) 100,200,0.2 mg Film coated tablets [oral], metFORMIN hydrochloride 750 mg tablet: modified release, rosuvastatin 20 mg tablet, vitamin B complex (B1,B6,B12) 100,200,0.2 mg Film coated tablets [oral], metFORMIN hydrochloride 750 mg tablet: modified release, rosuvastatin 20 mg tablet, vitamin B complex (B1,B6,B12) 100,200,0.2 mg Film coated tablets [oral]</t>
  </si>
  <si>
    <t>علي نافل عويض العتيبي</t>
  </si>
  <si>
    <t>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 rosuvastatin 10 mg tablet</t>
  </si>
  <si>
    <t>عبدالله ناصر مصطفى هندي</t>
  </si>
  <si>
    <t>Strips (Accu-Check) 1 box Strip [n/a], Lancets (Accu-Check) 1 box Lancets [n/a], Glucometer Device (Accu-Chek) 1 device Device [n/a], Strips (Accu-Check) 1 box Strip [n/a], Lancets (Accu-Check) 1 box Lancets [n/a], Glucometer Device (Accu-Chek) 1 device Device [n/a], Strips (Accu-Check) 1 box Strip [n/a], Lancets (Accu-Check) 1 box Lancets [n/a], Glucometer Device (Accu-Chek) 1 device Device [n/a], Strips (Accu-Check) 1 box Strip [n/a], Lancets (Accu-Check) 1 box Lancets [n/a], Glucometer Device (Accu-Chek) 1 device Device [n/a], Glucometer Device (Accu-Chek) 1 device Device [n/a], Glucometer Device (Accu-Chek) 1 device Device [n/a], Glucometer Device (Accu-Chek) 1 device Device [n/a], Glucometer Device (Accu-Chek) 1 device Device [n/a], Lancets (Accu-Check) 1 box Lancets [n/a], Strips (Accu-Check) 1 box Strip [n/a], Lancets (Accu-Check) 1 box Lancets [n/a], Strips (Accu-Check) 1 box Strip [n/a], Lancets (Accu-Check) 1 box Lancets [n/a], Strips (Accu-Check) 1 box Strip [n/a], Lancets (Accu-Check) 1 box Lancets [n/a], Strips (Accu-Check) 1 box Strip [n/a], Lancets (Accu-Check) 1 box Lancets [n/a], Lancets (Accu-Check) 1 box Lancets [n/a], Lancets (Accu-Check) 1 box Lancets [n/a], Lancets (Accu-Check) 1 box Lancets [n/a], Glucometer Device (Accu-Chek) 1 device Device [n/a], Glucometer Device (Accu-Chek) 1 device Device [n/a], Glucometer Device (Accu-Chek) 1 device Device [n/a], Glucometer Device (Accu-Chek) 1 device Device [n/a], Strips (Accu-Check) 1 box Strip [n/a], Strips (Accu-Check) 1 box Strip [n/a], Strips (Accu-Check) 1 box Strip [n/a], Strips (Accu-Check) 1 box Strip [n/a]</t>
  </si>
  <si>
    <t>سليمان عبدالله عبدالرحمن نور الدين</t>
  </si>
  <si>
    <t>insulin glargine, insulin aspart, empagliflozin, metFORMIN hydrochloride</t>
  </si>
  <si>
    <t>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empagliflozin 10 mg tablet, empagliflozin 10 mg tablet, empagliflozin 10 mg tablet, empagliflozin 10 mg tablet, insulin glargine 300 international units/mL injection, 1.5 mL prefilled pen, empagliflozin 10 mg tablet, insulin glargine 300 international units/mL injection, 1.5 mL prefilled pen, empagliflozin 10 mg tablet, insulin glargine 300 international units/mL injection, 1.5 mL prefilled pen, empagliflozin 10 mg tablet, insulin glargine 300 international units/mL injection, 1.5 mL prefilled pen, empagliflozin 10 mg tablet, metFORMIN hydrochloride 500 mg tablet, metFORMIN hydrochloride 500 mg tablet, metFORMIN hydrochloride 500 mg tablet, metFORMIN hydrochloride 500 mg tablet,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empagliflozin 10 mg tablet, empagliflozin 10 mg tablet, empagliflozin 10 mg tablet, empagliflozin 10 mg tablet, metFORMIN hydrochloride 500 mg tablet, metFORMIN hydrochloride 500 mg tablet, metFORMIN hydrochloride 500 mg tablet, metFORMIN hydrochloride 500 mg tablet,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glargine 300 international units/mL injection, 1.5 mL prefilled pen, empagliflozin 10 mg tablet, insulin glargine 300 international units/mL injection, 1.5 mL prefilled pen, empagliflozin 10 mg tablet, insulin glargine 300 international units/mL injection, 1.5 mL prefilled pen, empagliflozin 10 mg tablet, insulin glargine 300 international units/mL injection, 1.5 mL prefilled pen, empagliflozin 10 mg tablet,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metFORMIN hydrochloride 500 mg tablet, metFORMIN hydrochloride 500 mg tablet, metFORMIN hydrochloride 500 mg tablet, metFORMIN hydrochloride 500 mg tablet, metFORMIN hydrochloride 500 mg tablet, empagliflozin 10 mg tablet, insulin aspart 100 international units/mL injection, 3 mL prefilled pen, metFORMIN hydrochloride 500 mg tablet, empagliflozin 10 mg tablet, insulin aspart 100 international units/mL injection, 3 mL prefilled pen, metFORMIN hydrochloride 500 mg tablet, empagliflozin 10 mg tablet, insulin aspart 100 international units/mL injection, 3 mL prefilled pen, metFORMIN hydrochloride 500 mg tablet, empagliflozin 10 mg tablet, insulin aspart 100 international units/mL injection, 3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empagliflozin 10 mg tablet, insulin aspart 100 international units/mL injection, 3 mL prefilled pen, empagliflozin 10 mg tablet, insulin aspart 100 international units/mL injection, 3 mL prefilled pen, empagliflozin 10 mg tablet, insulin aspart 100 international units/mL injection, 3 mL prefilled pen, empagliflozin 10 mg tablet, insulin aspart 100 international units/mL injection, 3 mL prefilled pen</t>
  </si>
  <si>
    <t>نور الدين نبيل عبدالقادر اكبر</t>
  </si>
  <si>
    <t>عبدالعزيز عبدالرحمن محمد الزهراني</t>
  </si>
  <si>
    <t>bisoprolol fumarate, metFORMIN hydrochloride, rosuvastatin, SITagliptin, losartan potassium</t>
  </si>
  <si>
    <t>bisoprolol fumarate 5 mg tablet, bisoprolol fumarate 5 mg tablet, bisoprolol fumarate 5 mg tablet, bisoprolol fumarate 5 mg tablet, bisoprolol fumarate 5 mg tablet, bisoprolol fumarate 5 mg tablet, metFORMIN hydrochloride 500 mg tablet, bisoprolol fumarate 5 mg tablet, metFORMIN hydrochloride 500 mg tablet, bisoprolol fumarate 5 mg tablet, metFORMIN hydrochloride 500 mg tablet, bisoprolol fumarate 5 mg tablet, metFORMIN hydrochloride 500 mg tablet, bisoprolol fumarate 5 mg tablet, metFORMIN hydrochloride 500 mg tablet, bisoprolol fumarate 5 mg tablet, metFORMIN hydrochloride 500 mg tablet, bisoprolol fumarate 5 mg tablet, rosuvastatin 10 mg tablet, SITagliptin 100 mg tablet, rosuvastatin 10 mg tablet, SITagliptin 100 mg tablet, rosuvastatin 10 mg tablet, SITagliptin 100 mg tablet, rosuvastatin 10 mg tablet, SITagliptin 100 mg tablet, rosuvastatin 10 mg tablet, SITagliptin 100 mg tablet, rosuvastatin 10 mg tablet, SITagliptin 100 mg tablet, metFORMIN hydrochloride 500 mg tablet, bisoprolol fumarate 5 mg tablet, metFORMIN hydrochloride 500 mg tablet, bisoprolol fumarate 5 mg tablet, metFORMIN hydrochloride 500 mg tablet, bisoprolol fumarate 5 mg tablet, metFORMIN hydrochloride 500 mg tablet, bisoprolol fumarate 5 mg tablet, metFORMIN hydrochloride 500 mg tablet, bisoprolol fumarate 5 mg tablet, metFORMIN hydrochloride 500 mg tablet, bisoprolol fumarate 5 mg tablet, losartan potassium 50 mg tablet, losartan potassium 50 mg tablet, losartan potassium 50 mg tablet, losartan potassium 50 mg tablet, losartan potassium 50 mg tablet, losartan potassium 50 mg tablet, SITagliptin 100 mg tablet, rosuvastatin 10 mg tablet, SITagliptin 100 mg tablet, rosuvastatin 10 mg tablet, SITagliptin 100 mg tablet, rosuvastatin 10 mg tablet, SITagliptin 100 mg tablet, rosuvastatin 10 mg tablet, SITagliptin 100 mg tablet, rosuvastatin 10 mg tablet, SITagliptin 100 mg tablet, rosuvastatin 10 mg tablet, metFORMIN hydrochloride 500 mg tablet, metFORMIN hydrochloride 500 mg tablet, metFORMIN hydrochloride 500 mg tablet, metFORMIN hydrochloride 500 mg tablet, metFORMIN hydrochloride 500 mg tablet, metFORMIN hydrochloride 500 mg tablet, SITagliptin 100 mg tablet, losartan potassium 50 mg tablet, rosuvastatin 10 mg tablet, metFORMIN hydrochloride 500 mg tablet, SITagliptin 100 mg tablet, losartan potassium 50 mg tablet, rosuvastatin 10 mg tablet, metFORMIN hydrochloride 500 mg tablet, SITagliptin 100 mg tablet, losartan potassium 50 mg tablet, rosuvastatin 10 mg tablet, metFORMIN hydrochloride 500 mg tablet, SITagliptin 100 mg tablet, losartan potassium 50 mg tablet, rosuvastatin 10 mg tablet, metFORMIN hydrochloride 500 mg tablet, SITagliptin 100 mg tablet, losartan potassium 50 mg tablet, rosuvastatin 10 mg tablet, metFORMIN hydrochloride 500 mg tablet, SITagliptin 100 mg tablet, losartan potassium 50 mg tablet, rosuvastatin 10 mg tablet, metFORMIN hydrochloride 500 mg tablet, losartan potassium 50 mg tablet, losartan potassium 50 mg tablet, losartan potassium 50 mg tablet, losartan potassium 50 mg tablet, losartan potassium 50 mg tablet, losartan potassium 50 mg tablet, rosuvastatin 10 mg tablet, SITagliptin 100 mg tablet, losartan potassium 50 mg tablet, bisoprolol fumarate 5 mg tablet, rosuvastatin 10 mg tablet, SITagliptin 100 mg tablet, losartan potassium 50 mg tablet, bisoprolol fumarate 5 mg tablet, rosuvastatin 10 mg tablet, SITagliptin 100 mg tablet, losartan potassium 50 mg tablet, bisoprolol fumarate 5 mg tablet, rosuvastatin 10 mg tablet, SITagliptin 100 mg tablet, losartan potassium 50 mg tablet, bisoprolol fumarate 5 mg tablet, rosuvastatin 10 mg tablet, SITagliptin 100 mg tablet, losartan potassium 50 mg tablet, bisoprolol fumarate 5 mg tablet, rosuvastatin 10 mg tablet, SITagliptin 100 mg tablet, losartan potassium 50 mg tablet, bisoprolol fumarate 5 mg tablet</t>
  </si>
  <si>
    <t>نرفين عبدالرؤف بن صالح الصبان</t>
  </si>
  <si>
    <t>mebeverine hydrochloride, metFORMIN hydrochloride, SITagliptin, rosuvastatin</t>
  </si>
  <si>
    <t>mebeverine hydrochloride 200 mg capsule: modified release, mebeverine hydrochloride 200 mg capsule: modified release, mebeverine hydrochloride 200 mg capsule: modified release, metFORMIN hydrochloride 500 mg tablet, metFORMIN hydrochloride 500 mg tablet, metFORMIN hydrochloride 500 mg tablet, SITagliptin 100 mg tablet, SITagliptin 100 mg tablet, SITagliptin 100 mg tablet, mebeverine hydrochloride 200 mg capsule: modified release, mebeverine hydrochloride 200 mg capsule: modified release, mebeverine hydrochloride 200 mg capsule: modified release, rosuvastatin 20 mg tablet, metFORMIN hydrochloride 500 mg tablet, rosuvastatin 20 mg tablet, metFORMIN hydrochloride 500 mg tablet, rosuvastatin 20 mg tablet, metFORMIN hydrochloride 500 mg tablet, SITagliptin 100 mg tablet, rosuvastatin 20 mg tablet, SITagliptin 100 mg tablet, rosuvastatin 20 mg tablet, SITagliptin 100 mg tablet, rosuvastatin 20 mg tablet, metFORMIN hydrochloride 500 mg tablet, metFORMIN hydrochloride 500 mg tablet, metFORMIN hydrochloride 500 mg tablet, mebeverine hydrochloride 200 mg capsule: modified release, mebeverine hydrochloride 200 mg capsule: modified release, mebeverine hydrochloride 200 mg capsule: modified release, SITagliptin 100 mg tablet, SITagliptin 100 mg tablet, SITagliptin 100 mg tablet, rosuvastatin 20 mg tablet, rosuvastatin 20 mg tablet, rosuvastatin 20 mg tablet, rosuvastatin 20 mg tablet, rosuvastatin 20 mg tablet, rosuvastatin 20 mg tablet, SITagliptin 100 mg tablet, SITagliptin 100 mg tablet, SITagliptin 100 mg tablet, mebeverine hydrochloride 200 mg capsule: modified release, mebeverine hydrochloride 200 mg capsule: modified release, mebeverine hydrochloride 200 mg capsule: modified release, metFORMIN hydrochloride 500 mg tablet, metFORMIN hydrochloride 500 mg tablet, metFORMIN hydrochloride 500 mg tablet</t>
  </si>
  <si>
    <t>عبدالله على عوض على</t>
  </si>
  <si>
    <t>amLODIPine, omeprazole, diclofenac sodium</t>
  </si>
  <si>
    <t>amLODIPine 10 mg capsule, omeprazole 20 mg tablet: enteric coated, amLODIPine 10 mg capsule, omeprazole 20 mg tablet: enteric coated, amLODIPine 10 mg capsule, omeprazole 20 mg tablet: enteric coated, diclofenac sodium 1% (10 mg/g) gel, diclofenac sodium 1% (10 mg/g) gel, diclofenac sodium 1% (10 mg/g) gel, diclofenac sodium 1% (10 mg/g) gel, diclofenac sodium 1% (10 mg/g) gel, diclofenac sodium 1% (10 mg/g) gel, omeprazole 20 mg tablet: enteric coated, amLODIPine 10 mg capsule, omeprazole 20 mg tablet: enteric coated, amLODIPine 10 mg capsule, omeprazole 20 mg tablet: enteric coated, amLODIPine 10 mg capsule</t>
  </si>
  <si>
    <t>عائض سعيد سلطان آل سلطان</t>
  </si>
  <si>
    <t>diclofenac sodium, metFORMIN hydrochloride, perindopril arginine, empagliflozin, acetylsalicylic acid, amLODIPine, linagliptin, rosuvastatin, carvedilol, vitamin B complex (B</t>
  </si>
  <si>
    <t>diclofenac sodium 1% (10 mg/g) gel, diclofenac sodium 1% (10 mg/g) gel, diclofenac sodium 1% (10 mg/g) gel, diclofenac sodium 1% (10 mg/g) gel, metFORMIN hydrochloride 500 mg tablet, perindopril arginine 5 mg tablet, empagliflozin 25 mg tablet, metFORMIN hydrochloride 500 mg tablet, perindopril arginine 5 mg tablet, empagliflozin 25 mg tablet, metFORMIN hydrochloride 500 mg tablet, perindopril arginine 5 mg tablet, empagliflozin 25 mg tablet, metFORMIN hydrochloride 500 mg tablet, perindopril arginine 5 mg tablet, empagliflozin 25 mg tablet, acetylsalicylic acid 100 mg tablet: enteric coated, acetylsalicylic acid 100 mg tablet: enteric coated, acetylsalicylic acid 100 mg tablet: enteric coated, acetylsalicylic acid 100 mg tablet: enteric coated, amLODIPine 5 mg tablet, linagliptin 5 mg tablet, rosuvastatin 10 mg tablet, carvedilol 25 mg tablet, vitamin B complex (B1,B6,B12) 100,200,0.2 mg Film coated tablets [oral], amLODIPine 5 mg tablet, linagliptin 5 mg tablet, rosuvastatin 10 mg tablet, carvedilol 25 mg tablet, vitamin B complex (B1,B6,B12) 100,200,0.2 mg Film coated tablets [oral], amLODIPine 5 mg tablet, linagliptin 5 mg tablet, rosuvastatin 10 mg tablet, carvedilol 25 mg tablet, vitamin B complex (B1,B6,B12) 100,200,0.2 mg Film coated tablets [oral], amLODIPine 5 mg tablet, linagliptin 5 mg tablet, rosuvastatin 10 mg tablet, carvedilol 25 mg tablet, vitamin B complex (B1,B6,B12) 100,200,0.2 mg Film coated tablets [oral], perindopril arginine 5 mg tablet, metFORMIN hydrochloride 500 mg tablet, carvedilol 25 mg tablet, linagliptin 5 mg tablet, perindopril arginine 5 mg tablet, metFORMIN hydrochloride 500 mg tablet, carvedilol 25 mg tablet, linagliptin 5 mg tablet, perindopril arginine 5 mg tablet, metFORMIN hydrochloride 500 mg tablet, carvedilol 25 mg tablet, linagliptin 5 mg tablet, perindopril arginine 5 mg tablet, metFORMIN hydrochloride 500 mg tablet, carvedilol 25 mg tablet, linagliptin 5 mg tablet, diclofenac sodium 1% (10 mg/g) gel, diclofenac sodium 1% (10 mg/g) gel, diclofenac sodium 1% (10 mg/g) gel, diclofenac sodium 1% (10 mg/g) gel, rosuvastatin 10 mg tablet, amLODIPine 5 mg tablet, rosuvastatin 10 mg tablet, amLODIPine 5 mg tablet, rosuvastatin 10 mg tablet, amLODIPine 5 mg tablet, rosuvastatin 10 mg tablet, amLODIPine 5 mg tablet, vitamin B complex (B1,B6,B12) 100,200,0.2 mg Film coated tablets [oral], empagliflozin 25 mg tablet, acetylsalicylic acid 100 mg tablet: enteric coated, vitamin B complex (B1,B6,B12) 100,200,0.2 mg Film coated tablets [oral], empagliflozin 25 mg tablet, acetylsalicylic acid 100 mg tablet: enteric coated, vitamin B complex (B1,B6,B12) 100,200,0.2 mg Film coated tablets [oral], empagliflozin 25 mg tablet, acetylsalicylic acid 100 mg tablet: enteric coated, vitamin B complex (B1,B6,B12) 100,200,0.2 mg Film coated tablets [oral], empagliflozin 25 mg tablet, acetylsalicylic acid 100 mg tablet: enteric coated</t>
  </si>
  <si>
    <t>حسن جمعان عبدالرحمن عسيري</t>
  </si>
  <si>
    <t>gliclazide, SITagliptin, metFORMIN hydrochloride</t>
  </si>
  <si>
    <t>gliclazide 60 mg tablet: modified release, gliclazide 60 mg tablet: modified release, gliclazide 30 mg tablet: modified release, gliclazide 30 mg tablet: modified release, SITagliptin 100 mg tablet, SITagliptin 100 mg tablet, metFORMIN hydrochloride 500 mg tablet, metFORMIN hydrochloride 500 mg tablet, SITagliptin 100 mg tablet, gliclazide 30 mg tablet: modified release, metFORMIN hydrochloride 500 mg tablet, SITagliptin 100 mg tablet, gliclazide 30 mg tablet: modified release, metFORMIN hydrochloride 500 mg tablet, gliclazide 60 mg tablet: modified release, gliclazide 60 mg tablet: modified release</t>
  </si>
  <si>
    <t>طارق محمد حمد العليان</t>
  </si>
  <si>
    <t>valsartan, amLODIPine, atorvastatin, acetylsalicylic acid</t>
  </si>
  <si>
    <t>valsartan 80 mg tablet, valsartan 80 mg tablet, valsartan 80 mg tablet, valsartan 80 mg tablet, valsartan 80 mg tablet, valsartan 80 mg tablet, valsartan 80 mg tablet, amLODIPine 5 mg tablet, atorvastatin 10 mg tablet, amLODIPine 5 mg tablet, atorvastatin 10 mg tablet, amLODIPine 5 mg tablet, atorvastatin 10 mg tablet, amLODIPine 5 mg tablet, atorvastatin 10 mg tablet, amLODIPine 5 mg tablet, atorvastatin 10 mg tablet, amLODIPine 5 mg tablet, atorvastatin 10 mg tablet, amLODIPine 5 mg tablet, atorvastatin 10 mg tablet,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valsartan 80 mg tablet, atorvastatin 10 mg tablet, valsartan 80 mg tablet, atorvastatin 10 mg tablet, valsartan 80 mg tablet, atorvastatin 10 mg tablet, valsartan 80 mg tablet, atorvastatin 10 mg tablet, valsartan 80 mg tablet, atorvastatin 10 mg tablet, valsartan 80 mg tablet, atorvastatin 10 mg tablet, valsartan 80 mg tablet, atorvastatin 10 mg tablet, amLODIPine 5 mg tablet, amLODIPine 5 mg tablet, amLODIPine 5 mg tablet, amLODIPine 5 mg tablet, amLODIPine 5 mg tablet, amLODIPine 5 mg tablet, amLODIPine 5 mg tablet,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amLODIPine 5 mg tablet, amLODIPine 5 mg tablet, amLODIPine 5 mg tablet, amLODIPine 5 mg tablet, amLODIPine 5 mg tablet, amLODIPine 5 mg tablet, amLODIPine 5 mg tablet, atorvastatin 10 mg tablet, valsartan 80 mg tablet, atorvastatin 10 mg tablet, valsartan 80 mg tablet, atorvastatin 10 mg tablet, valsartan 80 mg tablet, atorvastatin 10 mg tablet, valsartan 80 mg tablet, atorvastatin 10 mg tablet, valsartan 80 mg tablet, atorvastatin 10 mg tablet, valsartan 80 mg tablet, atorvastatin 10 mg tablet, valsartan 80 mg tablet</t>
  </si>
  <si>
    <t>محمد عارف احمد الغامدي</t>
  </si>
  <si>
    <t>colecalciferol, atorvastatin, metFORMIN hydrochloride</t>
  </si>
  <si>
    <t>colecalciferol 50 000 international units tablet, atorvastatin 10 mg tablet, metFORMIN hydrochloride 500 mg tablet, colecalciferol 50 000 international units tablet, atorvastatin 10 mg tablet, metFORMIN hydrochloride 500 mg tablet, colecalciferol 50 000 international units tablet, atorvastatin 10 mg tablet, metFORMIN hydrochloride 500 mg tablet, metFORMIN hydrochloride 500 mg tablet, colecalciferol 50 000 international units tablet, metFORMIN hydrochloride 500 mg tablet, colecalciferol 50 000 international units tablet, metFORMIN hydrochloride 500 mg tablet, colecalciferol 50 000 international units tablet, atorvastatin 10 mg tablet, atorvastatin 10 mg tablet, atorvastatin 10 mg tablet</t>
  </si>
  <si>
    <t>مريم صالح عبود باعزان</t>
  </si>
  <si>
    <t>انيسه عبدالله علي باسلم</t>
  </si>
  <si>
    <t>vitamin B complex (B, B, atorvastatin, valsartan, levothyroxine sodium, metFORMIN hydrochloride, empagliflozin</t>
  </si>
  <si>
    <t>vitamin B complex (B1,B6,B12) 100,200,0.2 mg Film coated tablets [oral], atorvastatin 10 mg tablet, valsartan 80 mg tablet, levothyroxine sodium 50 microgram tablet, vitamin B complex (B1,B6,B12) 100,200,0.2 mg Film coated tablets [oral], atorvastatin 10 mg tablet, valsartan 80 mg tablet, levothyroxine sodium 50 microgram tablet, vitamin B complex (B1,B6,B12) 100,200,0.2 mg Film coated tablets [oral], atorvastatin 10 mg tablet, valsartan 80 mg tablet, levothyroxine sodium 50 microgram tablet, vitamin B complex (B1,B6,B12) 100,200,0.2 mg Film coated tablets [oral], atorvastatin 10 mg tablet, valsartan 80 mg tablet, levothyroxine sodium 50 microgram tablet, metFORMIN hydrochloride 500 mg tablet, empagliflozin 25 mg tablet, metFORMIN hydrochloride 500 mg tablet, empagliflozin 25 mg tablet, metFORMIN hydrochloride 500 mg tablet, empagliflozin 25 mg tablet, metFORMIN hydrochloride 500 mg tablet, empagliflozin 25 mg tablet, empagliflozin 25 mg tablet, empagliflozin 25 mg tablet, empagliflozin 25 mg tablet, empagliflozin 25 mg tablet, levothyroxine sodium 50 microgram tablet, valsartan 80 mg tablet, levothyroxine sodium 50 microgram tablet, valsartan 80 mg tablet, levothyroxine sodium 50 microgram tablet, valsartan 80 mg tablet, levothyroxine sodium 50 microgram tablet, valsartan 80 mg tablet, atorvastatin 10 mg tablet, atorvastatin 10 mg tablet, atorvastatin 10 mg tablet, atorvastatin 10 mg tablet,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valsartan 80 mg tablet, atorvastatin 10 mg tablet, valsartan 80 mg tablet, atorvastatin 10 mg tablet, valsartan 80 mg tablet, atorvastatin 10 mg tablet, valsartan 80 mg tablet, atorvastatin 10 mg tablet, vitamin B complex (B1,B6,B12) 100,200,0.2 mg Film coated tablets [oral], vitamin B complex (B1,B6,B12) 100,200,0.2 mg Film coated tablets [oral], vitamin B complex (B1,B6,B12) 100,200,0.2 mg Film coated tablets [oral], vitamin B complex (B1,B6,B12) 100,200,0.2 mg Film coated tablets [oral], empagliflozin 25 mg tablet, empagliflozin 25 mg tablet, empagliflozin 25 mg tablet, empagliflozin 25 mg tablet, levothyroxine sodium 50 microgram tablet, metFORMIN hydrochloride 500 mg tablet, levothyroxine sodium 50 microgram tablet, metFORMIN hydrochloride 500 mg tablet, levothyroxine sodium 50 microgram tablet, metFORMIN hydrochloride 500 mg tablet, levothyroxine sodium 50 microgram tablet, metFORMIN hydrochloride 500 mg tablet</t>
  </si>
  <si>
    <t>مستوره عبدالله مبارك الدوسري</t>
  </si>
  <si>
    <t>escitalopram, insulin glargine (lantus), insulin aspart, vitamin B complex (B, B, Insulin Pen Needle</t>
  </si>
  <si>
    <t>escitalopram 10 mg tablet, escitalopram 10 mg tablet, escitalopram 10 mg tablet, insulin glargine (lantus) 100 international units/mL injection, 3 mL prefilled pen, insulin aspart 100 international units/mL injection, 3 mL prefilled pen, insulin glargine (lantus) 100 international units/mL injection, 3 mL prefilled pen, insulin aspart 100 international units/mL injection, 3 mL prefilled pen, insulin glargine (lantus) 100 international units/mL injection, 3 mL prefilled pen, insulin aspart 100 international units/mL injection, 3 mL prefilled pen, vitamin B complex (B1,B6,B12) 100,200,0.2 mg Film coated tablets [oral], vitamin B complex (B1,B6,B12) 100,200,0.2 mg Film coated tablets [oral], vitamin B complex (B1,B6,B12) 100,200,0.2 mg Film coated tablets [oral], Insulin Pen Needle 4mm Needle [sc], Insulin Pen Needle 4mm Needle [sc], Insulin Pen Needle 4mm Needle [sc], escitalopram 10 mg tablet, insulin glargine (lantus) 100 international units/mL injection, 3 mL prefilled pen, escitalopram 10 mg tablet, insulin glargine (lantus) 100 international units/mL injection, 3 mL prefilled pen, escitalopram 10 mg tablet, insulin glargine (lantus) 100 international units/mL injection, 3 mL prefilled pen, vitamin B complex (B1,B6,B12) 100,200,0.2 mg Film coated tablets [oral], insulin aspart 100 international units/mL injection, 3 mL prefilled pen, vitamin B complex (B1,B6,B12) 100,200,0.2 mg Film coated tablets [oral], insulin aspart 100 international units/mL injection, 3 mL prefilled pen, vitamin B complex (B1,B6,B12) 100,200,0.2 mg Film coated tablets [oral], insulin aspart 100 international units/mL injection, 3 mL prefilled pen, Insulin Pen Needle 4mm Needle [sc], Insulin Pen Needle 4mm Needle [sc], Insulin Pen Needle 4mm Needle [sc]</t>
  </si>
  <si>
    <t>محمد على محمد الاسمرى</t>
  </si>
  <si>
    <t>colecalciferol, linagliptin, empagliflozin</t>
  </si>
  <si>
    <t>colecalciferol 50 000 international units tablet, colecalciferol 50 000 international units tablet, colecalciferol 50 000 international units tablet, linagliptin 5 mg tablet, empagliflozin 25 mg tablet, linagliptin 5 mg tablet, empagliflozin 25 mg tablet, linagliptin 5 mg tablet, empagliflozin 25 mg tablet, colecalciferol 50 000 international units tablet, colecalciferol 50 000 international units tablet, colecalciferol 50 000 international units tablet, empagliflozin 25 mg tablet, linagliptin 5 mg tablet, empagliflozin 25 mg tablet, linagliptin 5 mg tablet, empagliflozin 25 mg tablet, linagliptin 5 mg tablet, empagliflozin 25 mg tablet, empagliflozin 25 mg tablet, empagliflozin 25 mg tablet, linagliptin 5 mg tablet, linagliptin 5 mg tablet, linagliptin 5 mg tablet, colecalciferol 50 000 international units tablet, colecalciferol 50 000 international units tablet, colecalciferol 50 000 international units tablet</t>
  </si>
  <si>
    <t>منال محمد علي العيافي</t>
  </si>
  <si>
    <t>هبه هاشم على معزوزه</t>
  </si>
  <si>
    <t>ibuprofen, paracetamol, amoxicillin</t>
  </si>
  <si>
    <t>ibuprofen 400 mg tablet, paracetamol 500 mg + codeine phosphate 8 mg + caffeine 30 mg tablet, ibuprofen 400 mg tablet, paracetamol 500 mg + codeine phosphate 8 mg + caffeine 30 mg tablet, ibuprofen 400 mg tablet, paracetamol 500 mg + codeine phosphate 8 mg + caffeine 30 mg tablet, ibuprofen 400 mg tablet, paracetamol 500 mg + codeine phosphate 8 mg + caffeine 30 mg tablet, ibuprofen 400 mg tablet, paracetamol 500 mg + codeine phosphate 8 mg + caffeine 30 mg tablet, ibuprofen 400 mg tablet, paracetamol 500 mg + codeine phosphate 8 mg + caffeine 30 mg tablet, ibuprofen 400 mg tablet, paracetamol 500 mg + codeine phosphate 8 mg + caffeine 30 mg tablet, ibuprofen 400 mg tablet, paracetamol 500 mg + codeine phosphate 8 mg + caffeine 30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ibuprofen 400 mg tablet, ibuprofen 400 mg tablet, ibuprofen 400 mg tablet, ibuprofen 400 mg tablet, ibuprofen 400 mg tablet, ibuprofen 400 mg tablet, ibuprofen 400 mg tablet, ibuprofen 400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ibuprofen 400 mg tablet, ibuprofen 400 mg tablet, ibuprofen 400 mg tablet, ibuprofen 400 mg tablet, ibuprofen 400 mg tablet, ibuprofen 400 mg tablet, ibuprofen 400 mg tablet, ibuprofen 400 mg tablet, paracetamol 500 mg + codeine phosphate 8 mg + caffeine 30 mg tablet, amoxicillin 500 mg + clavulanic acid 125 mg tablet, paracetamol 500 mg + codeine phosphate 8 mg + caffeine 30 mg tablet, amoxicillin 500 mg + clavulanic acid 125 mg tablet, paracetamol 500 mg + codeine phosphate 8 mg + caffeine 30 mg tablet, amoxicillin 500 mg + clavulanic acid 125 mg tablet, paracetamol 500 mg + codeine phosphate 8 mg + caffeine 30 mg tablet, amoxicillin 500 mg + clavulanic acid 125 mg tablet, paracetamol 500 mg + codeine phosphate 8 mg + caffeine 30 mg tablet, amoxicillin 500 mg + clavulanic acid 125 mg tablet, paracetamol 500 mg + codeine phosphate 8 mg + caffeine 30 mg tablet, amoxicillin 500 mg + clavulanic acid 125 mg tablet, paracetamol 500 mg + codeine phosphate 8 mg + caffeine 30 mg tablet, amoxicillin 500 mg + clavulanic acid 125 mg tablet, paracetamol 500 mg + codeine phosphate 8 mg + caffeine 30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ibuprofen 400 mg tablet, ibuprofen 400 mg tablet, ibuprofen 400 mg tablet, ibuprofen 400 mg tablet, ibuprofen 400 mg tablet, ibuprofen 400 mg tablet, ibuprofen 400 mg tablet, ibuprofen 400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t>
  </si>
  <si>
    <t>بدر نجم عبدالهادي العتيبي</t>
  </si>
  <si>
    <t>empagliflozin, atorvastatin, metFORMIN hydrochloride, vitamin B complex (B, B</t>
  </si>
  <si>
    <t>empagliflozin 25 mg tablet, atorvastatin 20 mg tablet, metFORMIN hydrochloride 750 mg tablet: modified release, empagliflozin 25 mg tablet, atorvastatin 20 mg tablet, metFORMIN hydrochloride 750 mg tablet: modified release, empagliflozin 25 mg tablet, atorvastatin 20 mg tablet, metFORMIN hydrochloride 750 mg tablet: modified release, empagliflozin 25 mg tablet, atorvastatin 20 mg tablet, metFORMIN hydrochloride 750 mg tablet: modified release, vitamin B complex (B1,B6,B12) 100,200,0.2 mg Film coated tablets [oral], vitamin B complex (B1,B6,B12) 100,200,0.2 mg Film coated tablets [oral], vitamin B complex (B1,B6,B12) 100,200,0.2 mg Film coated tablets [oral], vitamin B complex (B1,B6,B12) 100,200,0.2 mg Film coated tablets [oral], metFORMIN hydrochloride 750 mg tablet: modified release, metFORMIN hydrochloride 750 mg tablet: modified release, metFORMIN hydrochloride 750 mg tablet: modified release, metFORMIN hydrochloride 750 mg tablet: modified release, empagliflozin 25 mg tablet, atorvastatin 20 mg tablet, empagliflozin 25 mg tablet, atorvastatin 20 mg tablet, empagliflozin 25 mg tablet, atorvastatin 20 mg tablet, empagliflozin 25 mg tablet, atorvastatin 20 mg tablet, vitamin B complex (B1,B6,B12) 100,200,0.2 mg Film coated tablets [oral], vitamin B complex (B1,B6,B12) 100,200,0.2 mg Film coated tablets [oral], vitamin B complex (B1,B6,B12) 100,200,0.2 mg Film coated tablets [oral], vitamin B complex (B1,B6,B12) 100,200,0.2 mg Film coated tablets [oral], atorvastatin 20 mg tablet, metFORMIN hydrochloride 750 mg tablet: modified release, atorvastatin 20 mg tablet, metFORMIN hydrochloride 750 mg tablet: modified release, atorvastatin 20 mg tablet, metFORMIN hydrochloride 750 mg tablet: modified release, atorvastatin 20 mg tablet, metFORMIN hydrochloride 750 mg tablet: modified release, empagliflozin 25 mg tablet, vitamin B complex (B1,B6,B12) 100,200,0.2 mg Film coated tablets [oral], empagliflozin 25 mg tablet, vitamin B complex (B1,B6,B12) 100,200,0.2 mg Film coated tablets [oral], empagliflozin 25 mg tablet, vitamin B complex (B1,B6,B12) 100,200,0.2 mg Film coated tablets [oral], empagliflozin 25 mg tablet, vitamin B complex (B1,B6,B12) 100,200,0.2 mg Film coated tablets [oral], metFORMIN hydrochloride 750 mg tablet: modified release, metFORMIN hydrochloride 750 mg tablet: modified release, metFORMIN hydrochloride 750 mg tablet: modified release, metFORMIN hydrochloride 750 mg tablet: modified release, empagliflozin 25 mg tablet, atorvastatin 20 mg tablet, empagliflozin 25 mg tablet, atorvastatin 20 mg tablet, empagliflozin 25 mg tablet, atorvastatin 20 mg tablet, empagliflozin 25 mg tablet, atorvastatin 20 mg tablet, vitamin B complex (B1,B6,B12) 100,200,0.2 mg Film coated tablets [oral], vitamin B complex (B1,B6,B12) 100,200,0.2 mg Film coated tablets [oral], vitamin B complex (B1,B6,B12) 100,200,0.2 mg Film coated tablets [oral], vitamin B complex (B1,B6,B12) 100,200,0.2 mg Film coated tablets [oral], metFORMIN hydrochloride 750 mg tablet: modified release, metFORMIN hydrochloride 750 mg tablet: modified release, metFORMIN hydrochloride 750 mg tablet: modified release, metFORMIN hydrochloride 750 mg tablet: modified release, vitamin B complex (B1,B6,B12) 100,200,0.2 mg Film coated tablets [oral], vitamin B complex (B1,B6,B12) 100,200,0.2 mg Film coated tablets [oral], vitamin B complex (B1,B6,B12) 100,200,0.2 mg Film coated tablets [oral], vitamin B complex (B1,B6,B12) 100,200,0.2 mg Film coated tablets [oral]</t>
  </si>
  <si>
    <t>محمد موسى فهد العمري</t>
  </si>
  <si>
    <t>SITagliptin, atorvastatin, metFORMIN hydrochloride, empagliflozin</t>
  </si>
  <si>
    <t>SITagliptin 100 mg tablet, atorvastatin 10 mg tablet, SITagliptin 100 mg tablet, atorvastatin 10 mg tablet, SITagliptin 100 mg tablet, atorvastatin 10 mg tablet, SITagliptin 100 mg tablet, atorvastatin 10 mg tablet, SITagliptin 100 mg tablet, atorvastatin 10 mg tablet, SITagliptin 100 mg tablet, atorvastatin 10 mg tablet, metFORMIN hydrochloride 500 mg tablet, metFORMIN hydrochloride 500 mg tablet, metFORMIN hydrochloride 500 mg tablet, metFORMIN hydrochloride 500 mg tablet, metFORMIN hydrochloride 500 mg tablet, metFORMIN hydrochloride 500 mg tablet, empagliflozin 25 mg tablet, empagliflozin 25 mg tablet, empagliflozin 25 mg tablet, empagliflozin 25 mg tablet, empagliflozin 25 mg tablet, empagliflozin 25 mg tablet, SITagliptin 100 mg tablet, SITagliptin 100 mg tablet, SITagliptin 100 mg tablet, SITagliptin 100 mg tablet, SITagliptin 100 mg tablet, SITagliptin 100 mg tablet, empagliflozin 25 mg tablet, metFORMIN hydrochloride 500 mg tablet, atorvastatin 10 mg tablet, empagliflozin 25 mg tablet, metFORMIN hydrochloride 500 mg tablet, atorvastatin 10 mg tablet, empagliflozin 25 mg tablet, metFORMIN hydrochloride 500 mg tablet, atorvastatin 10 mg tablet, empagliflozin 25 mg tablet, metFORMIN hydrochloride 500 mg tablet, atorvastatin 10 mg tablet, empagliflozin 25 mg tablet, metFORMIN hydrochloride 500 mg tablet, atorvastatin 10 mg tablet, empagliflozin 25 mg tablet, metFORMIN hydrochloride 500 mg tablet, atorvastatin 10 mg tablet, metFORMIN hydrochloride 500 mg tablet, metFORMIN hydrochloride 500 mg tablet, metFORMIN hydrochloride 500 mg tablet, metFORMIN hydrochloride 500 mg tablet, metFORMIN hydrochloride 500 mg tablet, metFORMIN hydrochloride 500 mg tablet, empagliflozin 25 mg tablet, empagliflozin 25 mg tablet, empagliflozin 25 mg tablet, empagliflozin 25 mg tablet, empagliflozin 25 mg tablet, empagliflozin 25 mg tablet, SITagliptin 100 mg tablet, SITagliptin 100 mg tablet, SITagliptin 100 mg tablet, SITagliptin 100 mg tablet, SITagliptin 100 mg tablet, SITagliptin 100 mg tablet, SITagliptin 100 mg tablet, SITagliptin 100 mg tablet, SITagliptin 100 mg tablet, SITagliptin 100 mg tablet, SITagliptin 100 mg tablet, SITagliptin 100 mg tablet, empagliflozin 25 mg tablet, empagliflozin 25 mg tablet, empagliflozin 25 mg tablet, empagliflozin 25 mg tablet, empagliflozin 25 mg tablet, empagliflozin 25 mg tablet, SITagliptin 100 mg tablet, SITagliptin 100 mg tablet, SITagliptin 100 mg tablet, SITagliptin 100 mg tablet, SITagliptin 100 mg tablet, SITagliptin 100 mg tablet, metFORMIN hydrochloride 500 mg tablet, metFORMIN hydrochloride 500 mg tablet, metFORMIN hydrochloride 500 mg tablet, metFORMIN hydrochloride 500 mg tablet, metFORMIN hydrochloride 500 mg tablet, metFORMIN hydrochloride 500 mg tablet</t>
  </si>
  <si>
    <t>احمد هاشم محمد الهاشمي الامير</t>
  </si>
  <si>
    <t>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t>
  </si>
  <si>
    <t>حميد بن حامد بن سلامه اليوبي</t>
  </si>
  <si>
    <t>vitamin B complex (B, B, mebeverine hydrochloride, rosuvastatin, diclofenac sodium, linagliptin, metFORMIN hydrochloride, colecalciferol, lidocaine hydrochloride, paracetamol</t>
  </si>
  <si>
    <t>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mebeverine hydrochloride 200 mg capsule: modified release, rosuvastatin 10 mg tablet, mebeverine hydrochloride 200 mg capsule: modified release, rosuvastatin 10 mg tablet, mebeverine hydrochloride 200 mg capsule: modified release, rosuvastatin 10 mg tablet, mebeverine hydrochloride 200 mg capsule: modified release, rosuvastatin 10 mg tablet, mebeverine hydrochloride 200 mg capsule: modified release, rosuvastatin 10 mg tablet, mebeverine hydrochloride 200 mg capsule: modified release, rosuvastatin 10 mg tablet, mebeverine hydrochloride 200 mg capsule: modified release, rosuvastatin 10 mg tablet, diclofenac sodium 1% (10 mg/g) gel, diclofenac sodium 1% (10 mg/g) gel, diclofenac sodium 1% (10 mg/g) gel, diclofenac sodium 1% (10 mg/g) gel, diclofenac sodium 1% (10 mg/g) gel, diclofenac sodium 1% (10 mg/g) gel, diclofenac sodium 1% (10 mg/g) gel, linagliptin 5 mg tablet, linagliptin 5 mg tablet, linagliptin 5 mg tablet, linagliptin 5 mg tablet, linagliptin 5 mg tablet, linagliptin 5 mg tablet, linagliptin 5 mg tablet, metFORMIN hydrochloride 500 mg tablet, colecalciferol 50 000 international units tablet, metFORMIN hydrochloride 500 mg tablet, colecalciferol 50 000 international units tablet, metFORMIN hydrochloride 500 mg tablet, colecalciferol 50 000 international units tablet, metFORMIN hydrochloride 500 mg tablet, colecalciferol 50 000 international units tablet, metFORMIN hydrochloride 500 mg tablet, colecalciferol 50 000 international units tablet, metFORMIN hydrochloride 500 mg tablet, colecalciferol 50 000 international units tablet, metFORMIN hydrochloride 500 mg tablet, colecalciferol 50 000 international units tablet, lidocaine hydrochloride 2% (20 mg/g) + tribenoside 5% (50 mg/g) rectal ointment, paracetamol 500 mg tablet, lidocaine hydrochloride 2% (20 mg/g) + tribenoside 5% (50 mg/g) rectal ointment, paracetamol 500 mg tablet, lidocaine hydrochloride 2% (20 mg/g) + tribenoside 5% (50 mg/g) rectal ointment, paracetamol 500 mg tablet, lidocaine hydrochloride 2% (20 mg/g) + tribenoside 5% (50 mg/g) rectal ointment, paracetamol 500 mg tablet, lidocaine hydrochloride 2% (20 mg/g) + tribenoside 5% (50 mg/g) rectal ointment, paracetamol 500 mg tablet, lidocaine hydrochloride 2% (20 mg/g) + tribenoside 5% (50 mg/g) rectal ointment, paracetamol 500 mg tablet, lidocaine hydrochloride 2% (20 mg/g) + tribenoside 5% (50 mg/g) rectal ointment, paracetamol 500 mg tablet, linagliptin 5 mg tablet, diclofenac sodium 1% (10 mg/g) gel, linagliptin 5 mg tablet, diclofenac sodium 1% (10 mg/g) gel, linagliptin 5 mg tablet, diclofenac sodium 1% (10 mg/g) gel, linagliptin 5 mg tablet, diclofenac sodium 1% (10 mg/g) gel, linagliptin 5 mg tablet, diclofenac sodium 1% (10 mg/g) gel, linagliptin 5 mg tablet, diclofenac sodium 1% (10 mg/g) gel, linagliptin 5 mg tablet, diclofenac sodium 1% (10 mg/g) gel, vitamin B complex (B1,B6,B12) 100,200,0.2 mg Film coated tablets [oral], lidocaine hydrochloride 2% (20 mg/g) + tribenoside 5% (50 mg/g) rectal ointment, vitamin B complex (B1,B6,B12) 100,200,0.2 mg Film coated tablets [oral], lidocaine hydrochloride 2% (20 mg/g) + tribenoside 5% (50 mg/g) rectal ointment, vitamin B complex (B1,B6,B12) 100,200,0.2 mg Film coated tablets [oral], lidocaine hydrochloride 2% (20 mg/g) + tribenoside 5% (50 mg/g) rectal ointment, vitamin B complex (B1,B6,B12) 100,200,0.2 mg Film coated tablets [oral], lidocaine hydrochloride 2% (20 mg/g) + tribenoside 5% (50 mg/g) rectal ointment, vitamin B complex (B1,B6,B12) 100,200,0.2 mg Film coated tablets [oral], lidocaine hydrochloride 2% (20 mg/g) + tribenoside 5% (50 mg/g) rectal ointment, vitamin B complex (B1,B6,B12) 100,200,0.2 mg Film coated tablets [oral], lidocaine hydrochloride 2% (20 mg/g) + tribenoside 5% (50 mg/g) rectal ointment, vitamin B complex (B1,B6,B12) 100,200,0.2 mg Film coated tablets [oral], lidocaine hydrochloride 2% (20 mg/g) + tribenoside 5% (50 mg/g) rectal ointment, rosuvastatin 10 mg tablet, paracetamol 500 mg tablet, colecalciferol 50 000 international units tablet, rosuvastatin 10 mg tablet, paracetamol 500 mg tablet, colecalciferol 50 000 international units tablet, rosuvastatin 10 mg tablet, paracetamol 500 mg tablet, colecalciferol 50 000 international units tablet, rosuvastatin 10 mg tablet, paracetamol 500 mg tablet, colecalciferol 50 000 international units tablet, rosuvastatin 10 mg tablet, paracetamol 500 mg tablet, colecalciferol 50 000 international units tablet, rosuvastatin 10 mg tablet, paracetamol 500 mg tablet, colecalciferol 50 000 international units tablet, rosuvastatin 10 mg tablet, paracetamol 500 mg tablet, colecalciferol 50 000 international units tablet, metFORMIN hydrochloride 500 mg tablet, metFORMIN hydrochloride 500 mg tablet, metFORMIN hydrochloride 500 mg tablet, metFORMIN hydrochloride 500 mg tablet, metFORMIN hydrochloride 500 mg tablet, metFORMIN hydrochloride 500 mg tablet, metFORMIN hydrochloride 500 mg tablet,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vitamin B complex (B1,B6,B12) 100,200,0.2 mg Film coated tablets [oral], mebeverine hydrochloride 200 mg capsule: modified release, vitamin B complex (B1,B6,B12) 100,200,0.2 mg Film coated tablets [oral], mebeverine hydrochloride 200 mg capsule: modified release, vitamin B complex (B1,B6,B12) 100,200,0.2 mg Film coated tablets [oral], mebeverine hydrochloride 200 mg capsule: modified release, vitamin B complex (B1,B6,B12) 100,200,0.2 mg Film coated tablets [oral], mebeverine hydrochloride 200 mg capsule: modified release, vitamin B complex (B1,B6,B12) 100,200,0.2 mg Film coated tablets [oral], mebeverine hydrochloride 200 mg capsule: modified release, vitamin B complex (B1,B6,B12) 100,200,0.2 mg Film coated tablets [oral], mebeverine hydrochloride 200 mg capsule: modified release, vitamin B complex (B1,B6,B12) 100,200,0.2 mg Film coated tablets [oral], mebeverine hydrochloride 200 mg capsule: modified release, paracetamol 500 mg tablet, linagliptin 5 mg tablet, paracetamol 500 mg tablet, linagliptin 5 mg tablet, paracetamol 500 mg tablet, linagliptin 5 mg tablet, paracetamol 500 mg tablet, linagliptin 5 mg tablet, paracetamol 500 mg tablet, linagliptin 5 mg tablet, paracetamol 500 mg tablet, linagliptin 5 mg tablet, paracetamol 500 mg tablet, linagliptin 5 mg tablet, colecalciferol 50 000 international units tablet, diclofenac sodium 1% (10 mg/g) gel, metFORMIN hydrochloride 500 mg tablet, lidocaine hydrochloride 2% (20 mg/g) + tribenoside 5% (50 mg/g) rectal ointment, colecalciferol 50 000 international units tablet, diclofenac sodium 1% (10 mg/g) gel, metFORMIN hydrochloride 500 mg tablet, lidocaine hydrochloride 2% (20 mg/g) + tribenoside 5% (50 mg/g) rectal ointment, colecalciferol 50 000 international units tablet, diclofenac sodium 1% (10 mg/g) gel, metFORMIN hydrochloride 500 mg tablet, lidocaine hydrochloride 2% (20 mg/g) + tribenoside 5% (50 mg/g) rectal ointment, colecalciferol 50 000 international units tablet, diclofenac sodium 1% (10 mg/g) gel, metFORMIN hydrochloride 500 mg tablet, lidocaine hydrochloride 2% (20 mg/g) + tribenoside 5% (50 mg/g) rectal ointment, colecalciferol 50 000 international units tablet, diclofenac sodium 1% (10 mg/g) gel, metFORMIN hydrochloride 500 mg tablet, lidocaine hydrochloride 2% (20 mg/g) + tribenoside 5% (50 mg/g) rectal ointment, colecalciferol 50 000 international units tablet, diclofenac sodium 1% (10 mg/g) gel, metFORMIN hydrochloride 500 mg tablet, lidocaine hydrochloride 2% (20 mg/g) + tribenoside 5% (50 mg/g) rectal ointment, colecalciferol 50 000 international units tablet, diclofenac sodium 1% (10 mg/g) gel, metFORMIN hydrochloride 500 mg tablet, lidocaine hydrochloride 2% (20 mg/g) + tribenoside 5% (50 mg/g) rectal ointment, rosuvastatin 10 mg tablet, rosuvastatin 10 mg tablet, rosuvastatin 10 mg tablet, rosuvastatin 10 mg tablet, rosuvastatin 10 mg tablet, rosuvastatin 10 mg tablet, rosuvastatin 10 mg tablet</t>
  </si>
  <si>
    <t>محمد بن عتيق بن حميد الحمدي</t>
  </si>
  <si>
    <t>vitamin B complex (B, B, amLODIPine</t>
  </si>
  <si>
    <t>vitamin B complex (B1,B6,B12) 100,200,0.2 mg Film coated tablets [oral], amLODIPine 5 mg tablet, vitamin B complex (B1,B6,B12) 100,200,0.2 mg Film coated tablets [oral], amLODIPine 5 mg tablet, vitamin B complex (B1,B6,B12) 100,200,0.2 mg Film coated tablets [oral], amLODIPine 5 mg tablet, vitamin B complex (B1,B6,B12) 100,200,0.2 mg Film coated tablets [oral], amLODIPine 5 mg tablet, vitamin B complex (B1,B6,B12) 100,200,0.2 mg Film coated tablets [oral], amLODIPine 5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amLODIPine 5 mg tablet, amLODIPine 5 mg tablet, amLODIPine 5 mg tablet, amLODIPine 5 mg tablet, amLODIPine 5 mg tablet, amLODIPine 5 mg tablet, amLODIPine 5 mg tablet, amLODIPine 5 mg tablet, amLODIPine 5 mg tablet, amLODIPine 5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t>
  </si>
  <si>
    <t>وفاء عبدالرحيم توفيق السادات</t>
  </si>
  <si>
    <t>حسين عابد بنيه الجدعاني</t>
  </si>
  <si>
    <t>empagliflozin, gliclazide, paracetamol, mebeverine hydrochloride, valsartan, SITagliptin, vitamin B complex (B, B, metFORMIN hydrochloride, omeprazole</t>
  </si>
  <si>
    <t>empagliflozin 10 mg tablet, empagliflozin 10 mg tablet, empagliflozin 10 mg tablet, empagliflozin 10 mg tablet, gliclazide 30 mg tablet: modified release, paracetamol 500 mg tablet, gliclazide 30 mg tablet: modified release, paracetamol 500 mg tablet, gliclazide 30 mg tablet: modified release, paracetamol 500 mg tablet, gliclazide 30 mg tablet: modified release, paracetamol 500 mg tablet, mebeverine hydrochloride 200 mg capsule: modified release, mebeverine hydrochloride 200 mg capsule: modified release, mebeverine hydrochloride 200 mg capsule: modified release, mebeverine hydrochloride 200 mg capsule: modified release, valsartan 80 mg tablet, SITagliptin 100 mg tablet, vitamin B complex (B1,B6,B12) 100,200,0.2 mg Film coated tablets [oral], valsartan 80 mg tablet, SITagliptin 100 mg tablet, vitamin B complex (B1,B6,B12) 100,200,0.2 mg Film coated tablets [oral], valsartan 80 mg tablet, SITagliptin 100 mg tablet, vitamin B complex (B1,B6,B12) 100,200,0.2 mg Film coated tablets [oral], valsartan 80 mg tablet, SITagliptin 100 mg tablet, vitamin B complex (B1,B6,B12) 100,200,0.2 mg Film coated tablets [oral], metFORMIN hydrochloride 500 mg tablet, metFORMIN hydrochloride 500 mg tablet, metFORMIN hydrochloride 500 mg tablet, metFORMIN hydrochloride 500 mg tablet, omeprazole 20 mg tablet: enteric coated, omeprazole 20 mg tablet: enteric coated, omeprazole 20 mg tablet: enteric coated, omeprazole 20 mg tablet: enteric coated, omeprazole 20 mg tablet: enteric coated, mebeverine hydrochloride 200 mg capsule: modified release, gliclazide 30 mg tablet: modified release, omeprazole 20 mg tablet: enteric coated, mebeverine hydrochloride 200 mg capsule: modified release, gliclazide 30 mg tablet: modified release, omeprazole 20 mg tablet: enteric coated, mebeverine hydrochloride 200 mg capsule: modified release, gliclazide 30 mg tablet: modified release, omeprazole 20 mg tablet: enteric coated, mebeverine hydrochloride 200 mg capsule: modified release, gliclazide 30 mg tablet: modified release, empagliflozin 10 mg tablet, empagliflozin 10 mg tablet, empagliflozin 10 mg tablet, empagliflozin 10 mg tablet, valsartan 80 mg tablet, valsartan 80 mg tablet, valsartan 80 mg tablet, valsartan 80 mg tablet, SITagliptin 100 mg tablet, vitamin B complex (B1,B6,B12) 100,200,0.2 mg Film coated tablets [oral], SITagliptin 100 mg tablet, vitamin B complex (B1,B6,B12) 100,200,0.2 mg Film coated tablets [oral], SITagliptin 100 mg tablet, vitamin B complex (B1,B6,B12) 100,200,0.2 mg Film coated tablets [oral], SITagliptin 100 mg tablet, vitamin B complex (B1,B6,B12) 100,200,0.2 mg Film coated tablets [oral], metFORMIN hydrochloride 500 mg tablet, paracetamol 500 mg tablet, metFORMIN hydrochloride 500 mg tablet, paracetamol 500 mg tablet, metFORMIN hydrochloride 500 mg tablet, paracetamol 500 mg tablet, metFORMIN hydrochloride 500 mg tablet, paracetamol 500 mg tablet</t>
  </si>
  <si>
    <t>Diabetes, GI/PPI, Hypertension, Vitamins/Supplements</t>
  </si>
  <si>
    <t>حسن سلامه نعمان العلاسي</t>
  </si>
  <si>
    <t>amLODIPine, budesonide</t>
  </si>
  <si>
    <t>amLODIPine 5 mg tablet, amLODIPine 5 mg tablet, amLODIPine 5 mg tablet, amLODIPine 5 mg tablet, amLODIPine 5 mg tablet, budesonide 160 microgram/actuation + formoterol fumarate dihydrate 4.5 microgram/actuation inhalation: powder for, amLODIPine 5 mg tablet, budesonide 160 microgram/actuation + formoterol fumarate dihydrate 4.5 microgram/actuation inhalation: powder for, amLODIPine 5 mg tablet, budesonide 160 microgram/actuation + formoterol fumarate dihydrate 4.5 microgram/actuation inhalation: powder for, amLODIPine 5 mg tablet, budesonide 160 microgram/actuation + formoterol fumarate dihydrate 4.5 microgram/actuation inhalation: powder for, amLODIPine 5 mg tablet, budesonide 160 microgram/actuation + formoterol fumarate dihydrate 4.5 microgram/actuation inhalation: powder for, amLODIPine 5 mg tablet, amLODIPine 5 mg tablet, amLODIPine 5 mg tablet, amLODIPine 5 mg tablet, amLODIPine 5 mg tablet, amLODIPine 5 mg tablet,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amLODIPine 5 mg tablet, budesonide 160 microgram/actuation + formoterol fumarate dihydrate 4.5 microgram/actuation inhalation: powder for, amLODIPine 5 mg tablet, budesonide 160 microgram/actuation + formoterol fumarate dihydrate 4.5 microgram/actuation inhalation: powder for, amLODIPine 5 mg tablet, budesonide 160 microgram/actuation + formoterol fumarate dihydrate 4.5 microgram/actuation inhalation: powder for, amLODIPine 5 mg tablet, budesonide 160 microgram/actuation + formoterol fumarate dihydrate 4.5 microgram/actuation inhalation: powder for, amLODIPine 5 mg tablet, budesonide 160 microgram/actuation + formoterol fumarate dihydrate 4.5 microgram/actuation inhalation: powder for</t>
  </si>
  <si>
    <t>حليمه عبدالله محمد الزهراني</t>
  </si>
  <si>
    <t>cetirizine hydrochloride, paracetamol</t>
  </si>
  <si>
    <t>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t>
  </si>
  <si>
    <t>فوزى عامر عمر الحربي</t>
  </si>
  <si>
    <t>sodium chloride, bisacodyl, mometasone furoate, valsartan</t>
  </si>
  <si>
    <t>sodium chloride 0.9% (9 mg/mL) nasal spray, bisacodyl 5 mg tablet: enteric-coated, sodium chloride 0.9% (9 mg/mL) nasal spray, bisacodyl 5 mg tablet: enteric-coated, sodium chloride 0.9% (9 mg/mL) nasal spray, bisacodyl 5 mg tablet: enteric-coated, sodium chloride 0.9% (9 mg/mL) nasal spray, bisacodyl 5 mg tablet: enteric-coated, mometasone furoate 0.05% nasal spray, valsartan 80 mg tablet, mometasone furoate 0.05% nasal spray, valsartan 80 mg tablet, mometasone furoate 0.05% nasal spray, valsartan 80 mg tablet, mometasone furoate 0.05% nasal spray, valsartan 80 mg tablet, mometasone furoate 0.05% nasal spray, mometasone furoate 0.05% nasal spray, mometasone furoate 0.05% nasal spray, mometasone furoate 0.05% nasal spray, sodium chloride 0.9% (9 mg/mL) nasal spray, sodium chloride 0.9% (9 mg/mL) nasal spray, sodium chloride 0.9% (9 mg/mL) nasal spray, sodium chloride 0.9% (9 mg/mL) nasal spray, valsartan 80 mg tablet, bisacodyl 5 mg tablet: enteric-coated, valsartan 80 mg tablet, bisacodyl 5 mg tablet: enteric-coated, valsartan 80 mg tablet, bisacodyl 5 mg tablet: enteric-coated, valsartan 80 mg tablet, bisacodyl 5 mg tablet: enteric-coated, bisacodyl 5 mg tablet: enteric-coated, bisacodyl 5 mg tablet: enteric-coated, bisacodyl 5 mg tablet: enteric-coated, bisacodyl 5 mg tablet: enteric-coated, mometasone furoate 0.05% nasal spray, valsartan 80 mg tablet, mometasone furoate 0.05% nasal spray, valsartan 80 mg tablet, mometasone furoate 0.05% nasal spray, valsartan 80 mg tablet, mometasone furoate 0.05% nasal spray, valsartan 80 mg tablet, sodium chloride 0.9% (9 mg/mL) nasal spray, sodium chloride 0.9% (9 mg/mL) nasal spray, sodium chloride 0.9% (9 mg/mL) nasal spray, sodium chloride 0.9% (9 mg/mL) nasal spray</t>
  </si>
  <si>
    <t>علي بن سعيد بن عبدالله الغامدي</t>
  </si>
  <si>
    <t>perindopril arginine, indapamide</t>
  </si>
  <si>
    <t>perindopril arginine 5 mg tablet, perindopril arginine 5 mg tablet, perindopril arginine 5 mg tablet, perindopril arginine 5 mg tablet, indapamide 1.5 mg tablet: modified release, indapamide 1.5 mg tablet: modified release, indapamide 1.5 mg tablet: modified release, indapamide 1.5 mg tablet: modified release, perindopril arginine 5 mg tablet, indapamide 1.5 mg tablet: modified release, perindopril arginine 5 mg tablet, indapamide 1.5 mg tablet: modified release, perindopril arginine 5 mg tablet, indapamide 1.5 mg tablet: modified release, perindopril arginine 5 mg tablet, indapamide 1.5 mg tablet: modified release, indapamide 1.5 mg tablet: modified release, indapamide 1.5 mg tablet: modified release, indapamide 1.5 mg tablet: modified release, indapamide 1.5 mg tablet: modified release, perindopril arginine 5 mg tablet, perindopril arginine 5 mg tablet, perindopril arginine 5 mg tablet, perindopril arginine 5 mg tablet</t>
  </si>
  <si>
    <t>مصلحه خضر رشيد الجدعاني</t>
  </si>
  <si>
    <t>amLODIPine 5 mg tablet, amLODIPine 5 mg tablet, amLODIPine 5 mg tablet, amLODIPine 5 mg tablet, amLODIPine 5 mg tablet, amLODIPine 5 mg tablet, amLODIPine 5 mg tablet, amLODIPine 5 mg tablet, amLODIPine 5 mg tablet</t>
  </si>
  <si>
    <t>ذكرى يحي علوي</t>
  </si>
  <si>
    <t>Lancets (Accu-Check), Strips (Accu-Check)</t>
  </si>
  <si>
    <t>Lancets (Accu-Check) 1 box Lancets [n/a], Lancets (Accu-Check) 1 box Lancets [n/a], Strips (Accu-Check) 1 box Strip [n/a], Strips (Accu-Check) 1 box Strip [n/a], Lancets (Accu-Check) 1 box Lancets [n/a], Lancets (Accu-Check) 1 box Lancets [n/a], Strips (Accu-Check) 1 box Strip [n/a], Strips (Accu-Check) 1 box Strip [n/a], Strips (Accu-Check) 1 box Strip [n/a], Strips (Accu-Check) 1 box Strip [n/a], Lancets (Accu-Check) 1 box Lancets [n/a], Lancets (Accu-Check) 1 box Lancets [n/a], Lancets (Accu-Check) 1 box Lancets [n/a], Lancets (Accu-Check) 1 box Lancets [n/a], Strips (Accu-Check) 1 box Strip [n/a], Strips (Accu-Check) 1 box Strip [n/a], Strips (Accu-Check) 1 box Strip [n/a], Strips (Accu-Check) 1 box Strip [n/a]</t>
  </si>
  <si>
    <t>علي عزالدين الشهري</t>
  </si>
  <si>
    <t>amLODIPine 5 mg tablet, perindopril arginine 5 mg tablet, amLODIPine 5 mg tablet, perindopril arginine 5 mg tablet, amLODIPine 5 mg tablet, perindopril arginine 5 mg tablet, amLODIPine 5 mg tablet, perindopril arginine 5 mg tablet, amLODIPine 5 mg tablet, amLODIPine 5 mg tablet, amLODIPine 5 mg tablet, amLODIPine 5 mg tablet, perindopril arginine 5 mg tablet, perindopril arginine 5 mg tablet, perindopril arginine 5 mg tablet, perindopril arginine 5 mg tablet, amLODIPine 5 mg tablet, perindopril arginine 5 mg tablet, amLODIPine 5 mg tablet, perindopril arginine 5 mg tablet, amLODIPine 5 mg tablet, perindopril arginine 5 mg tablet, amLODIPine 5 mg tablet, perindopril arginine 5 mg tablet</t>
  </si>
  <si>
    <t>مسفر بن معدي بن عبدالله العسيري</t>
  </si>
  <si>
    <t>valsartan, metFORMIN hydrochloride, gliclazide, empagliflozin, vitamin B complex (B, B, SITagliptin, atorvastatin</t>
  </si>
  <si>
    <t>valsartan 80 mg tablet, metFORMIN hydrochloride 500 mg tablet, valsartan 80 mg tablet, metFORMIN hydrochloride 500 mg tablet, valsartan 80 mg tablet, metFORMIN hydrochloride 500 mg tablet, valsartan 80 mg tablet, metFORMIN hydrochloride 500 mg tablet, valsartan 80 mg tablet, metFORMIN hydrochloride 500 mg tablet, valsartan 80 mg tablet, metFORMIN hydrochloride 500 mg tablet, valsartan 80 mg tablet, metFORMIN hydrochloride 500 mg tablet, valsartan 80 mg tablet, metFORMIN hydrochloride 500 mg tablet, gliclazide 30 mg tablet: modified release, gliclazide 60 mg tablet: modified release, gliclazide 30 mg tablet: modified release, gliclazide 60 mg tablet: modified release, gliclazide 30 mg tablet: modified release, gliclazide 60 mg tablet: modified release, gliclazide 30 mg tablet: modified release, gliclazide 60 mg tablet: modified release, gliclazide 30 mg tablet: modified release, gliclazide 60 mg tablet: modified release, gliclazide 30 mg tablet: modified release, gliclazide 60 mg tablet: modified release, gliclazide 30 mg tablet: modified release, gliclazide 60 mg tablet: modified release, gliclazide 30 mg tablet: modified release, gliclazide 60 mg tablet: modified release, empagliflozin 25 mg tablet, vitamin B complex (B1,B6,B12) 100,200,0.2 mg Film coated tablets [oral], empagliflozin 25 mg tablet, vitamin B complex (B1,B6,B12) 100,200,0.2 mg Film coated tablets [oral], empagliflozin 25 mg tablet, vitamin B complex (B1,B6,B12) 100,200,0.2 mg Film coated tablets [oral], empagliflozin 25 mg tablet, vitamin B complex (B1,B6,B12) 100,200,0.2 mg Film coated tablets [oral], empagliflozin 25 mg tablet, vitamin B complex (B1,B6,B12) 100,200,0.2 mg Film coated tablets [oral], empagliflozin 25 mg tablet, vitamin B complex (B1,B6,B12) 100,200,0.2 mg Film coated tablets [oral], empagliflozin 25 mg tablet, vitamin B complex (B1,B6,B12) 100,200,0.2 mg Film coated tablets [oral], empagliflozin 25 mg tablet, vitamin B complex (B1,B6,B12) 100,200,0.2 mg Film coated tablets [oral], SITagliptin 100 mg tablet, SITagliptin 100 mg tablet, SITagliptin 100 mg tablet, SITagliptin 100 mg tablet, SITagliptin 100 mg tablet, SITagliptin 100 mg tablet, SITagliptin 100 mg tablet, SITagliptin 100 mg tablet, atorvastatin 20 mg tablet, atorvastatin 20 mg tablet, atorvastatin 20 mg tablet, atorvastatin 20 mg tablet, atorvastatin 20 mg tablet, atorvastatin 20 mg tablet, atorvastatin 20 mg tablet, atorvastatin 20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empagliflozin 25 mg tablet, metFORMIN hydrochloride 500 mg tablet, empagliflozin 25 mg tablet, metFORMIN hydrochloride 500 mg tablet, empagliflozin 25 mg tablet, metFORMIN hydrochloride 500 mg tablet, empagliflozin 25 mg tablet, metFORMIN hydrochloride 500 mg tablet, empagliflozin 25 mg tablet, metFORMIN hydrochloride 500 mg tablet, empagliflozin 25 mg tablet, metFORMIN hydrochloride 500 mg tablet, empagliflozin 25 mg tablet, metFORMIN hydrochloride 500 mg tablet, empagliflozin 25 mg tablet, metFORMIN hydrochloride 500 mg tablet, gliclazide 60 mg tablet: modified release, atorvastatin 20 mg tablet, gliclazide 30 mg tablet: modified release, valsartan 80 mg tablet, gliclazide 60 mg tablet: modified release, atorvastatin 20 mg tablet, gliclazide 30 mg tablet: modified release, valsartan 80 mg tablet, gliclazide 60 mg tablet: modified release, atorvastatin 20 mg tablet, gliclazide 30 mg tablet: modified release, valsartan 80 mg tablet, gliclazide 60 mg tablet: modified release, atorvastatin 20 mg tablet, gliclazide 30 mg tablet: modified release, valsartan 80 mg tablet, gliclazide 60 mg tablet: modified release, atorvastatin 20 mg tablet, gliclazide 30 mg tablet: modified release, valsartan 80 mg tablet, gliclazide 60 mg tablet: modified release, atorvastatin 20 mg tablet, gliclazide 30 mg tablet: modified release, valsartan 80 mg tablet, gliclazide 60 mg tablet: modified release, atorvastatin 20 mg tablet, gliclazide 30 mg tablet: modified release, valsartan 80 mg tablet, gliclazide 60 mg tablet: modified release, atorvastatin 20 mg tablet, gliclazide 30 mg tablet: modified release, valsartan 80 mg tablet, SITagliptin 100 mg tablet, SITagliptin 100 mg tablet, SITagliptin 100 mg tablet, SITagliptin 100 mg tablet, SITagliptin 100 mg tablet, SITagliptin 100 mg tablet, SITagliptin 100 mg tablet, SITagliptin 100 mg tablet, SITagliptin 100 mg tablet, SITagliptin 100 mg tablet, SITagliptin 100 mg tablet, SITagliptin 100 mg tablet, SITagliptin 100 mg tablet, SITagliptin 100 mg tablet, SITagliptin 100 mg tablet, SITagliptin 100 mg tablet, metFORMIN hydrochloride 500 mg tablet, valsartan 80 mg tablet, vitamin B complex (B1,B6,B12) 100,200,0.2 mg Film coated tablets [oral], empagliflozin 25 mg tablet, metFORMIN hydrochloride 500 mg tablet, valsartan 80 mg tablet, vitamin B complex (B1,B6,B12) 100,200,0.2 mg Film coated tablets [oral], empagliflozin 25 mg tablet, metFORMIN hydrochloride 500 mg tablet, valsartan 80 mg tablet, vitamin B complex (B1,B6,B12) 100,200,0.2 mg Film coated tablets [oral], empagliflozin 25 mg tablet, metFORMIN hydrochloride 500 mg tablet, valsartan 80 mg tablet, vitamin B complex (B1,B6,B12) 100,200,0.2 mg Film coated tablets [oral], empagliflozin 25 mg tablet, metFORMIN hydrochloride 500 mg tablet, valsartan 80 mg tablet, vitamin B complex (B1,B6,B12) 100,200,0.2 mg Film coated tablets [oral], empagliflozin 25 mg tablet, metFORMIN hydrochloride 500 mg tablet, valsartan 80 mg tablet, vitamin B complex (B1,B6,B12) 100,200,0.2 mg Film coated tablets [oral], empagliflozin 25 mg tablet, metFORMIN hydrochloride 500 mg tablet, valsartan 80 mg tablet, vitamin B complex (B1,B6,B12) 100,200,0.2 mg Film coated tablets [oral], empagliflozin 25 mg tablet, metFORMIN hydrochloride 500 mg tablet, valsartan 80 mg tablet, vitamin B complex (B1,B6,B12) 100,200,0.2 mg Film coated tablets [oral], empagliflozin 25 mg tablet,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atorvastatin 20 mg tablet, gliclazide 30 mg tablet: modified release, atorvastatin 20 mg tablet, gliclazide 30 mg tablet: modified release, atorvastatin 20 mg tablet, gliclazide 30 mg tablet: modified release, atorvastatin 20 mg tablet, gliclazide 30 mg tablet: modified release, atorvastatin 20 mg tablet, gliclazide 30 mg tablet: modified release, atorvastatin 20 mg tablet, gliclazide 30 mg tablet: modified release, atorvastatin 20 mg tablet, gliclazide 30 mg tablet: modified release, atorvastatin 20 mg tablet, gliclazide 30 mg tablet: modified release</t>
  </si>
  <si>
    <t>عطيةالله محمد حمدي الجدعاني</t>
  </si>
  <si>
    <t>azithromycin, paracetamol, dextromethorphan hydrobromide, sennosides, cetirizine hydrochloride, ibuprofen, sodium chloride</t>
  </si>
  <si>
    <t>azithromycin 250 mg capsule, paracetamol 500 mg tablet, dextromethorphan hydrobromide 15 mg/5 mL oral liquid, azithromycin 250 mg capsule, paracetamol 500 mg tablet, dextromethorphan hydrobromide 15 mg/5 mL oral liquid, azithromycin 250 mg capsule, paracetamol 500 mg tablet, dextromethorphan hydrobromide 15 mg/5 mL oral liquid, azithromycin 250 mg capsule, paracetamol 500 mg tablet, dextromethorphan hydrobromide 15 mg/5 mL oral liquid, sennosides 12 mg tablet, sennosides 12 mg tablet, sennosides 12 mg tablet, sennosides 12 mg tablet, cetirizine hydrochloride 10 mg tablet, cetirizine hydrochloride 10 mg tablet, cetirizine hydrochloride 10 mg tablet, cetirizine hydrochloride 10 mg tablet, sennosides 12 mg tablet, sennosides 12 mg tablet, sennosides 12 mg tablet, sennosides 12 mg tablet, ibuprofen 400 mg tablet, azithromycin 250 mg capsule, ibuprofen 400 mg tablet, azithromycin 250 mg capsule, ibuprofen 400 mg tablet, azithromycin 250 mg capsule, ibuprofen 400 mg tablet, azithromycin 250 mg capsule, paracetamol 500 mg tablet, paracetamol 500 mg tablet, paracetamol 500 mg tablet, paracetamol 500 mg tablet, sodium chloride 0.9% (9 mg/mL) nasal spray, sodium chloride 0.9% (9 mg/mL) nasal spray, sodium chloride 0.9% (9 mg/mL) nasal spray, sodium chloride 0.9% (9 mg/mL) nasal spray, dextromethorphan hydrobromide 15 mg/5 mL oral liquid, dextromethorphan hydrobromide 15 mg/5 mL oral liquid, dextromethorphan hydrobromide 15 mg/5 mL oral liquid, dextromethorphan hydrobromide 15 mg/5 mL oral liquid, cetirizine hydrochloride 10 mg tablet, dextromethorphan hydrobromide 15 mg/5 mL oral liquid, cetirizine hydrochloride 10 mg tablet, dextromethorphan hydrobromide 15 mg/5 mL oral liquid, cetirizine hydrochloride 10 mg tablet, dextromethorphan hydrobromide 15 mg/5 mL oral liquid, cetirizine hydrochloride 10 mg tablet, dextromethorphan hydrobromide 15 mg/5 mL oral liquid, sennosides 12 mg tablet, paracetamol 500 mg tablet, sennosides 12 mg tablet, paracetamol 500 mg tablet, sennosides 12 mg tablet, paracetamol 500 mg tablet, sennosides 12 mg tablet, paracetamol 500 mg tablet, azithromycin 250 mg capsule, sodium chloride 0.9% (9 mg/mL) nasal spray, azithromycin 250 mg capsule, sodium chloride 0.9% (9 mg/mL) nasal spray, azithromycin 250 mg capsule, sodium chloride 0.9% (9 mg/mL) nasal spray, azithromycin 250 mg capsule, sodium chloride 0.9% (9 mg/mL) nasal spray, ibuprofen 400 mg tablet, ibuprofen 400 mg tablet, ibuprofen 400 mg tablet, ibuprofen 400 mg tablet</t>
  </si>
  <si>
    <t>فرج بن عوض بن مفرج المعبدي</t>
  </si>
  <si>
    <t>metFORMIN hydrochloride, SITagliptin, acetylsalicylic acid</t>
  </si>
  <si>
    <t>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SITagliptin 100 mg tablet, acetylsalicylic acid 100 mg tablet: enteric coated, SITagliptin 100 mg tablet, acetylsalicylic acid 100 mg tablet: enteric coated, SITagliptin 100 mg tablet, acetylsalicylic acid 100 mg tablet: enteric coated, SITagliptin 100 mg tablet, acetylsalicylic acid 100 mg tablet: enteric coated, SITagliptin 100 mg tablet, acetylsalicylic acid 100 mg tablet: enteric coated, SITagliptin 100 mg tablet,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acetylsalicylic acid 100 mg tablet: enteric coated, SITagliptin 100 mg tablet, SITagliptin 100 mg tablet, SITagliptin 100 mg tablet, SITagliptin 100 mg tablet, SITagliptin 100 mg tablet, SITagliptin 100 mg tablet,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t>
  </si>
  <si>
    <t>Antiplatelet, Diabetes</t>
  </si>
  <si>
    <t>فاتن حسن صالح صباغ</t>
  </si>
  <si>
    <t>amoxicillin, paracetamol, losartan potassium, sodium chloride, amLODIPine, diphenhydrAMINE hydrochloride, cetirizine hydrochloride, mometasone furoate</t>
  </si>
  <si>
    <t>amoxicillin 500 mg + clavulanic acid 125 mg tablet, paracetamol 500 mg tablet, losartan potassium 50 mg tablet, amoxicillin 500 mg + clavulanic acid 125 mg tablet, paracetamol 500 mg tablet, losartan potassium 50 mg tablet, amoxicillin 500 mg + clavulanic acid 125 mg tablet, paracetamol 500 mg tablet, losartan potassium 50 mg tablet, amoxicillin 500 mg + clavulanic acid 125 mg tablet, paracetamol 500 mg tablet, losartan potassium 50 mg tablet, sodium chloride 0.9% (9 mg/mL) nasal spray, amLODIPine 5 mg tablet, diphenhydrAMINE hydrochloride 7 mg/5 mL + menthol 550 microgram/5 mL + sodium citrate 28.5 mg/5 mL oral liquid, cetirizine hydrochloride 10 mg tablet, sodium chloride 0.9% (9 mg/mL) nasal spray, amLODIPine 5 mg tablet, diphenhydrAMINE hydrochloride 7 mg/5 mL + menthol 550 microgram/5 mL + sodium citrate 28.5 mg/5 mL oral liquid, cetirizine hydrochloride 10 mg tablet, sodium chloride 0.9% (9 mg/mL) nasal spray, amLODIPine 5 mg tablet, diphenhydrAMINE hydrochloride 7 mg/5 mL + menthol 550 microgram/5 mL + sodium citrate 28.5 mg/5 mL oral liquid, cetirizine hydrochloride 10 mg tablet, sodium chloride 0.9% (9 mg/mL) nasal spray, amLODIPine 5 mg tablet, diphenhydrAMINE hydrochloride 7 mg/5 mL + menthol 550 microgram/5 mL + sodium citrate 28.5 mg/5 mL oral liquid, cetirizine hydrochloride 10 mg tablet, mometasone furoate 0.05% nasal spray, mometasone furoate 0.05% nasal spray, mometasone furoate 0.05% nasal spray, mometasone furoate 0.05% nasal spray, cetirizine hydrochloride 10 mg tablet, sodium chloride 0.9% (9 mg/mL) nasal spray, amLODIPine 5 mg tablet, diphenhydrAMINE hydrochloride 7 mg/5 mL + menthol 550 microgram/5 mL + sodium citrate 28.5 mg/5 mL oral liquid, cetirizine hydrochloride 10 mg tablet, sodium chloride 0.9% (9 mg/mL) nasal spray, amLODIPine 5 mg tablet, diphenhydrAMINE hydrochloride 7 mg/5 mL + menthol 550 microgram/5 mL + sodium citrate 28.5 mg/5 mL oral liquid, cetirizine hydrochloride 10 mg tablet, sodium chloride 0.9% (9 mg/mL) nasal spray, amLODIPine 5 mg tablet, diphenhydrAMINE hydrochloride 7 mg/5 mL + menthol 550 microgram/5 mL + sodium citrate 28.5 mg/5 mL oral liquid, cetirizine hydrochloride 10 mg tablet, sodium chloride 0.9% (9 mg/mL) nasal spray, amLODIPine 5 mg tablet, diphenhydrAMINE hydrochloride 7 mg/5 mL + menthol 550 microgram/5 mL + sodium citrate 28.5 mg/5 mL oral liquid, paracetamol 500 mg tablet, losartan potassium 50 mg tablet, paracetamol 500 mg tablet, losartan potassium 50 mg tablet, paracetamol 500 mg tablet, losartan potassium 50 mg tablet, paracetamol 500 mg tablet, losartan potassium 50 mg tablet, mometasone furoate 0.05% nasal spray, amoxicillin 500 mg + clavulanic acid 125 mg tablet, mometasone furoate 0.05% nasal spray, amoxicillin 500 mg + clavulanic acid 125 mg tablet, mometasone furoate 0.05% nasal spray, amoxicillin 500 mg + clavulanic acid 125 mg tablet, mometasone furoate 0.05% nasal spray, amoxicillin 500 mg + clavulanic acid 125 mg tablet</t>
  </si>
  <si>
    <t>سميره حسن حسين ابوزبيبه</t>
  </si>
  <si>
    <t>amLODIPine, Insulin Pen Needle, valsartan, insulin aspart, empagliflozin, metFORMIN hydrochloride, rosuvastatin, insulin glargine (lantus), vitamin B complex (B, B</t>
  </si>
  <si>
    <t>amLODIPine 10 mg capsule, Insulin Pen Needle 4mm Needle [sc], amLODIPine 10 mg capsule, Insulin Pen Needle 4mm Needle [sc], amLODIPine 10 mg capsule, Insulin Pen Needle 4mm Needle [sc], amLODIPine 10 mg capsule, Insulin Pen Needle 4mm Needle [sc], valsartan 80 mg tablet, insulin aspart 100 international units/mL injection, 3 mL prefilled pen, empagliflozin 25 mg tablet, valsartan 80 mg tablet, insulin aspart 100 international units/mL injection, 3 mL prefilled pen, empagliflozin 25 mg tablet, valsartan 80 mg tablet, insulin aspart 100 international units/mL injection, 3 mL prefilled pen, empagliflozin 25 mg tablet, valsartan 80 mg tablet, insulin aspart 100 international units/mL injection, 3 mL prefilled pen, empagliflozin 25 mg tablet, metFORMIN hydrochloride 750 mg tablet: modified release, metFORMIN hydrochloride 750 mg tablet: modified release, metFORMIN hydrochloride 750 mg tablet: modified release, metFORMIN hydrochloride 750 mg tablet: modified release, rosuvastatin 20 mg tablet, rosuvastatin 20 mg tablet, rosuvastatin 20 mg tablet, rosuvastatin 20 mg tablet,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vitamin B complex (B1,B6,B12) 100,200,0.2 mg Film coated tablets [oral], vitamin B complex (B1,B6,B12) 100,200,0.2 mg Film coated tablets [oral], vitamin B complex (B1,B6,B12) 100,200,0.2 mg Film coated tablets [oral], vitamin B complex (B1,B6,B12) 100,200,0.2 mg Film coated tablets [oral], insulin aspart 100 international units/mL injection, 3 mL prefilled pen, vitamin B complex (B1,B6,B12) 100,200,0.2 mg Film coated tablets [oral], insulin aspart 100 international units/mL injection, 3 mL prefilled pen, vitamin B complex (B1,B6,B12) 100,200,0.2 mg Film coated tablets [oral], insulin aspart 100 international units/mL injection, 3 mL prefilled pen, vitamin B complex (B1,B6,B12) 100,200,0.2 mg Film coated tablets [oral], insulin aspart 100 international units/mL injection, 3 mL prefilled pen, vitamin B complex (B1,B6,B12) 100,200,0.2 mg Film coated tablets [oral],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empagliflozin 25 mg tablet, amLODIPine 10 mg capsule, rosuvastatin 20 mg tablet, empagliflozin 25 mg tablet, amLODIPine 10 mg capsule, rosuvastatin 20 mg tablet, empagliflozin 25 mg tablet, amLODIPine 10 mg capsule, rosuvastatin 20 mg tablet, empagliflozin 25 mg tablet, amLODIPine 10 mg capsule, rosuvastatin 20 mg tablet, metFORMIN hydrochloride 750 mg tablet: modified release, valsartan 80 mg tablet, Insulin Pen Needle 4mm Needle [sc], metFORMIN hydrochloride 750 mg tablet: modified release, valsartan 80 mg tablet, Insulin Pen Needle 4mm Needle [sc], metFORMIN hydrochloride 750 mg tablet: modified release, valsartan 80 mg tablet, Insulin Pen Needle 4mm Needle [sc], metFORMIN hydrochloride 750 mg tablet: modified release, valsartan 80 mg tablet, Insulin Pen Needle 4mm Needle [sc]</t>
  </si>
  <si>
    <t>مكي محمود عبدالله عبدالجبار</t>
  </si>
  <si>
    <t>صالح عبده مقبل الجدعاني</t>
  </si>
  <si>
    <t>omeprazole, rosuvastatin, acetylsalicylic acid, bisoprolol fumarate, allopurinol, clopidogrel, perindopril arginine</t>
  </si>
  <si>
    <t>omeprazole 20 mg tablet: enteric coated, omeprazole 20 mg tablet: enteric coated, omeprazole 20 mg tablet: enteric coated, omeprazole 20 mg tablet: enteric coated, omeprazole 20 mg tablet: enteric coated, rosuvastatin 20 mg tablet, rosuvastatin 20 mg tablet, rosuvastatin 20 mg tablet, rosuvastatin 20 mg tablet, rosuvastatin 20 mg tablet, acetylsalicylic acid 100 mg tablet: enteric coated, acetylsalicylic acid 100 mg tablet: enteric coated, acetylsalicylic acid 100 mg tablet: enteric coated, acetylsalicylic acid 100 mg tablet: enteric coated, acetylsalicylic acid 100 mg tablet: enteric coated, bisoprolol fumarate 5 mg tablet, allopurinol 100 mg tablet, bisoprolol fumarate 5 mg tablet, allopurinol 100 mg tablet, bisoprolol fumarate 5 mg tablet, allopurinol 100 mg tablet, bisoprolol fumarate 5 mg tablet, allopurinol 100 mg tablet, bisoprolol fumarate 5 mg tablet, allopurinol 100 mg tablet, omeprazole 20 mg tablet: enteric coated, rosuvastatin 20 mg tablet, clopidogrel 75 mg tablet, omeprazole 20 mg tablet: enteric coated, rosuvastatin 20 mg tablet, clopidogrel 75 mg tablet, omeprazole 20 mg tablet: enteric coated, rosuvastatin 20 mg tablet, clopidogrel 75 mg tablet, omeprazole 20 mg tablet: enteric coated, rosuvastatin 20 mg tablet, clopidogrel 75 mg tablet, omeprazole 20 mg tablet: enteric coated, rosuvastatin 20 mg tablet, clopidogrel 75 mg tablet, perindopril arginine 5 mg tablet, perindopril arginine 5 mg tablet, perindopril arginine 5 mg tablet, perindopril arginine 5 mg tablet, perindopril arginine 5 mg tablet, clopidogrel 75 mg tablet, omeprazole 20 mg tablet: enteric coated, bisoprolol fumarate 5 mg tablet, rosuvastatin 20 mg tablet, clopidogrel 75 mg tablet, omeprazole 20 mg tablet: enteric coated, bisoprolol fumarate 5 mg tablet, rosuvastatin 20 mg tablet, clopidogrel 75 mg tablet, omeprazole 20 mg tablet: enteric coated, bisoprolol fumarate 5 mg tablet, rosuvastatin 20 mg tablet, clopidogrel 75 mg tablet, omeprazole 20 mg tablet: enteric coated, bisoprolol fumarate 5 mg tablet, rosuvastatin 20 mg tablet, clopidogrel 75 mg tablet, omeprazole 20 mg tablet: enteric coated, bisoprolol fumarate 5 mg tablet, rosuvastatin 20 mg tablet, allopurinol 100 mg tablet, allopurinol 100 mg tablet, allopurinol 100 mg tablet, allopurinol 100 mg tablet, allopurinol 100 mg tablet, perindopril arginine 5 mg tablet, acetylsalicylic acid 100 mg tablet: enteric coated, perindopril arginine 5 mg tablet, acetylsalicylic acid 100 mg tablet: enteric coated, perindopril arginine 5 mg tablet, acetylsalicylic acid 100 mg tablet: enteric coated, perindopril arginine 5 mg tablet, acetylsalicylic acid 100 mg tablet: enteric coated, perindopril arginine 5 mg tablet, acetylsalicylic acid 100 mg tablet: enteric coated, clopidogrel 75 mg tablet, clopidogrel 75 mg tablet, clopidogrel 75 mg tablet, clopidogrel 75 mg tablet, clopidogrel 75 mg tablet, perindopril arginine 5 mg tablet, acetylsalicylic acid 100 mg tablet: enteric coated, perindopril arginine 5 mg tablet, acetylsalicylic acid 100 mg tablet: enteric coated, perindopril arginine 5 mg tablet, acetylsalicylic acid 100 mg tablet: enteric coated, perindopril arginine 5 mg tablet, acetylsalicylic acid 100 mg tablet: enteric coated, perindopril arginine 5 mg tablet, acetylsalicylic acid 100 mg tablet: enteric coated, bisoprolol fumarate 5 mg tablet, allopurinol 100 mg tablet, bisoprolol fumarate 5 mg tablet, allopurinol 100 mg tablet, bisoprolol fumarate 5 mg tablet, allopurinol 100 mg tablet, bisoprolol fumarate 5 mg tablet, allopurinol 100 mg tablet, bisoprolol fumarate 5 mg tablet, allopurinol 100 mg tablet</t>
  </si>
  <si>
    <t>محمد سعيد ناصر القحطاني</t>
  </si>
  <si>
    <t>linagliptin, vitamin B complex (B, B, metFORMIN hydrochloride, atorvastatin</t>
  </si>
  <si>
    <t>linagliptin 5 mg tablet, vitamin B complex (B1,B6,B12) 100,200,0.2 mg Film coated tablets [oral], linagliptin 5 mg tablet, vitamin B complex (B1,B6,B12) 100,200,0.2 mg Film coated tablets [oral], metFORMIN hydrochloride 750 mg tablet: modified release, metFORMIN hydrochloride 750 mg tablet: modified release, atorvastatin 10 mg tablet, atorvastatin 10 mg tablet, atorvastatin 10 mg tablet, atorvastatin 10 mg tablet, metFORMIN hydrochloride 750 mg tablet: modified release, metFORMIN hydrochloride 750 mg tablet: modified release, vitamin B complex (B1,B6,B12) 100,200,0.2 mg Film coated tablets [oral], vitamin B complex (B1,B6,B12) 100,200,0.2 mg Film coated tablets [oral], linagliptin 5 mg tablet, linagliptin 5 mg tablet</t>
  </si>
  <si>
    <t>امل عباس عيد النخلي</t>
  </si>
  <si>
    <t>ليلى محمد عبدالخالق الزهراني</t>
  </si>
  <si>
    <t>عبدالله سعد عبدالله آل عشقان</t>
  </si>
  <si>
    <t>valsartan, acetylsalicylic acid, amLODIPine, amoxicillin, bisoprolol fumarate, atorvastatin</t>
  </si>
  <si>
    <t>valsartan 80 mg tablet, valsartan 80 mg tablet, valsartan 80 mg tablet, acetylsalicylic acid 100 mg tablet: enteric coated, acetylsalicylic acid 100 mg tablet: enteric coated, acetylsalicylic acid 100 mg tablet: enteric coated, amLODIPine 5 mg tablet, amoxicillin 500 mg + clavulanic acid 125 mg tablet, amLODIPine 5 mg tablet, amoxicillin 500 mg + clavulanic acid 125 mg tablet, amLODIPine 5 mg tablet, amoxicillin 500 mg + clavulanic acid 125 mg tablet, bisoprolol fumarate 5 mg tablet, atorvastatin 10 mg tablet, bisoprolol fumarate 5 mg tablet, atorvastatin 10 mg tablet, bisoprolol fumarate 5 mg tablet, atorvastatin 10 mg tablet, atorvastatin 10 mg tablet, atorvastatin 10 mg tablet, atorvastatin 10 mg tablet, valsartan 80 mg tablet, valsartan 80 mg tablet, valsartan 80 mg tablet, acetylsalicylic acid 100 mg tablet: enteric coated, amLODIPine 5 mg tablet, acetylsalicylic acid 100 mg tablet: enteric coated, amLODIPine 5 mg tablet, acetylsalicylic acid 100 mg tablet: enteric coated, amLODIPine 5 mg tablet, amoxicillin 500 mg + clavulanic acid 125 mg tablet, bisoprolol fumarate 5 mg tablet, amoxicillin 500 mg + clavulanic acid 125 mg tablet, bisoprolol fumarate 5 mg tablet, amoxicillin 500 mg + clavulanic acid 125 mg tablet, bisoprolol fumarate 5 mg tablet</t>
  </si>
  <si>
    <t>فتحيه يوسف رجب نصار</t>
  </si>
  <si>
    <t>celecoxib, valsartan, indapamide, atorvastatin, amLODIPine</t>
  </si>
  <si>
    <t>celecoxib 200 mg capsule, valsartan 80 mg tablet, celecoxib 200 mg capsule, valsartan 80 mg tablet, celecoxib 200 mg capsule, valsartan 80 mg tablet, indapamide 1.5 mg tablet: modified release, atorvastatin 20 mg tablet, indapamide 1.5 mg tablet: modified release, atorvastatin 20 mg tablet, indapamide 1.5 mg tablet: modified release, atorvastatin 20 mg tablet, indapamide 1.5 mg tablet: modified release, celecoxib 200 mg capsule, indapamide 1.5 mg tablet: modified release, celecoxib 200 mg capsule, indapamide 1.5 mg tablet: modified release, celecoxib 200 mg capsule, atorvastatin 20 mg tablet, amLODIPine 10 mg capsule, atorvastatin 20 mg tablet, amLODIPine 10 mg capsule, atorvastatin 20 mg tablet, amLODIPine 10 mg capsule, amLODIPine 10 mg capsule, amLODIPine 10 mg capsule, amLODIPine 10 mg capsule, valsartan 80 mg tablet, valsartan 80 mg tablet, valsartan 80 mg tablet, valsartan 80 mg tablet, valsartan 80 mg tablet, valsartan 80 mg tablet, atorvastatin 20 mg tablet, celecoxib 200 mg capsule, amLODIPine 10 mg capsule, atorvastatin 20 mg tablet, celecoxib 200 mg capsule, amLODIPine 10 mg capsule, atorvastatin 20 mg tablet, celecoxib 200 mg capsule, amLODIPine 10 mg capsule, indapamide 1.5 mg tablet: modified release, indapamide 1.5 mg tablet: modified release, indapamide 1.5 mg tablet: modified release</t>
  </si>
  <si>
    <t>رامي محمد حسن المكاوي</t>
  </si>
  <si>
    <t>مبارك مانع منور الرشيدي</t>
  </si>
  <si>
    <t>sodium chloride, paracetamol, dextromethorphan hydrobromide, cetirizine hydrochloride</t>
  </si>
  <si>
    <t>sodium chloride 0.9% (9 mg/mL) nasal spray, sodium chloride 0.9% (9 mg/mL) nasal spray, paracetamol 500 mg tablet, dextromethorphan hydrobromide 10 mg/5 mL + guaiFENesin 100 mg/5 mL oral liquid, cetirizine hydrochloride 10 mg tablet, paracetamol 500 mg tablet, dextromethorphan hydrobromide 10 mg/5 mL + guaiFENesin 100 mg/5 mL oral liquid, cetirizine hydrochloride 10 mg tablet, paracetamol 500 mg tablet, sodium chloride 0.9% (9 mg/mL) nasal spray, paracetamol 500 mg tablet, sodium chloride 0.9% (9 mg/mL) nasal spray, dextromethorphan hydrobromide 10 mg/5 mL + guaiFENesin 100 mg/5 mL oral liquid, sodium chloride 0.9% (9 mg/mL) nasal spray, paracetamol 500 mg tablet, cetirizine hydrochloride 10 mg tablet, dextromethorphan hydrobromide 10 mg/5 mL + guaiFENesin 100 mg/5 mL oral liquid, sodium chloride 0.9% (9 mg/mL) nasal spray, paracetamol 500 mg tablet, cetirizine hydrochloride 10 mg tablet, cetirizine hydrochloride 10 mg tablet, dextromethorphan hydrobromide 10 mg/5 mL + guaiFENesin 100 mg/5 mL oral liquid, cetirizine hydrochloride 10 mg tablet, dextromethorphan hydrobromide 10 mg/5 mL + guaiFENesin 100 mg/5 mL oral liquid, paracetamol 500 mg tablet, paracetamol 500 mg tablet, dextromethorphan hydrobromide 10 mg/5 mL + guaiFENesin 100 mg/5 mL oral liquid, dextromethorphan hydrobromide 10 mg/5 mL + guaiFENesin 100 mg/5 mL oral liquid, sodium chloride 0.9% (9 mg/mL) nasal spray, paracetamol 500 mg tablet, sodium chloride 0.9% (9 mg/mL) nasal spray, paracetamol 500 mg tablet, dextromethorphan hydrobromide 10 mg/5 mL + guaiFENesin 100 mg/5 mL oral liquid, cetirizine hydrochloride 10 mg tablet, dextromethorphan hydrobromide 10 mg/5 mL + guaiFENesin 100 mg/5 mL oral liquid, cetirizine hydrochloride 10 mg tablet</t>
  </si>
  <si>
    <t>حصه محمد شلاح الحربي</t>
  </si>
  <si>
    <t>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t>
  </si>
  <si>
    <t>عبدالرحمن حسن سعدي الزهراني</t>
  </si>
  <si>
    <t>rosuvastatin 20 mg tablet, rosuvastatin 20 mg tablet, rosuvastatin 20 mg tablet, rosuvastatin 20 mg tablet, rosuvastatin 20 mg tablet, rosuvastatin 20 mg tablet</t>
  </si>
  <si>
    <t>فيصل علي عبدالرحمن القحطاني</t>
  </si>
  <si>
    <t>perindopril arginine, vitamins (A, B, C, D, bisoprolol fumarate</t>
  </si>
  <si>
    <t>perindopril arginine 5 mg tablet, perindopril arginine 5 mg tablet, perindopril arginine 5 mg tablet, vitamins (A, B1, B2, B3, C, D3) tablet, vitamins (A, B1, B2, B3, C, D3) tablet, vitamins (A, B1, B2, B3, C, D3) tablet, bisoprolol fumarate 5 mg tablet, bisoprolol fumarate 5 mg tablet, bisoprolol fumarate 5 mg tablet, bisoprolol fumarate 5 mg tablet, bisoprolol fumarate 5 mg tablet, bisoprolol fumarate 5 mg tablet, perindopril arginine 5 mg tablet, perindopril arginine 5 mg tablet, perindopril arginine 5 mg tablet, vitamins (A, B1, B2, B3, C, D3) tablet, vitamins (A, B1, B2, B3, C, D3) tablet, vitamins (A, B1, B2, B3, C, D3) tablet, bisoprolol fumarate 5 mg tablet, bisoprolol fumarate 5 mg tablet, bisoprolol fumarate 5 mg tablet, vitamins (A, B1, B2, B3, C, D3) tablet, vitamins (A, B1, B2, B3, C, D3) tablet, vitamins (A, B1, B2, B3, C, D3) tablet, perindopril arginine 5 mg tablet, perindopril arginine 5 mg tablet, perindopril arginine 5 mg tablet</t>
  </si>
  <si>
    <t>قاسم بن مبارك بن محمد العبيدي</t>
  </si>
  <si>
    <t>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t>
  </si>
  <si>
    <t>هيلا عسكر ظاهر الحربي</t>
  </si>
  <si>
    <t>losartan potassium, metFORMIN hydrochloride, diclofenac sodium</t>
  </si>
  <si>
    <t>losartan potassium 50 mg tablet, metFORMIN hydrochloride 500 mg tablet, losartan potassium 50 mg tablet, metFORMIN hydrochloride 500 mg tablet, losartan potassium 50 mg tablet, metFORMIN hydrochloride 500 mg tablet, losartan potassium 50 mg tablet, metFORMIN hydrochloride 500 mg tablet, losartan potassium 50 mg tablet, metFORMIN hydrochloride 500 mg tablet, diclofenac sodium 1% (10 mg/g) gel, diclofenac sodium 1% (10 mg/g) gel, diclofenac sodium 1% (10 mg/g) gel, diclofenac sodium 1% (10 mg/g) gel, diclofenac sodium 1% (10 mg/g) gel, losartan potassium 50 mg tablet, metFORMIN hydrochloride 500 mg tablet, losartan potassium 50 mg tablet, metFORMIN hydrochloride 500 mg tablet, losartan potassium 50 mg tablet, metFORMIN hydrochloride 500 mg tablet, losartan potassium 50 mg tablet, metFORMIN hydrochloride 500 mg tablet, losartan potassium 50 mg tablet, metFORMIN hydrochloride 500 mg tablet, diclofenac sodium 1% (10 mg/g) gel, diclofenac sodium 1% (10 mg/g) gel, diclofenac sodium 1% (10 mg/g) gel, diclofenac sodium 1% (10 mg/g) gel, diclofenac sodium 1% (10 mg/g) gel, losartan potassium 50 mg tablet, losartan potassium 50 mg tablet, losartan potassium 50 mg tablet, losartan potassium 50 mg tablet, losartan potassium 50 mg tablet, diclofenac sodium 1% (10 mg/g) gel, diclofenac sodium 1% (10 mg/g) gel, diclofenac sodium 1% (10 mg/g) gel, diclofenac sodium 1% (10 mg/g) gel, diclofenac sodium 1% (10 mg/g) gel, metFORMIN hydrochloride 500 mg tablet, metFORMIN hydrochloride 500 mg tablet, metFORMIN hydrochloride 500 mg tablet, metFORMIN hydrochloride 500 mg tablet, metFORMIN hydrochloride 500 mg tablet</t>
  </si>
  <si>
    <t>فاطمه صالح محمد حمدي</t>
  </si>
  <si>
    <t>insulin glargine (lantus)</t>
  </si>
  <si>
    <t>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t>
  </si>
  <si>
    <t>منصور داود سنوسي فلمبان</t>
  </si>
  <si>
    <t>fusidic acid, amoxicillin</t>
  </si>
  <si>
    <t>fusidic acid 2% (20 mg/g) cream, amoxicillin 500 mg + clavulanic acid 125 mg tablet, fusidic acid 2% (20 mg/g) cream, amoxicillin 500 mg + clavulanic acid 125 mg tablet, fusidic acid 2% (20 mg/g) cream, amoxicillin 500 mg + clavulanic acid 125 mg tablet, fusidic acid 2% (20 mg/g) cream, amoxicillin 500 mg + clavulanic acid 125 mg tablet, fusidic acid 2% (20 mg/g) cream, fusidic acid 2% (20 mg/g) cream, fusidic acid 2% (20 mg/g) cream, fusidic acid 2% (20 mg/g) cream, amoxicillin 500 mg + clavulanic acid 125 mg tablet, amoxicillin 500 mg + clavulanic acid 125 mg tablet, amoxicillin 500 mg + clavulanic acid 125 mg tablet, amoxicillin 500 mg + clavulanic acid 125 mg tablet</t>
  </si>
  <si>
    <t>عبير عباس عبدالقادر متبولي</t>
  </si>
  <si>
    <t>ciprofloxacin, mometasone furoate, hyoscine butylbromide</t>
  </si>
  <si>
    <t>ciprofloxacin 500 mg tablet, ciprofloxacin 500 mg tablet, ciprofloxacin 500 mg tablet, ciprofloxacin 500 mg tablet, ciprofloxacin 500 mg tablet, mometasone furoate 0.05% nasal spray, mometasone furoate 0.05% nasal spray, mometasone furoate 0.05% nasal spray, mometasone furoate 0.05% nasal spray, mometasone furoate 0.05% nasal spray, hyoscine butylbromide 10 mg tablet, hyoscine butylbromide 10 mg tablet, hyoscine butylbromide 10 mg tablet, hyoscine butylbromide 10 mg tablet, hyoscine butylbromide 10 mg tablet, ciprofloxacin 500 mg tablet, ciprofloxacin 500 mg tablet, ciprofloxacin 500 mg tablet, ciprofloxacin 500 mg tablet, ciprofloxacin 500 mg tablet, mometasone furoate 0.05% nasal spray, mometasone furoate 0.05% nasal spray, mometasone furoate 0.05% nasal spray, mometasone furoate 0.05% nasal spray, mometasone furoate 0.05% nasal spray, hyoscine butylbromide 10 mg tablet, hyoscine butylbromide 10 mg tablet, hyoscine butylbromide 10 mg tablet, hyoscine butylbromide 10 mg tablet, hyoscine butylbromide 10 mg tablet</t>
  </si>
  <si>
    <t>حسن عتيق عطيةالله العمري</t>
  </si>
  <si>
    <t>diclofenac sodium, meloxicam, paracetamol</t>
  </si>
  <si>
    <t>diclofenac sodium 1% (10 mg/g) gel, meloxicam 15 mg tablet, paracetamol 500 mg tablet, diclofenac sodium 1% (10 mg/g) gel, meloxicam 15 mg tablet, paracetamol 500 mg tablet, diclofenac sodium 1% (10 mg/g) gel, meloxicam 15 mg tablet, paracetamol 500 mg tablet, diclofenac sodium 1% (10 mg/g) gel, meloxicam 15 mg tablet, paracetamol 500 mg tablet, paracetamol 500 mg tablet, diclofenac sodium 1% (10 mg/g) gel, meloxicam 15 mg tablet, paracetamol 500 mg tablet, diclofenac sodium 1% (10 mg/g) gel, meloxicam 15 mg tablet, paracetamol 500 mg tablet, diclofenac sodium 1% (10 mg/g) gel, meloxicam 15 mg tablet, paracetamol 500 mg tablet, diclofenac sodium 1% (10 mg/g) gel, meloxicam 15 mg tablet</t>
  </si>
  <si>
    <t>محمد على بن احمد الزهراني</t>
  </si>
  <si>
    <t>celecoxib, chlorzoxazone, diclofenac sodium</t>
  </si>
  <si>
    <t>celecoxib 200 mg capsule, celecoxib 200 mg capsule, chlorzoxazone 250 mg + paracetamol 300 mg capsule, diclofenac sodium 1% (10 mg/g) gel, chlorzoxazone 250 mg + paracetamol 300 mg capsule, diclofenac sodium 1% (10 mg/g) gel, celecoxib 200 mg capsule, diclofenac sodium 1% (10 mg/g) gel, celecoxib 200 mg capsule, diclofenac sodium 1% (10 mg/g) gel, chlorzoxazone 250 mg + paracetamol 300 mg capsule, chlorzoxazone 250 mg + paracetamol 300 mg capsule, diclofenac sodium 1% (10 mg/g) gel, diclofenac sodium 1% (10 mg/g) gel, celecoxib 200 mg capsule, celecoxib 200 mg capsule, chlorzoxazone 250 mg + paracetamol 300 mg capsule, chlorzoxazone 250 mg + paracetamol 300 mg capsule</t>
  </si>
  <si>
    <t>رياء مسفر محمد العسافي</t>
  </si>
  <si>
    <t>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t>
  </si>
  <si>
    <t>حياة علي طالبي</t>
  </si>
  <si>
    <t>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t>
  </si>
  <si>
    <t>احمد عيضه عوض السالمي</t>
  </si>
  <si>
    <t>فاطمه سعد محمد الصبحي</t>
  </si>
  <si>
    <t>صالحه طرايخم نهيتان السبيعي</t>
  </si>
  <si>
    <t>diclofenac sodium, naphazoline nitrate</t>
  </si>
  <si>
    <t>diclofenac sodium 1% (10 mg/g) gel, diclofenac sodium 1% (10 mg/g) gel, diclofenac sodium 1% (10 mg/g) gel, naphazoline nitrate 0.1% (1 mg/mL) eye drops, naphazoline nitrate 0.1% (1 mg/mL) eye drops, naphazoline nitrate 0.1% (1 mg/mL) eye drops, diclofenac sodium 1% (10 mg/g) gel, diclofenac sodium 1% (10 mg/g) gel, diclofenac sodium 1% (10 mg/g) gel, naphazoline nitrate 0.1% (1 mg/mL) eye drops, diclofenac sodium 1% (10 mg/g) gel, naphazoline nitrate 0.1% (1 mg/mL) eye drops, diclofenac sodium 1% (10 mg/g) gel, naphazoline nitrate 0.1% (1 mg/mL) eye drops, diclofenac sodium 1% (10 mg/g) gel, naphazoline nitrate 0.1% (1 mg/mL) eye drops, naphazoline nitrate 0.1% (1 mg/mL) eye drops, naphazoline nitrate 0.1% (1 mg/mL) eye drops</t>
  </si>
  <si>
    <t>صالحه حميد شديد الشريف</t>
  </si>
  <si>
    <t>مها فؤاد عصابي</t>
  </si>
  <si>
    <t>colecalciferol, ferrous sulfate, vitamins (A, B, C, D</t>
  </si>
  <si>
    <t>colecalciferol 50 000 international units tablet, ferrous sulfate 190 mg Tablets [oral], colecalciferol 50 000 international units tablet, ferrous sulfate 190 mg Tablets [oral], colecalciferol 50 000 international units tablet, ferrous sulfate 190 mg Tablets [oral], vitamins (A, B1, B2, B3, C, D3) tablet, vitamins (A, B1, B2, B3, C, D3) tablet, vitamins (A, B1, B2, B3, C, D3) tablet, vitamins (A, B1, B2, B3, C, D3) tablet, ferrous sulfate 190 mg Tablets [oral], colecalciferol 50 000 international units tablet, vitamins (A, B1, B2, B3, C, D3) tablet, ferrous sulfate 190 mg Tablets [oral], colecalciferol 50 000 international units tablet, vitamins (A, B1, B2, B3, C, D3) tablet, ferrous sulfate 190 mg Tablets [oral], colecalciferol 50 000 international units tablet, vitamins (A, B1, B2, B3, C, D3) tablet, vitamins (A, B1, B2, B3, C, D3) tablet, vitamins (A, B1, B2, B3, C, D3) tablet, ferrous sulfate 190 mg Tablets [oral], colecalciferol 50 000 international units tablet, ferrous sulfate 190 mg Tablets [oral], colecalciferol 50 000 international units tablet, ferrous sulfate 190 mg Tablets [oral], colecalciferol 50 000 international units tablet, vitamins (A, B1, B2, B3, C, D3) tablet, vitamins (A, B1, B2, B3, C, D3) tablet, vitamins (A, B1, B2, B3, C, D3) tablet, ferrous sulfate 190 mg Tablets [oral], ferrous sulfate 190 mg Tablets [oral], ferrous sulfate 190 mg Tablets [oral], colecalciferol 50 000 international units tablet, colecalciferol 50 000 international units tablet, colecalciferol 50 000 international units tablet, vitamins (A, B1, B2, B3, C, D3) tablet, vitamins (A, B1, B2, B3, C, D3) tablet, vitamins (A, B1, B2, B3, C, D3) tablet</t>
  </si>
  <si>
    <t>صالح بن منور بن صنيدح المعبدي</t>
  </si>
  <si>
    <t>SITagliptin 100 mg tablet, SITagliptin 100 mg tablet, SITagliptin 100 mg tablet, SITagliptin 100 mg tablet, SITagliptin 100 mg tablet, SITagliptin 100 mg tablet</t>
  </si>
  <si>
    <t>وائل حمدان محمد المطيري</t>
  </si>
  <si>
    <t>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 celecoxib 200 mg capsule</t>
  </si>
  <si>
    <t>ليلى عبدربه جبران الجدعاني</t>
  </si>
  <si>
    <t>amoxicillin, atorvastatin, fusidic acid, allopurinol, metFORMIN hydrochloride</t>
  </si>
  <si>
    <t>amoxicillin 500 mg + clavulanic acid 125 mg tablet, atorvastatin 20 mg tablet, amoxicillin 500 mg + clavulanic acid 125 mg tablet, atorvastatin 20 mg tablet, amoxicillin 500 mg + clavulanic acid 125 mg tablet, atorvastatin 20 mg tablet, amoxicillin 500 mg + clavulanic acid 125 mg tablet, atorvastatin 20 mg tablet, amoxicillin 500 mg + clavulanic acid 125 mg tablet, atorvastatin 20 mg tablet, amoxicillin 500 mg + clavulanic acid 125 mg tablet, atorvastatin 20 mg tablet, fusidic acid 2% (20 mg/g) cream, allopurinol 300 mg tablet, metFORMIN hydrochloride 750 mg tablet: modified release, fusidic acid 2% (20 mg/g) cream, allopurinol 300 mg tablet, metFORMIN hydrochloride 750 mg tablet: modified release, fusidic acid 2% (20 mg/g) cream, allopurinol 300 mg tablet, metFORMIN hydrochloride 750 mg tablet: modified release, fusidic acid 2% (20 mg/g) cream, allopurinol 300 mg tablet, metFORMIN hydrochloride 750 mg tablet: modified release, fusidic acid 2% (20 mg/g) cream, allopurinol 300 mg tablet, metFORMIN hydrochloride 750 mg tablet: modified release, fusidic acid 2% (20 mg/g) cream, allopurinol 300 mg tablet,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atorvastatin 20 mg tablet, atorvastatin 20 mg tablet, atorvastatin 20 mg tablet, atorvastatin 20 mg tablet, atorvastatin 20 mg tablet, atorvastatin 20 mg tablet, fusidic acid 2% (20 mg/g) cream, fusidic acid 2% (20 mg/g) cream, fusidic acid 2% (20 mg/g) cream, fusidic acid 2% (20 mg/g) cream, fusidic acid 2% (20 mg/g) cream, fusidic acid 2% (20 mg/g) cream, atorvastatin 20 mg tablet, allopurinol 300 mg tablet, atorvastatin 20 mg tablet, allopurinol 300 mg tablet, atorvastatin 20 mg tablet, allopurinol 300 mg tablet, atorvastatin 20 mg tablet, allopurinol 300 mg tablet, atorvastatin 20 mg tablet, allopurinol 300 mg tablet, atorvastatin 20 mg tablet, allopurinol 300 mg tablet, fusidic acid 2% (20 mg/g) cream, fusidic acid 2% (20 mg/g) cream, fusidic acid 2% (20 mg/g) cream, fusidic acid 2% (20 mg/g) cream, fusidic acid 2% (20 mg/g) cream, fusidic acid 2% (20 mg/g) cream,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allopurinol 300 mg tablet, allopurinol 300 mg tablet, allopurinol 300 mg tablet, allopurinol 300 mg tablet, allopurinol 300 mg tablet, allopurinol 300 mg tablet, atorvastatin 20 mg tablet, amoxicillin 500 mg + clavulanic acid 125 mg tablet, atorvastatin 20 mg tablet, amoxicillin 500 mg + clavulanic acid 125 mg tablet, atorvastatin 20 mg tablet, amoxicillin 500 mg + clavulanic acid 125 mg tablet, atorvastatin 20 mg tablet, amoxicillin 500 mg + clavulanic acid 125 mg tablet, atorvastatin 20 mg tablet, amoxicillin 500 mg + clavulanic acid 125 mg tablet, atorvastatin 20 mg tablet, amoxicillin 500 mg + clavulanic acid 125 mg tablet, fusidic acid 2% (20 mg/g) cream, metFORMIN hydrochloride 750 mg tablet: modified release, fusidic acid 2% (20 mg/g) cream, metFORMIN hydrochloride 750 mg tablet: modified release, fusidic acid 2% (20 mg/g) cream, metFORMIN hydrochloride 750 mg tablet: modified release, fusidic acid 2% (20 mg/g) cream, metFORMIN hydrochloride 750 mg tablet: modified release, fusidic acid 2% (20 mg/g) cream, metFORMIN hydrochloride 750 mg tablet: modified release, fusidic acid 2% (20 mg/g) cream, metFORMIN hydrochloride 750 mg tablet: modified release, metFORMIN hydrochloride 750 mg tablet: modified release, atorvastatin 20 mg tablet, metFORMIN hydrochloride 750 mg tablet: modified release, atorvastatin 20 mg tablet, metFORMIN hydrochloride 750 mg tablet: modified release, atorvastatin 20 mg tablet, metFORMIN hydrochloride 750 mg tablet: modified release, atorvastatin 20 mg tablet, metFORMIN hydrochloride 750 mg tablet: modified release, atorvastatin 20 mg tablet, metFORMIN hydrochloride 750 mg tablet: modified release, atorvastatin 20 mg tablet, fusidic acid 2% (20 mg/g) cream, fusidic acid 2% (20 mg/g) cream, fusidic acid 2% (20 mg/g) cream, fusidic acid 2% (20 mg/g) cream, fusidic acid 2% (20 mg/g) cream, fusidic acid 2% (20 mg/g) cream</t>
  </si>
  <si>
    <t>كمال موسى بكر فلاته</t>
  </si>
  <si>
    <t>colecalciferol, atorvastatin</t>
  </si>
  <si>
    <t>colecalciferol 50 000 international units tablet, atorvastatin 10 mg tablet, colecalciferol 50 000 international units tablet, atorvastatin 10 mg tablet, colecalciferol 50 000 international units tablet, atorvastatin 10 mg tablet, colecalciferol 50 000 international units tablet, colecalciferol 50 000 international units tablet, colecalciferol 50 000 international units tablet, atorvastatin 10 mg tablet, atorvastatin 10 mg tablet, atorvastatin 10 mg tablet, atorvastatin 10 mg tablet, atorvastatin 10 mg tablet, atorvastatin 10 mg tablet, colecalciferol 50 000 international units tablet, colecalciferol 50 000 international units tablet, colecalciferol 50 000 international units tablet</t>
  </si>
  <si>
    <t>زهور حسن ناصر عمري</t>
  </si>
  <si>
    <t>lactulose 3.35 g/5 mL oral liquid, lactulose 3.35 g/5 mL oral liquid, lactulose 3.35 g/5 mL oral liquid, lactulose 3.35 g/5 mL oral liquid, lactulose 3.35 g/5 mL oral liquid, lactulose 3.35 g/5 mL oral liquid, lactulose 3.35 g/5 mL oral liquid, lactulose 3.35 g/5 mL oral liquid</t>
  </si>
  <si>
    <t>سليم فرج نافع الاحمدي</t>
  </si>
  <si>
    <t>empagliflozin, SITagliptin, metFORMIN hydrochloride, rosuvastatin</t>
  </si>
  <si>
    <t>empagliflozin 25 mg tablet, empagliflozin 25 mg tablet, empagliflozin 25 mg tablet, SITagliptin 100 mg tablet, metFORMIN hydrochloride 500 mg tablet, SITagliptin 100 mg tablet, metFORMIN hydrochloride 500 mg tablet, SITagliptin 100 mg tablet, metFORMIN hydrochloride 500 mg tablet, rosuvastatin 10 mg tablet, rosuvastatin 10 mg tablet, rosuvastatin 10 mg tablet, SITagliptin 100 mg tablet, SITagliptin 100 mg tablet, SITagliptin 100 mg tablet, metFORMIN hydrochloride 500 mg tablet, metFORMIN hydrochloride 500 mg tablet, metFORMIN hydrochloride 500 mg tablet, empagliflozin 25 mg tablet, empagliflozin 25 mg tablet, empagliflozin 25 mg tablet, rosuvastatin 10 mg tablet, rosuvastatin 10 mg tablet, rosuvastatin 10 mg tablet, SITagliptin 100 mg tablet, empagliflozin 25 mg tablet, rosuvastatin 10 mg tablet, SITagliptin 100 mg tablet, empagliflozin 25 mg tablet, rosuvastatin 10 mg tablet, SITagliptin 100 mg tablet, empagliflozin 25 mg tablet, rosuvastatin 10 mg tablet, metFORMIN hydrochloride 500 mg tablet, metFORMIN hydrochloride 500 mg tablet, metFORMIN hydrochloride 500 mg tablet</t>
  </si>
  <si>
    <t>قمراء عبدالرحمن ابن حسين العتيبي</t>
  </si>
  <si>
    <t>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t>
  </si>
  <si>
    <t>ابراهيم علي علي علوي</t>
  </si>
  <si>
    <t>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t>
  </si>
  <si>
    <t>حنان صالح علي الغامدي</t>
  </si>
  <si>
    <t>diclofenac sodium 50 mg tablet, diclofenac sodium 50 mg tablet, diclofenac sodium 50 mg tablet, diclofenac sodium 50 mg tablet, diclofenac sodium 50 mg tablet, diclofenac sodium 1% (10 mg/g) gel, diclofenac sodium 1% (10 mg/g) gel, diclofenac sodium 1% (10 mg/g) gel, diclofenac sodium 1% (10 mg/g) gel, diclofenac sodium 1% (10 mg/g) gel, diclofenac sodium 50 mg tablet, diclofenac sodium 50 mg tablet, diclofenac sodium 50 mg tablet, diclofenac sodium 50 mg tablet, diclofenac sodium 50 mg tablet, diclofenac sodium 1% (10 mg/g) gel, diclofenac sodium 1% (10 mg/g) gel, diclofenac sodium 1% (10 mg/g) gel, diclofenac sodium 1% (10 mg/g) gel, diclofenac sodium 1% (10 mg/g) gel</t>
  </si>
  <si>
    <t>ايمان عبدالباري ابن عبدالمجيد مازي</t>
  </si>
  <si>
    <t>سلمان صالح عابد البشري</t>
  </si>
  <si>
    <t>محمد عبدالرشيد شناب  الدين سلطان</t>
  </si>
  <si>
    <t>خالد ستر حميد السلمي</t>
  </si>
  <si>
    <t>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t>
  </si>
  <si>
    <t>عبدالله صالح حمود العذل</t>
  </si>
  <si>
    <t>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t>
  </si>
  <si>
    <t>عائضه حمدان سمران المطيري</t>
  </si>
  <si>
    <t>celecoxib, allopurinol</t>
  </si>
  <si>
    <t>celecoxib 200 mg capsule, celecoxib 200 mg capsule, allopurinol 100 mg tablet, allopurinol 100 mg tablet, celecoxib 200 mg capsule, celecoxib 200 mg capsule, allopurinol 100 mg tablet, allopurinol 100 mg tablet, allopurinol 100 mg tablet, celecoxib 200 mg capsule, allopurinol 100 mg tablet, celecoxib 200 mg capsule</t>
  </si>
  <si>
    <t>عتقاء قاسم مخضر المطيري</t>
  </si>
  <si>
    <t>ثويبه مبارك فائز المطيري</t>
  </si>
  <si>
    <t>omeprazole, levothyroxine sodium, atorvastatin</t>
  </si>
  <si>
    <t>omeprazole 20 mg tablet: enteric coated, levothyroxine sodium 25 microgram tablet, atorvastatin 20 mg tablet, omeprazole 20 mg tablet: enteric coated, levothyroxine sodium 25 microgram tablet, atorvastatin 20 mg tablet, omeprazole 20 mg tablet: enteric coated, levothyroxine sodium 25 microgram tablet, atorvastatin 20 mg tablet, omeprazole 20 mg tablet: enteric coated, levothyroxine sodium 25 microgram tablet, atorvastatin 20 mg tablet, omeprazole 20 mg tablet: enteric coated, levothyroxine sodium 25 microgram tablet, atorvastatin 20 mg tablet, omeprazole 20 mg tablet: enteric coated, levothyroxine sodium 25 microgram tablet, atorvastatin 20 mg tablet, omeprazole 20 mg tablet: enteric coated, omeprazole 20 mg tablet: enteric coated, omeprazole 20 mg tablet: enteric coated, omeprazole 20 mg tablet: enteric coated, omeprazole 20 mg tablet: enteric coated, omeprazole 20 mg tablet: enteric coated, levothyroxine sodium 25 microgram tablet, levothyroxine sodium 25 microgram tablet, levothyroxine sodium 25 microgram tablet, levothyroxine sodium 25 microgram tablet, levothyroxine sodium 25 microgram tablet, levothyroxine sodium 25 microgram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omeprazole 20 mg tablet: enteric coated, omeprazole 20 mg tablet: enteric coated, omeprazole 20 mg tablet: enteric coated, omeprazole 20 mg tablet: enteric coated, omeprazole 20 mg tablet: enteric coated, omeprazole 20 mg tablet: enteric coated, levothyroxine sodium 25 microgram tablet, levothyroxine sodium 25 microgram tablet, levothyroxine sodium 25 microgram tablet, levothyroxine sodium 25 microgram tablet, levothyroxine sodium 25 microgram tablet, levothyroxine sodium 25 microgram tablet</t>
  </si>
  <si>
    <t>نسرين على احمد الجحدلي</t>
  </si>
  <si>
    <t>cetirizine hydrochloride 10 mg tablet, cetirizine hydrochloride 10 mg tablet, cetirizine hydrochloride 10 mg tablet, cetirizine hydrochloride 10 mg tablet, cetirizine hydrochloride 10 mg tablet, paracetamol 500 mg tablet, paracetamol 500 mg tablet, paracetamol 500 mg tablet, paracetamol 500 mg tablet, paracetamol 500 mg tablet, cetirizine hydrochloride 10 mg tablet, cetirizine hydrochloride 10 mg tablet, cetirizine hydrochloride 10 mg tablet, cetirizine hydrochloride 10 mg tablet, cetirizine hydrochloride 10 mg tablet, paracetamol 500 mg tablet, paracetamol 500 mg tablet, paracetamol 500 mg tablet, paracetamol 500 mg tablet, paracetamol 500 mg tablet, cetirizine hydrochloride 10 mg tablet, cetirizine hydrochloride 10 mg tablet, cetirizine hydrochloride 10 mg tablet, cetirizine hydrochloride 10 mg tablet, cetirizine hydrochloride 10 mg tablet, paracetamol 500 mg tablet, paracetamol 500 mg tablet, paracetamol 500 mg tablet, paracetamol 500 mg tablet, paracetamol 500 mg tablet, cetirizine hydrochloride 10 mg tablet, cetirizine hydrochloride 10 mg tablet, cetirizine hydrochloride 10 mg tablet, cetirizine hydrochloride 10 mg tablet, cetirizine hydrochloride 10 mg tablet, paracetamol 500 mg tablet, paracetamol 500 mg tablet, paracetamol 500 mg tablet, paracetamol 500 mg tablet, paracetamol 500 mg tablet, paracetamol 500 mg tablet, paracetamol 500 mg tablet, paracetamol 500 mg tablet, paracetamol 500 mg tablet, paracetamol 500 mg tablet, cetirizine hydrochloride 10 mg tablet, cetirizine hydrochloride 10 mg tablet, cetirizine hydrochloride 10 mg tablet, cetirizine hydrochloride 10 mg tablet, cetirizine hydrochloride 10 mg tablet, paracetamol 500 mg tablet, paracetamol 500 mg tablet, paracetamol 500 mg tablet, paracetamol 500 mg tablet, paracetamol 500 mg tablet, paracetamol 500 mg tablet, paracetamol 500 mg tablet, paracetamol 500 mg tablet, paracetamol 500 mg tablet, paracetamol 500 mg tablet</t>
  </si>
  <si>
    <t>بكر عبيدالله عبدالله الجدعاني</t>
  </si>
  <si>
    <t>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t>
  </si>
  <si>
    <t>حليمه موسى عامر مهلهل</t>
  </si>
  <si>
    <t>vitamin B complex (B, B, metFORMIN hydrochloride, levothyroxine sodium</t>
  </si>
  <si>
    <t>vitamin B complex (B1,B6,B12) 100,200,0.2 mg Film coated tablets [oral], vitamin B complex (B1,B6,B12) 100,200,0.2 mg Film coated tablets [oral], vitamin B complex (B1,B6,B12) 100,200,0.2 mg Film coated tablets [oral], metFORMIN hydrochloride 500 mg tablet, levothyroxine sodium 50 microgram tablet, metFORMIN hydrochloride 500 mg tablet, levothyroxine sodium 50 microgram tablet, metFORMIN hydrochloride 500 mg tablet, levothyroxine sodium 50 microgram tablet, levothyroxine sodium 25 microgram tablet, levothyroxine sodium 25 microgram tablet, levothyroxine sodium 25 microgram tablet, vitamin B complex (B1,B6,B12) 100,200,0.2 mg Film coated tablets [oral], metFORMIN hydrochloride 500 mg tablet, levothyroxine sodium 50 microgram tablet, vitamin B complex (B1,B6,B12) 100,200,0.2 mg Film coated tablets [oral], metFORMIN hydrochloride 500 mg tablet, levothyroxine sodium 50 microgram tablet, vitamin B complex (B1,B6,B12) 100,200,0.2 mg Film coated tablets [oral], metFORMIN hydrochloride 500 mg tablet, levothyroxine sodium 50 microgram tablet, levothyroxine sodium 25 microgram tablet, levothyroxine sodium 25 microgram tablet, levothyroxine sodium 25 microgram tablet, metFORMIN hydrochloride 500 mg tablet, levothyroxine sodium 50 microgram tablet, metFORMIN hydrochloride 500 mg tablet, levothyroxine sodium 50 microgram tablet, metFORMIN hydrochloride 500 mg tablet, levothyroxine sodium 50 microgram tablet, vitamin B complex (B1,B6,B12) 100,200,0.2 mg Film coated tablets [oral], levothyroxine sodium 25 microgram tablet, vitamin B complex (B1,B6,B12) 100,200,0.2 mg Film coated tablets [oral], levothyroxine sodium 25 microgram tablet, vitamin B complex (B1,B6,B12) 100,200,0.2 mg Film coated tablets [oral], levothyroxine sodium 25 microgram tablet, levothyroxine sodium 50 microgram tablet, metFORMIN hydrochloride 500 mg tablet, levothyroxine sodium 25 microgram tablet, levothyroxine sodium 50 microgram tablet, metFORMIN hydrochloride 500 mg tablet, levothyroxine sodium 25 microgram tablet, levothyroxine sodium 50 microgram tablet, metFORMIN hydrochloride 500 mg tablet, levothyroxine sodium 25 microgram tablet, vitamin B complex (B1,B6,B12) 100,200,0.2 mg Film coated tablets [oral], vitamin B complex (B1,B6,B12) 100,200,0.2 mg Film coated tablets [oral], vitamin B complex (B1,B6,B12) 100,200,0.2 mg Film coated tablets [oral]</t>
  </si>
  <si>
    <t>معيضه عبدالحميد حمود السلمي</t>
  </si>
  <si>
    <t>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t>
  </si>
  <si>
    <t>هناء سعيد سمران الثقفي</t>
  </si>
  <si>
    <t>metFORMIN hydrochloride, perindopril arginine, vitamin B complex (B, B, SITagliptin, ferrous sulfate</t>
  </si>
  <si>
    <t>metFORMIN hydrochloride 500 mg tablet, metFORMIN hydrochloride 500 mg tablet, metFORMIN hydrochloride 500 mg tablet, metFORMIN hydrochloride 500 mg tablet, perindopril arginine 5 mg tablet, vitamin B complex (B1,B6,B12) 100,200,0.2 mg Film coated tablets [oral], SITagliptin 100 mg tablet, perindopril arginine 5 mg tablet, vitamin B complex (B1,B6,B12) 100,200,0.2 mg Film coated tablets [oral], SITagliptin 100 mg tablet, perindopril arginine 5 mg tablet, vitamin B complex (B1,B6,B12) 100,200,0.2 mg Film coated tablets [oral], SITagliptin 100 mg tablet, perindopril arginine 5 mg tablet, vitamin B complex (B1,B6,B12) 100,200,0.2 mg Film coated tablets [oral], SITagliptin 100 mg tablet, ferrous sulfate 190 mg Tablets [oral], ferrous sulfate 190 mg Tablets [oral], ferrous sulfate 190 mg Tablets [oral], ferrous sulfate 190 mg Tablets [oral], metFORMIN hydrochloride 500 mg tablet, metFORMIN hydrochloride 500 mg tablet, metFORMIN hydrochloride 500 mg tablet, metFORMIN hydrochloride 500 mg tablet, vitamin B complex (B1,B6,B12) 100,200,0.2 mg Film coated tablets [oral], ferrous sulfate 190 mg Tablets [oral], vitamin B complex (B1,B6,B12) 100,200,0.2 mg Film coated tablets [oral], ferrous sulfate 190 mg Tablets [oral], vitamin B complex (B1,B6,B12) 100,200,0.2 mg Film coated tablets [oral], ferrous sulfate 190 mg Tablets [oral], vitamin B complex (B1,B6,B12) 100,200,0.2 mg Film coated tablets [oral], ferrous sulfate 190 mg Tablets [oral], SITagliptin 100 mg tablet, perindopril arginine 5 mg tablet, SITagliptin 100 mg tablet, perindopril arginine 5 mg tablet, SITagliptin 100 mg tablet, perindopril arginine 5 mg tablet, SITagliptin 100 mg tablet, perindopril arginine 5 mg tablet</t>
  </si>
  <si>
    <t>عبدالعزيز ابن احمد ابن سالم الزهراني</t>
  </si>
  <si>
    <t>acetylsalicylic acid, atorvastatin, indapamide, valsartan</t>
  </si>
  <si>
    <t>acetylsalicylic acid 100 mg tablet: enteric coated, acetylsalicylic acid 100 mg tablet: enteric coated, acetylsalicylic acid 100 mg tablet: enteric coated, atorvastatin 10 mg tablet, atorvastatin 10 mg tablet, atorvastatin 10 mg tablet, indapamide 1.5 mg tablet: modified release, valsartan 80 mg tablet, indapamide 1.5 mg tablet: modified release, valsartan 80 mg tablet, indapamide 1.5 mg tablet: modified release, valsartan 80 mg tablet, indapamide 1.5 mg tablet: modified release, indapamide 1.5 mg tablet: modified release, indapamide 1.5 mg tablet: modified release, acetylsalicylic acid 100 mg tablet: enteric coated, valsartan 80 mg tablet, acetylsalicylic acid 100 mg tablet: enteric coated, valsartan 80 mg tablet, acetylsalicylic acid 100 mg tablet: enteric coated, valsartan 80 mg tablet, atorvastatin 10 mg tablet, atorvastatin 10 mg tablet, atorvastatin 10 mg tablet</t>
  </si>
  <si>
    <t>فوزيه علي ابن محمد عسيري</t>
  </si>
  <si>
    <t>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t>
  </si>
  <si>
    <t>عزاء سعد الوتيش المطيري</t>
  </si>
  <si>
    <t>omeprazole, Glucometer Device (Accu-Chek), metFORMIN hydrochloride, Lancets (Accu-Check), Strips (Accu-Check)</t>
  </si>
  <si>
    <t>omeprazole 20 mg tablet: enteric coated, Glucometer Device (Accu-Chek) 1 device Device [n/a], omeprazole 20 mg tablet: enteric coated, Glucometer Device (Accu-Chek) 1 device Device [n/a], omeprazole 20 mg tablet: enteric coated, Glucometer Device (Accu-Chek) 1 device Device [n/a], omeprazole 20 mg tablet: enteric coated, Glucometer Device (Accu-Chek) 1 device Device [n/a], metFORMIN hydrochloride 750 mg tablet: modified release, Lancets (Accu-Check) 1 box Lancets [n/a], metFORMIN hydrochloride 750 mg tablet: modified release, Lancets (Accu-Check) 1 box Lancets [n/a], metFORMIN hydrochloride 750 mg tablet: modified release, Lancets (Accu-Check) 1 box Lancets [n/a], metFORMIN hydrochloride 750 mg tablet: modified release, Lancets (Accu-Check) 1 box Lancets [n/a], Strips (Accu-Check) 1 box Strip [n/a], Strips (Accu-Check) 1 box Strip [n/a], Strips (Accu-Check) 1 box Strip [n/a], Strips (Accu-Check) 1 box Strip [n/a], Strips (Accu-Check) 1 box Strip [n/a], metFORMIN hydrochloride 750 mg tablet: modified release, Lancets (Accu-Check) 1 box Lancets [n/a], omeprazole 20 mg tablet: enteric coated, Strips (Accu-Check) 1 box Strip [n/a], metFORMIN hydrochloride 750 mg tablet: modified release, Lancets (Accu-Check) 1 box Lancets [n/a], omeprazole 20 mg tablet: enteric coated, Strips (Accu-Check) 1 box Strip [n/a], metFORMIN hydrochloride 750 mg tablet: modified release, Lancets (Accu-Check) 1 box Lancets [n/a], omeprazole 20 mg tablet: enteric coated, Strips (Accu-Check) 1 box Strip [n/a], metFORMIN hydrochloride 750 mg tablet: modified release, Lancets (Accu-Check) 1 box Lancets [n/a], omeprazole 20 mg tablet: enteric coated, Glucometer Device (Accu-Chek) 1 device Device [n/a], Glucometer Device (Accu-Chek) 1 device Device [n/a], Glucometer Device (Accu-Chek) 1 device Device [n/a], Glucometer Device (Accu-Chek) 1 device Device [n/a], Glucometer Device (Accu-Chek) 1 device Device [n/a], Strips (Accu-Check) 1 box Strip [n/a], Glucometer Device (Accu-Chek) 1 device Device [n/a], Strips (Accu-Check) 1 box Strip [n/a], Glucometer Device (Accu-Chek) 1 device Device [n/a], Strips (Accu-Check) 1 box Strip [n/a], Glucometer Device (Accu-Chek) 1 device Device [n/a], Strips (Accu-Check) 1 box Strip [n/a], Lancets (Accu-Check) 1 box Lancets [n/a], metFORMIN hydrochloride 750 mg tablet: modified release, Lancets (Accu-Check) 1 box Lancets [n/a], metFORMIN hydrochloride 750 mg tablet: modified release, Lancets (Accu-Check) 1 box Lancets [n/a], metFORMIN hydrochloride 750 mg tablet: modified release, Lancets (Accu-Check) 1 box Lancets [n/a], metFORMIN hydrochloride 750 mg tablet: modified release, omeprazole 20 mg tablet: enteric coated, omeprazole 20 mg tablet: enteric coated, omeprazole 20 mg tablet: enteric coated, omeprazole 20 mg tablet: enteric coated, metFORMIN hydrochloride 750 mg tablet: modified release, Glucometer Device (Accu-Chek) 1 device Device [n/a], metFORMIN hydrochloride 750 mg tablet: modified release, Glucometer Device (Accu-Chek) 1 device Device [n/a], metFORMIN hydrochloride 750 mg tablet: modified release, Glucometer Device (Accu-Chek) 1 device Device [n/a], metFORMIN hydrochloride 750 mg tablet: modified release, Glucometer Device (Accu-Chek) 1 device Device [n/a], Strips (Accu-Check) 1 box Strip [n/a], omeprazole 20 mg tablet: enteric coated, Strips (Accu-Check) 1 box Strip [n/a], omeprazole 20 mg tablet: enteric coated, Strips (Accu-Check) 1 box Strip [n/a], omeprazole 20 mg tablet: enteric coated, Strips (Accu-Check) 1 box Strip [n/a], omeprazole 20 mg tablet: enteric coated, Lancets (Accu-Check) 1 box Lancets [n/a], Lancets (Accu-Check) 1 box Lancets [n/a], Lancets (Accu-Check) 1 box Lancets [n/a], Lancets (Accu-Check) 1 box Lancets [n/a], metFORMIN hydrochloride 750 mg tablet: modified release, metFORMIN hydrochloride 750 mg tablet: modified release, metFORMIN hydrochloride 750 mg tablet: modified release, metFORMIN hydrochloride 750 mg tablet: modified release, Lancets (Accu-Check) 1 box Lancets [n/a], Strips (Accu-Check) 1 box Strip [n/a], Lancets (Accu-Check) 1 box Lancets [n/a], Strips (Accu-Check) 1 box Strip [n/a], Lancets (Accu-Check) 1 box Lancets [n/a], Strips (Accu-Check) 1 box Strip [n/a], Lancets (Accu-Check) 1 box Lancets [n/a], Strips (Accu-Check) 1 box Strip [n/a], Glucometer Device (Accu-Chek) 1 device Device [n/a], Glucometer Device (Accu-Chek) 1 device Device [n/a], Glucometer Device (Accu-Chek) 1 device Device [n/a], Glucometer Device (Accu-Chek) 1 device Device [n/a], omeprazole 20 mg tablet: enteric coated, omeprazole 20 mg tablet: enteric coated, omeprazole 20 mg tablet: enteric coated, omeprazole 20 mg tablet: enteric coated, omeprazole 20 mg tablet: enteric coated, Glucometer Device (Accu-Chek) 1 device Device [n/a], Strips (Accu-Check) 1 box Strip [n/a], omeprazole 20 mg tablet: enteric coated, Glucometer Device (Accu-Chek) 1 device Device [n/a], Strips (Accu-Check) 1 box Strip [n/a], omeprazole 20 mg tablet: enteric coated, Glucometer Device (Accu-Chek) 1 device Device [n/a], Strips (Accu-Check) 1 box Strip [n/a], omeprazole 20 mg tablet: enteric coated, Glucometer Device (Accu-Chek) 1 device Device [n/a], Strips (Accu-Check) 1 box Strip [n/a], metFORMIN hydrochloride 750 mg tablet: modified release, metFORMIN hydrochloride 750 mg tablet: modified release, metFORMIN hydrochloride 750 mg tablet: modified release, metFORMIN hydrochloride 750 mg tablet: modified release, Lancets (Accu-Check) 1 box Lancets [n/a], Lancets (Accu-Check) 1 box Lancets [n/a], Lancets (Accu-Check) 1 box Lancets [n/a], Lancets (Accu-Check) 1 box Lancets [n/a], metFORMIN hydrochloride 750 mg tablet: modified release, metFORMIN hydrochloride 750 mg tablet: modified release, metFORMIN hydrochloride 750 mg tablet: modified release, metFORMIN hydrochloride 750 mg tablet: modified release, Lancets (Accu-Check) 1 box Lancets [n/a], Lancets (Accu-Check) 1 box Lancets [n/a], Lancets (Accu-Check) 1 box Lancets [n/a], Lancets (Accu-Check) 1 box Lancets [n/a], Strips (Accu-Check) 1 box Strip [n/a], Glucometer Device (Accu-Chek) 1 device Device [n/a], Strips (Accu-Check) 1 box Strip [n/a], Glucometer Device (Accu-Chek) 1 device Device [n/a], Strips (Accu-Check) 1 box Strip [n/a], Glucometer Device (Accu-Chek) 1 device Device [n/a], Strips (Accu-Check) 1 box Strip [n/a], Glucometer Device (Accu-Chek) 1 device Device [n/a], omeprazole 20 mg tablet: enteric coated, omeprazole 20 mg tablet: enteric coated, omeprazole 20 mg tablet: enteric coated, omeprazole 20 mg tablet: enteric coated</t>
  </si>
  <si>
    <t>أيمن ابن حسين ابن حج عمر حسن</t>
  </si>
  <si>
    <t>omeprazole, FLUoxetine</t>
  </si>
  <si>
    <t>omeprazole 20 mg tablet: enteric coated, omeprazole 20 mg tablet: enteric coated, omeprazole 20 mg tablet: enteric coated, omeprazole 20 mg tablet: enteric coated, omeprazole 20 mg tablet: enteric coated, omeprazole 20 mg tablet: enteric coated, FLUoxetine 20 mg capsule, FLUoxetine 20 mg capsule, FLUoxetine 20 mg capsule, FLUoxetine 20 mg capsule, FLUoxetine 20 mg capsule, FLUoxetine 20 mg capsule</t>
  </si>
  <si>
    <t>ماجد صالح صلاح الاحمدي</t>
  </si>
  <si>
    <t>metFORMIN hydrochloride, Glucometer Device (Accu-Chek), insulin glargine (lantus), atorvastatin, Lancets (Accu-Check), Strips (Accu-Check)</t>
  </si>
  <si>
    <t>metFORMIN hydrochloride 500 mg tablet, Glucometer Device (Accu-Chek) 1 device Device [n/a], metFORMIN hydrochloride 500 mg tablet, Glucometer Device (Accu-Chek) 1 device Device [n/a], metFORMIN hydrochloride 500 mg tablet, Glucometer Device (Accu-Chek) 1 device Device [n/a], metFORMIN hydrochloride 500 mg tablet, Glucometer Device (Accu-Chek) 1 device Device [n/a], insulin glargine (lantus) 100 international units/mL injection, 3 mL prefilled pen, atorvastatin 20 mg tablet, insulin glargine (lantus) 100 international units/mL injection, 3 mL prefilled pen, atorvastatin 20 mg tablet, insulin glargine (lantus) 100 international units/mL injection, 3 mL prefilled pen, atorvastatin 20 mg tablet, insulin glargine (lantus) 100 international units/mL injection, 3 mL prefilled pen, atorvastatin 20 mg tablet, Lancets (Accu-Check) 1 box Lancets [n/a], Lancets (Accu-Check) 1 box Lancets [n/a], Lancets (Accu-Check) 1 box Lancets [n/a], Lancets (Accu-Check) 1 box Lancets [n/a], Strips (Accu-Check) 1 box Strip [n/a], Strips (Accu-Check) 1 box Strip [n/a], Strips (Accu-Check) 1 box Strip [n/a], Strips (Accu-Check) 1 box Strip [n/a], Lancets (Accu-Check) 1 box Lancets [n/a], Lancets (Accu-Check) 1 box Lancets [n/a], Lancets (Accu-Check) 1 box Lancets [n/a], Lancets (Accu-Check) 1 box Lancets [n/a], Strips (Accu-Check) 1 box Strip [n/a], atorvastatin 20 mg tablet, Glucometer Device (Accu-Chek) 1 device Device [n/a], Strips (Accu-Check) 1 box Strip [n/a], atorvastatin 20 mg tablet, Glucometer Device (Accu-Chek) 1 device Device [n/a], Strips (Accu-Check) 1 box Strip [n/a], atorvastatin 20 mg tablet, Glucometer Device (Accu-Chek) 1 device Device [n/a], Strips (Accu-Check) 1 box Strip [n/a], atorvastatin 20 mg tablet, Glucometer Device (Accu-Chek) 1 device Device [n/a],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metFORMIN hydrochloride 500 mg tablet, metFORMIN hydrochloride 500 mg tablet, metFORMIN hydrochloride 500 mg tablet, metFORMIN hydrochloride 500 mg tablet, Glucometer Device (Accu-Chek) 1 device Device [n/a], metFORMIN hydrochloride 500 mg tablet, Glucometer Device (Accu-Chek) 1 device Device [n/a], metFORMIN hydrochloride 500 mg tablet, Glucometer Device (Accu-Chek) 1 device Device [n/a], metFORMIN hydrochloride 500 mg tablet, Glucometer Device (Accu-Chek) 1 device Device [n/a], metFORMIN hydrochloride 500 mg tablet, Strips (Accu-Check) 1 box Strip [n/a], Strips (Accu-Check) 1 box Strip [n/a], Strips (Accu-Check) 1 box Strip [n/a], Strips (Accu-Check) 1 box Strip [n/a], Lancets (Accu-Check) 1 box Lancets [n/a], Lancets (Accu-Check) 1 box Lancets [n/a], Lancets (Accu-Check) 1 box Lancets [n/a], Lancets (Accu-Check) 1 box Lancets [n/a], insulin glargine (lantus) 100 international units/mL injection, 3 mL prefilled pen, atorvastatin 20 mg tablet, insulin glargine (lantus) 100 international units/mL injection, 3 mL prefilled pen, atorvastatin 20 mg tablet, insulin glargine (lantus) 100 international units/mL injection, 3 mL prefilled pen, atorvastatin 20 mg tablet, insulin glargine (lantus) 100 international units/mL injection, 3 mL prefilled pen, atorvastatin 20 mg tablet</t>
  </si>
  <si>
    <t>خالد بن احمد شمس</t>
  </si>
  <si>
    <t>tamsulosin hydrochloride, vitamin B complex (B, B, amLODIPine, insulin glargine, rosuvastatin, SITagliptin, metFORMIN hydrochloride</t>
  </si>
  <si>
    <t>tamsulosin hydrochloride 400 microgram tablet: modified release, vitamin B complex (B1,B6,B12) 100,200,0.2 mg Film coated tablets [oral], amLODIPine 5 mg tablet, insulin glargine 300 international units/mL injection, 1.5 mL prefilled pen, tamsulosin hydrochloride 400 microgram tablet: modified release, vitamin B complex (B1,B6,B12) 100,200,0.2 mg Film coated tablets [oral], amLODIPine 5 mg tablet, insulin glargine 300 international units/mL injection, 1.5 mL prefilled pen, rosuvastatin 10 mg tablet, SITagliptin 100 mg tablet, metFORMIN hydrochloride 500 mg tablet, rosuvastatin 10 mg tablet, SITagliptin 100 mg tablet, metFORMIN hydrochloride 500 mg tablet, rosuvastatin 10 mg tablet, tamsulosin hydrochloride 400 microgram tablet: modified release, rosuvastatin 10 mg tablet, tamsulosin hydrochloride 400 microgram tablet: modified release, metFORMIN hydrochloride 500 mg tablet, vitamin B complex (B1,B6,B12) 100,200,0.2 mg Film coated tablets [oral], metFORMIN hydrochloride 500 mg tablet, vitamin B complex (B1,B6,B12) 100,200,0.2 mg Film coated tablets [oral], SITagliptin 100 mg tablet, insulin glargine 300 international units/mL injection, 1.5 mL prefilled pen, SITagliptin 100 mg tablet, insulin glargine 300 international units/mL injection, 1.5 mL prefilled pen, amLODIPine 5 mg tablet, amLODIPine 5 mg tablet, metFORMIN hydrochloride 500 mg tablet, rosuvastatin 10 mg tablet, SITagliptin 100 mg tablet, tamsulosin hydrochloride 400 microgram tablet: modified release, metFORMIN hydrochloride 500 mg tablet, rosuvastatin 10 mg tablet, SITagliptin 100 mg tablet, tamsulosin hydrochloride 400 microgram tablet: modified release, vitamin B complex (B1,B6,B12) 100,200,0.2 mg Film coated tablets [oral], insulin glargine 300 international units/mL injection, 1.5 mL prefilled pen, vitamin B complex (B1,B6,B12) 100,200,0.2 mg Film coated tablets [oral], insulin glargine 300 international units/mL injection, 1.5 mL prefilled pen, amLODIPine 5 mg tablet, amLODIPine 5 mg tablet</t>
  </si>
  <si>
    <t>سارا عارف بن عجل السلمي</t>
  </si>
  <si>
    <t>atorvastatin, colecalciferol, omeprazole</t>
  </si>
  <si>
    <t>atorvastatin 10 mg tablet, atorvastatin 10 mg tablet, atorvastatin 10 mg tablet, colecalciferol 50 000 international units tablet, colecalciferol 50 000 international units tablet, colecalciferol 50 000 international units tablet, omeprazole 20 mg tablet: enteric coated, omeprazole 20 mg tablet: enteric coated, omeprazole 20 mg tablet: enteric coated, colecalciferol 50 000 international units tablet, colecalciferol 50 000 international units tablet, colecalciferol 50 000 international units tablet, omeprazole 20 mg tablet: enteric coated, omeprazole 20 mg tablet: enteric coated, omeprazole 20 mg tablet: enteric coated, atorvastatin 10 mg tablet, atorvastatin 10 mg tablet, atorvastatin 10 mg tablet, omeprazole 20 mg tablet: enteric coated, omeprazole 20 mg tablet: enteric coated, omeprazole 20 mg tablet: enteric coated, atorvastatin 10 mg tablet, colecalciferol 50 000 international units tablet, atorvastatin 10 mg tablet, colecalciferol 50 000 international units tablet, atorvastatin 10 mg tablet, colecalciferol 50 000 international units tablet</t>
  </si>
  <si>
    <t>قليله بركه محسن البشري</t>
  </si>
  <si>
    <t>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t>
  </si>
  <si>
    <t>خليف بن مطيع بن خليف السلمي</t>
  </si>
  <si>
    <t>varenicline, amLODIPine, valsartan, varenicline (</t>
  </si>
  <si>
    <t>varenicline 1 mg tablet, varenicline 1 mg tablet, varenicline 1 mg tablet, amLODIPine 5 mg tablet, valsartan 80 mg tablet, amLODIPine 5 mg tablet, valsartan 80 mg tablet, amLODIPine 5 mg tablet, valsartan 80 mg tablet, varenicline (11 x 500 microgram tablets, 14 x 1 mg tablets), 1 starter pack, varenicline (11 x 500 microgram tablets, 14 x 1 mg tablets), 1 starter pack, varenicline (11 x 500 microgram tablets, 14 x 1 mg tablets), 1 starter pack, varenicline 1 mg tablet, valsartan 80 mg tablet, amLODIPine 5 mg tablet, varenicline (11 x 500 microgram tablets, 14 x 1 mg tablets), 1 starter pack, varenicline 1 mg tablet, valsartan 80 mg tablet, amLODIPine 5 mg tablet, varenicline (11 x 500 microgram tablets, 14 x 1 mg tablets), 1 starter pack, varenicline 1 mg tablet, valsartan 80 mg tablet, amLODIPine 5 mg tablet, varenicline (11 x 500 microgram tablets, 14 x 1 mg tablets), 1 starter pack</t>
  </si>
  <si>
    <t>حنان بنت يوسف بن محمد الكباريتي</t>
  </si>
  <si>
    <t>ibuprofen, metroNIDAZOLE</t>
  </si>
  <si>
    <t>ibuprofen 400 mg tablet, metroNIDAZOLE 500 mg tablet, ibuprofen 400 mg tablet, metroNIDAZOLE 500 mg tablet, ibuprofen 400 mg tablet, metroNIDAZOLE 500 mg tablet, ibuprofen 400 mg tablet, metroNIDAZOLE 500 mg tablet, ibuprofen 400 mg tablet, metroNIDAZOLE 500 mg tablet, ibuprofen 400 mg tablet, metroNIDAZOLE 500 mg tablet, ibuprofen 400 mg tablet, metroNIDAZOLE 500 mg tablet, ibuprofen 400 mg tablet, metroNIDAZOLE 500 mg tablet, ibuprofen 400 mg tablet, metroNIDAZOLE 500 mg tablet, ibuprofen 400 mg tablet, metroNIDAZOLE 500 mg tablet, ibuprofen 400 mg tablet, metroNIDAZOLE 500 mg tablet, ibuprofen 400 mg tablet, metroNIDAZOLE 500 mg tablet</t>
  </si>
  <si>
    <t>عبدالعزيز سعيد بن سعد الغامدي</t>
  </si>
  <si>
    <t>vitamin B complex (B, B, metFORMIN hydrochloride, SITagliptin</t>
  </si>
  <si>
    <t>vitamin B complex (B1,B6,B12) 100,200,0.2 mg Film coated tablets [oral], metFORMIN hydrochloride 750 mg tablet: modified release, vitamin B complex (B1,B6,B12) 100,200,0.2 mg Film coated tablets [oral], metFORMIN hydrochloride 750 mg tablet: modified release, vitamin B complex (B1,B6,B12) 100,200,0.2 mg Film coated tablets [oral], metFORMIN hydrochloride 750 mg tablet: modified release, SITagliptin 100 mg tablet, SITagliptin 100 mg tablet, SITagliptin 100 mg tablet, metFORMIN hydrochloride 750 mg tablet: modified release, metFORMIN hydrochloride 750 mg tablet: modified release, metFORMIN hydrochloride 750 mg tablet: modified release, vitamin B complex (B1,B6,B12) 100,200,0.2 mg Film coated tablets [oral], vitamin B complex (B1,B6,B12) 100,200,0.2 mg Film coated tablets [oral], vitamin B complex (B1,B6,B12) 100,200,0.2 mg Film coated tablets [oral], SITagliptin 100 mg tablet, SITagliptin 100 mg tablet, SITagliptin 100 mg tablet, SITagliptin 100 mg tablet, vitamin B complex (B1,B6,B12) 100,200,0.2 mg Film coated tablets [oral], metFORMIN hydrochloride 750 mg tablet: modified release, SITagliptin 100 mg tablet, vitamin B complex (B1,B6,B12) 100,200,0.2 mg Film coated tablets [oral], metFORMIN hydrochloride 750 mg tablet: modified release, SITagliptin 100 mg tablet, vitamin B complex (B1,B6,B12) 100,200,0.2 mg Film coated tablets [oral], metFORMIN hydrochloride 750 mg tablet: modified release</t>
  </si>
  <si>
    <t>جمال صديق احمد دليل الرحمن كمال</t>
  </si>
  <si>
    <t>vitamin B complex (B, B, atorvastatin, metFORMIN hydrochloride, budesonide</t>
  </si>
  <si>
    <t>vitamin B complex (B1,B6,B12) 100,100,0.15 mg Film coated tablets [oral], vitamin B complex (B1,B6,B12) 100,100,0.15 mg Film coated tablets [oral], vitamin B complex (B1,B6,B12) 100,100,0.15 mg Film coated tablets [oral], vitamin B complex (B1,B6,B12) 100,100,0.15 mg Film coated tablets [oral], atorvastatin 20 mg tablet, metFORMIN hydrochloride 750 mg tablet: modified release, atorvastatin 20 mg tablet, metFORMIN hydrochloride 750 mg tablet: modified release, atorvastatin 20 mg tablet, metFORMIN hydrochloride 750 mg tablet: modified release, atorvastatin 20 mg tablet, metFORMIN hydrochloride 750 mg tablet: modified release,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vitamin B complex (B1,B6,B12) 100,100,0.15 mg Film coated tablets [oral], vitamin B complex (B1,B6,B12) 100,100,0.15 mg Film coated tablets [oral], vitamin B complex (B1,B6,B12) 100,100,0.15 mg Film coated tablets [oral], vitamin B complex (B1,B6,B12) 100,100,0.15 mg Film coated tablets [oral], atorvastatin 20 mg tablet, atorvastatin 20 mg tablet, atorvastatin 20 mg tablet, atorvastatin 20 mg tablet, metFORMIN hydrochloride 750 mg tablet: modified release, metFORMIN hydrochloride 750 mg tablet: modified release, metFORMIN hydrochloride 750 mg tablet: modified release, metFORMIN hydrochloride 750 mg tablet: modified release,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t>
  </si>
  <si>
    <t>مها يوسف بن محمد باعبدالله</t>
  </si>
  <si>
    <t>نامي بن طلق بن عقل السلمي</t>
  </si>
  <si>
    <t>colecalciferol 50 000 international units tablet, colecalciferol 50 000 international units tablet</t>
  </si>
  <si>
    <t>فهد بن عبداله بن عبدالله العدواني</t>
  </si>
  <si>
    <t>فيصل بن جرمان بن فيحان القحطانى</t>
  </si>
  <si>
    <t>tamsulosin hydrochloride, empagliflozin, diclofenac sodium</t>
  </si>
  <si>
    <t>tamsulosin hydrochloride 400 microgram tablet: modified release, empagliflozin 10 mg tablet, tamsulosin hydrochloride 400 microgram tablet: modified release, empagliflozin 10 mg tablet, tamsulosin hydrochloride 400 microgram tablet: modified release, empagliflozin 10 mg tablet, tamsulosin hydrochloride 400 microgram tablet: modified release, empagliflozin 10 mg tablet, tamsulosin hydrochloride 400 microgram tablet: modified release, empagliflozin 10 mg tablet, tamsulosin hydrochloride 400 microgram tablet: modified release, empagliflozin 10 mg tablet, tamsulosin hydrochloride 400 microgram tablet: modified release, empagliflozin 10 mg tablet, diclofenac sodium 50 mg tablet, diclofenac sodium 50 mg tablet, diclofenac sodium 50 mg tablet, diclofenac sodium 50 mg tablet, diclofenac sodium 50 mg tablet, diclofenac sodium 50 mg tablet, diclofenac sodium 50 mg tablet, diclofenac sodium 50 mg tablet, diclofenac sodium 50 mg tablet, diclofenac sodium 50 mg tablet, diclofenac sodium 50 mg tablet, diclofenac sodium 50 mg tablet, diclofenac sodium 50 mg tablet, diclofenac sodium 50 mg tablet, empagliflozin 10 mg tablet, tamsulosin hydrochloride 400 microgram tablet: modified release, empagliflozin 10 mg tablet, tamsulosin hydrochloride 400 microgram tablet: modified release, empagliflozin 10 mg tablet, tamsulosin hydrochloride 400 microgram tablet: modified release, empagliflozin 10 mg tablet, tamsulosin hydrochloride 400 microgram tablet: modified release, empagliflozin 10 mg tablet, tamsulosin hydrochloride 400 microgram tablet: modified release, empagliflozin 10 mg tablet, tamsulosin hydrochloride 400 microgram tablet: modified release, empagliflozin 10 mg tablet, tamsulosin hydrochloride 400 microgram tablet: modified release, diclofenac sodium 50 mg tablet, diclofenac sodium 50 mg tablet, diclofenac sodium 50 mg tablet, diclofenac sodium 50 mg tablet, diclofenac sodium 50 mg tablet, diclofenac sodium 50 mg tablet, diclofenac sodium 50 mg tablet, empagliflozin 10 mg tablet, empagliflozin 10 mg tablet, empagliflozin 10 mg tablet, empagliflozin 10 mg tablet, empagliflozin 10 mg tablet, empagliflozin 10 mg tablet, empagliflozin 10 mg tablet, tamsulosin hydrochloride 400 microgram tablet: modified release, tamsulosin hydrochloride 400 microgram tablet: modified release, tamsulosin hydrochloride 400 microgram tablet: modified release, tamsulosin hydrochloride 400 microgram tablet: modified release, tamsulosin hydrochloride 400 microgram tablet: modified release, tamsulosin hydrochloride 400 microgram tablet: modified release, tamsulosin hydrochloride 400 microgram tablet: modified release</t>
  </si>
  <si>
    <t>مطيعه عبدالرزاق صليح ابوخماس</t>
  </si>
  <si>
    <t>atorvastatin 20 mg tablet, atorvastatin 20 mg tablet, atorvastatin 20 mg tablet, atorvastatin 20 mg tablet, colecalciferol 50 000 international units tablet, colecalciferol 50 000 international units tablet, colecalciferol 50 000 international units tablet, colecalciferol 50 000 international units tablet, colecalciferol 50 000 international units tablet, atorvastatin 20 mg tablet, colecalciferol 50 000 international units tablet, atorvastatin 20 mg tablet, colecalciferol 50 000 international units tablet, atorvastatin 20 mg tablet, colecalciferol 50 000 international units tablet, atorvastatin 20 mg tablet</t>
  </si>
  <si>
    <t>علاوي عتيق علاوي المولد</t>
  </si>
  <si>
    <t>fluticasone propionate, cetirizine hydrochloride, paracetamol, sodium chloride</t>
  </si>
  <si>
    <t>fluticasone propionate 0.05% nasal spray, fluticasone propionate 0.05% nasal spray, fluticasone propionate 0.05% nasal spray, cetirizine hydrochloride 10 mg tablet, paracetamol 500 mg tablet, cetirizine hydrochloride 10 mg tablet, paracetamol 500 mg tablet, cetirizine hydrochloride 10 mg tablet, paracetamol 500 mg tablet, sodium chloride 0.9% (9 mg/mL) nasal spray, sodium chloride 0.9% (9 mg/mL) nasal spray, sodium chloride 0.9% (9 mg/mL) nasal spray, paracetamol 500 mg tablet, paracetamol 500 mg tablet, paracetamol 500 mg tablet, sodium chloride 0.9% (9 mg/mL) nasal spray, sodium chloride 0.9% (9 mg/mL) nasal spray, sodium chloride 0.9% (9 mg/mL) nasal spray, fluticasone propionate 0.05% nasal spray, fluticasone propionate 0.05% nasal spray, fluticasone propionate 0.05% nasal spray, cetirizine hydrochloride 10 mg tablet, cetirizine hydrochloride 10 mg tablet, cetirizine hydrochloride 10 mg tablet, cetirizine hydrochloride 10 mg tablet, cetirizine hydrochloride 10 mg tablet, cetirizine hydrochloride 10 mg tablet, fluticasone propionate 0.05% nasal spray, fluticasone propionate 0.05% nasal spray, fluticasone propionate 0.05% nasal spray, paracetamol 500 mg tablet, sodium chloride 0.9% (9 mg/mL) nasal spray, paracetamol 500 mg tablet, sodium chloride 0.9% (9 mg/mL) nasal spray, paracetamol 500 mg tablet, sodium chloride 0.9% (9 mg/mL) nasal spray, fluticasone propionate 0.05% nasal spray, sodium chloride 0.9% (9 mg/mL) nasal spray, fluticasone propionate 0.05% nasal spray, sodium chloride 0.9% (9 mg/mL) nasal spray, fluticasone propionate 0.05% nasal spray, sodium chloride 0.9% (9 mg/mL) nasal spray, paracetamol 500 mg tablet, cetirizine hydrochloride 10 mg tablet, paracetamol 500 mg tablet, cetirizine hydrochloride 10 mg tablet, paracetamol 500 mg tablet, cetirizine hydrochloride 10 mg tablet, paracetamol 500 mg tablet, sodium chloride 0.9% (9 mg/mL) nasal spray, paracetamol 500 mg tablet, sodium chloride 0.9% (9 mg/mL) nasal spray, paracetamol 500 mg tablet, sodium chloride 0.9% (9 mg/mL) nasal spray</t>
  </si>
  <si>
    <t>فاطمه عطيه بن موسي الخرماني</t>
  </si>
  <si>
    <t>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t>
  </si>
  <si>
    <t>اسامه محسن مليح</t>
  </si>
  <si>
    <t>amLODIPine, hydroCHLOROthiazide, perindopril arginine</t>
  </si>
  <si>
    <t>amLODIPine 5 mg tablet, amLODIPine 5 mg tablet, amLODIPine 5 mg tablet, amLODIPine 5 mg tablet, hydroCHLOROthiazide 25 mg tablet: scored, perindopril arginine 5 mg tablet, hydroCHLOROthiazide 25 mg tablet: scored, perindopril arginine 5 mg tablet, hydroCHLOROthiazide 25 mg tablet: scored, perindopril arginine 5 mg tablet, hydroCHLOROthiazide 25 mg tablet: scored, perindopril arginine 5 mg tablet, amLODIPine 5 mg tablet, amLODIPine 5 mg tablet, amLODIPine 5 mg tablet, amLODIPine 5 mg tablet, amLODIPine 5 mg tablet, perindopril arginine 5 mg tablet, hydroCHLOROthiazide 25 mg tablet: scored, amLODIPine 5 mg tablet, perindopril arginine 5 mg tablet, hydroCHLOROthiazide 25 mg tablet: scored, amLODIPine 5 mg tablet, perindopril arginine 5 mg tablet, hydroCHLOROthiazide 25 mg tablet: scored, amLODIPine 5 mg tablet, perindopril arginine 5 mg tablet, hydroCHLOROthiazide 25 mg tablet: scored, perindopril arginine 5 mg tablet, perindopril arginine 5 mg tablet, perindopril arginine 5 mg tablet, perindopril arginine 5 mg tablet, hydroCHLOROthiazide 25 mg tablet: scored, hydroCHLOROthiazide 25 mg tablet: scored, hydroCHLOROthiazide 25 mg tablet: scored, hydroCHLOROthiazide 25 mg tablet: scored</t>
  </si>
  <si>
    <t>عايض بن يونس بن عبيد المطيري</t>
  </si>
  <si>
    <t>levothyroxine sodium, empagliflozin, vitamin B complex (B, B</t>
  </si>
  <si>
    <t>levothyroxine sodium 50 microgram tablet, levothyroxine sodium 50 microgram tablet, levothyroxine sodium 50 microgram tablet, levothyroxine sodium 50 microgram tablet, levothyroxine sodium 50 microgram tablet, levothyroxine sodium 50 microgram tablet, empagliflozin 10 mg tablet, vitamin B complex (B1,B6,B12) 100,200,0.2 mg Film coated tablets [oral], empagliflozin 10 mg tablet, vitamin B complex (B1,B6,B12) 100,200,0.2 mg Film coated tablets [oral], empagliflozin 10 mg tablet, vitamin B complex (B1,B6,B12) 100,200,0.2 mg Film coated tablets [oral], empagliflozin 10 mg tablet, vitamin B complex (B1,B6,B12) 100,200,0.2 mg Film coated tablets [oral], empagliflozin 10 mg tablet, vitamin B complex (B1,B6,B12) 100,200,0.2 mg Film coated tablets [oral], empagliflozin 10 mg tablet, vitamin B complex (B1,B6,B12) 100,200,0.2 mg Film coated tablets [oral], empagliflozin 10 mg tablet, vitamin B complex (B1,B6,B12) 100,200,0.2 mg Film coated tablets [oral], empagliflozin 10 mg tablet, vitamin B complex (B1,B6,B12) 100,200,0.2 mg Film coated tablets [oral], empagliflozin 10 mg tablet, vitamin B complex (B1,B6,B12) 100,200,0.2 mg Film coated tablets [oral], empagliflozin 10 mg tablet, vitamin B complex (B1,B6,B12) 100,200,0.2 mg Film coated tablets [oral], empagliflozin 10 mg tablet, vitamin B complex (B1,B6,B12) 100,200,0.2 mg Film coated tablets [oral], empagliflozin 10 mg tablet, vitamin B complex (B1,B6,B12) 100,200,0.2 mg Film coated tablets [oral], levothyroxine sodium 50 microgram tablet, levothyroxine sodium 50 microgram tablet, levothyroxine sodium 50 microgram tablet, levothyroxine sodium 50 microgram tablet, levothyroxine sodium 50 microgram tablet, levothyroxine sodium 50 microgram tablet</t>
  </si>
  <si>
    <t>بيان عبد المعين محمد عبيان</t>
  </si>
  <si>
    <t>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t>
  </si>
  <si>
    <t>زكيه بنت احمد بن محمد المهنا</t>
  </si>
  <si>
    <t>paracetamol 500 mg tablet, paracetamol 500 mg tablet, paracetamol 500 mg tablet, paracetamol 500 mg tablet, amoxicillin 500 mg capsule, paracetamol 500 mg tablet, amoxicillin 500 mg capsule, paracetamol 500 mg tablet, amoxicillin 500 mg capsule, paracetamol 500 mg tablet, paracetamol 500 mg tablet, paracetamol 500 mg tablet, amoxicillin 500 mg capsule, amoxicillin 500 mg capsule, amoxicillin 500 mg capsule, amoxicillin 500 mg capsule, amoxicillin 500 mg capsule, amoxicillin 500 mg capsule, paracetamol 500 mg tablet, paracetamol 500 mg tablet, paracetamol 500 mg tablet, paracetamol 500 mg tablet, paracetamol 500 mg tablet, paracetamol 500 mg tablet</t>
  </si>
  <si>
    <t>مصلحه بنت محمدسعيد بن حمدان الرايقي</t>
  </si>
  <si>
    <t>metFORMIN hydrochloride 500 mg tablet, metFORMIN hydrochloride 500 mg tablet, metFORMIN hydrochloride 500 mg tablet, vitamin B complex (B1,B6,B12) 100,100,0.15 mg Film coated tablets [oral], vitamin B complex (B1,B6,B12) 100,100,0.15 mg Film coated tablets [oral], vitamin B complex (B1,B6,B12) 100,100,0.15 mg Film coated tablets [oral], metFORMIN hydrochloride 500 mg tablet, metFORMIN hydrochloride 500 mg tablet, metFORMIN hydrochloride 500 mg tablet, vitamin B complex (B1,B6,B12) 100,100,0.15 mg Film coated tablets [oral], vitamin B complex (B1,B6,B12) 100,100,0.15 mg Film coated tablets [oral], vitamin B complex (B1,B6,B12) 100,100,0.15 mg Film coated tablets [oral], metFORMIN hydrochloride 500 mg tablet, metFORMIN hydrochloride 500 mg tablet, metFORMIN hydrochloride 500 mg tablet, vitamin B complex (B1,B6,B12) 100,100,0.15 mg Film coated tablets [oral], vitamin B complex (B1,B6,B12) 100,100,0.15 mg Film coated tablets [oral], vitamin B complex (B1,B6,B12) 100,100,0.15 mg Film coated tablets [oral], metFORMIN hydrochloride 500 mg tablet, metFORMIN hydrochloride 500 mg tablet, metFORMIN hydrochloride 500 mg tablet, vitamin B complex (B1,B6,B12) 100,100,0.15 mg Film coated tablets [oral], vitamin B complex (B1,B6,B12) 100,100,0.15 mg Film coated tablets [oral], vitamin B complex (B1,B6,B12) 100,100,0.15 mg Film coated tablets [oral]</t>
  </si>
  <si>
    <t>محمد عيد زايد العتيبي</t>
  </si>
  <si>
    <t>metFORMIN hydrochloride, carbomer, empagliflozin, valsartan</t>
  </si>
  <si>
    <t>metFORMIN hydrochloride 500 mg tablet, metFORMIN hydrochloride 500 mg tablet, carbomer 0.2% (2 mg/g) eye gel, carbomer 0.2% (2 mg/g) eye gel, empagliflozin 10 mg tablet, empagliflozin 10 mg tablet, valsartan 80 mg tablet, valsartan 80 mg tablet, valsartan 80 mg tablet, valsartan 80 mg tablet, metFORMIN hydrochloride 500 mg tablet, carbomer 0.2% (2 mg/g) eye gel, metFORMIN hydrochloride 500 mg tablet, carbomer 0.2% (2 mg/g) eye gel, empagliflozin 10 mg tablet, empagliflozin 10 mg tablet</t>
  </si>
  <si>
    <t>احسان محمدأمين مسلم عباس</t>
  </si>
  <si>
    <t>domperidone, loperamide hydrochloride, paracetamol, fusidic acid</t>
  </si>
  <si>
    <t>domperidone 10 mg tablet, loperamide hydrochloride 2 mg capsule, domperidone 10 mg tablet, loperamide hydrochloride 2 mg capsule, domperidone 10 mg tablet, loperamide hydrochloride 2 mg capsule, domperidone 10 mg tablet, loperamide hydrochloride 2 mg capsule, paracetamol 500 mg tablet, fusidic acid 2% (20 mg/g) cream, paracetamol 500 mg tablet, fusidic acid 2% (20 mg/g) cream, paracetamol 500 mg tablet, fusidic acid 2% (20 mg/g) cream, paracetamol 500 mg tablet, fusidic acid 2% (20 mg/g) cream, domperidone 10 mg tablet, domperidone 10 mg tablet, domperidone 10 mg tablet, domperidone 10 mg tablet, paracetamol 500 mg tablet, paracetamol 500 mg tablet, paracetamol 500 mg tablet, paracetamol 500 mg tablet, loperamide hydrochloride 2 mg capsule, fusidic acid 2% (20 mg/g) cream, loperamide hydrochloride 2 mg capsule, fusidic acid 2% (20 mg/g) cream, loperamide hydrochloride 2 mg capsule, fusidic acid 2% (20 mg/g) cream, loperamide hydrochloride 2 mg capsule, fusidic acid 2% (20 mg/g) cream, fusidic acid 2% (20 mg/g) cream, domperidone 10 mg tablet, fusidic acid 2% (20 mg/g) cream, domperidone 10 mg tablet, fusidic acid 2% (20 mg/g) cream, domperidone 10 mg tablet, fusidic acid 2% (20 mg/g) cream, domperidone 10 mg tablet, paracetamol 500 mg tablet, paracetamol 500 mg tablet, paracetamol 500 mg tablet, paracetamol 500 mg tablet, loperamide hydrochloride 2 mg capsule, loperamide hydrochloride 2 mg capsule, loperamide hydrochloride 2 mg capsule, loperamide hydrochloride 2 mg capsule</t>
  </si>
  <si>
    <t>بدريه محمد بن خلف المولد</t>
  </si>
  <si>
    <t>paracetamol, amLODIPine, perindopril arginine</t>
  </si>
  <si>
    <t>paracetamol 500 mg tablet, amLODIPine 5 mg tablet, paracetamol 500 mg tablet, amLODIPine 5 mg tablet, paracetamol 500 mg tablet, amLODIPine 5 mg tablet, paracetamol 500 mg tablet, amLODIPine 5 mg tablet, perindopril arginine 5 mg tablet, perindopril arginine 5 mg tablet, perindopril arginine 5 mg tablet, perindopril arginine 5 mg tablet, amLODIPine 5 mg tablet, amLODIPine 5 mg tablet, amLODIPine 5 mg tablet, amLODIPine 5 mg tablet, paracetamol 500 mg tablet, paracetamol 500 mg tablet, paracetamol 500 mg tablet, paracetamol 500 mg tablet, perindopril arginine 5 mg tablet, perindopril arginine 5 mg tablet, perindopril arginine 5 mg tablet, perindopril arginine 5 mg tablet</t>
  </si>
  <si>
    <t>ريان علي احمد عارضي</t>
  </si>
  <si>
    <t>جميله سعييد علي الشهري</t>
  </si>
  <si>
    <t>cetirizine hydrochloride, paracetamol, sodium chloride</t>
  </si>
  <si>
    <t>cetirizine hydrochloride 10 mg tablet, cetirizine hydrochloride 10 mg tablet, cetirizine hydrochloride 10 mg tablet, paracetamol 500 mg tablet, paracetamol 500 mg tablet, paracetamol 500 mg tablet, sodium chloride 0.9% (9 mg/mL) nasal spray, sodium chloride 0.9% (9 mg/mL) nasal spray, sodium chloride 0.9% (9 mg/mL) nasal spray, sodium chloride 0.9% (9 mg/mL) nasal spray, cetirizine hydrochloride 10 mg tablet, sodium chloride 0.9% (9 mg/mL) nasal spray, cetirizine hydrochloride 10 mg tablet, sodium chloride 0.9% (9 mg/mL) nasal spray, cetirizine hydrochloride 10 mg tablet, paracetamol 500 mg tablet, paracetamol 500 mg tablet, paracetamol 500 mg tablet, sodium chloride 0.9% (9 mg/mL) nasal spray, cetirizine hydrochloride 10 mg tablet, sodium chloride 0.9% (9 mg/mL) nasal spray, cetirizine hydrochloride 10 mg tablet, sodium chloride 0.9% (9 mg/mL) nasal spray, cetirizine hydrochloride 10 mg tablet, paracetamol 500 mg tablet, paracetamol 500 mg tablet, paracetamol 500 mg tablet</t>
  </si>
  <si>
    <t>حنان علي عبدالرزاق الغامدي</t>
  </si>
  <si>
    <t>omeprazole 20 mg tablet: enteric coated, omeprazole 20 mg tablet: enteric coated, omeprazole 20 mg tablet: enteric coated, omeprazole 20 mg tablet: enteric coated, omeprazole 20 mg tablet: enteric coated, omeprazole 20 mg tablet: enteric coated</t>
  </si>
  <si>
    <t>سلوى محمد بن بريك الحربي</t>
  </si>
  <si>
    <t>diclofenac sodium 1% (10 mg/g) gel, diclofenac sodium 1% (10 mg/g) gel, diclofenac sodium 1% (10 mg/g) gel, diclofenac sodium 1% (10 mg/g) gel, diclofenac sodium 1% (10 mg/g) gel, diclofenac sodium 1% (10 mg/g) gel, diclofenac sodium 1% (10 mg/g) gel, diclofenac sodium 1% (10 mg/g) gel,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diclofenac sodium 1% (10 mg/g) gel, diclofenac sodium 1% (10 mg/g) gel, diclofenac sodium 1% (10 mg/g) gel, diclofenac sodium 1% (10 mg/g) gel, diclofenac sodium 1% (10 mg/g) gel, diclofenac sodium 1% (10 mg/g) gel, diclofenac sodium 1% (10 mg/g) gel, diclofenac sodium 1% (10 mg/g) gel, paracetamol 500 mg tablet, paracetamol 500 mg tablet, paracetamol 500 mg tablet, paracetamol 500 mg tablet, paracetamol 500 mg tablet, paracetamol 500 mg tablet, paracetamol 500 mg tablet, paracetamol 500 mg tablet, diclofenac sodium 1% (10 mg/g) gel, diclofenac sodium 1% (10 mg/g) gel, diclofenac sodium 1% (10 mg/g) gel, diclofenac sodium 1% (10 mg/g) gel, diclofenac sodium 1% (10 mg/g) gel, diclofenac sodium 1% (10 mg/g) gel, diclofenac sodium 1% (10 mg/g) gel, diclofenac sodium 1% (10 mg/g) gel</t>
  </si>
  <si>
    <t>ابتسام يحيى بن علي مباركي</t>
  </si>
  <si>
    <t>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t>
  </si>
  <si>
    <t>نور بن منير بن نوار البقمي</t>
  </si>
  <si>
    <t>rosuvastatin, metFORMIN hydrochloride, vitamin B complex (B, B, SITagliptin, empagliflozin</t>
  </si>
  <si>
    <t>rosuvastatin 10 mg tablet, rosuvastatin 10 mg tablet, rosuvastatin 10 mg tablet, metFORMIN hydrochloride 500 mg tablet, metFORMIN hydrochloride 500 mg tablet, metFORMIN hydrochloride 500 mg tablet, vitamin B complex (B1,B6,B12) 100,200,0.2 mg Film coated tablets [oral], vitamin B complex (B1,B6,B12) 100,200,0.2 mg Film coated tablets [oral], vitamin B complex (B1,B6,B12) 100,200,0.2 mg Film coated tablets [oral], SITagliptin 100 mg tablet, SITagliptin 100 mg tablet, SITagliptin 100 mg tablet, empagliflozin 25 mg tablet, empagliflozin 25 mg tablet, empagliflozin 25 mg tablet, empagliflozin 25 mg tablet, SITagliptin 100 mg tablet, empagliflozin 25 mg tablet, SITagliptin 100 mg tablet, empagliflozin 25 mg tablet, SITagliptin 100 mg tablet, vitamin B complex (B1,B6,B12) 100,200,0.2 mg Film coated tablets [oral], rosuvastatin 10 mg tablet, metFORMIN hydrochloride 500 mg tablet, vitamin B complex (B1,B6,B12) 100,200,0.2 mg Film coated tablets [oral], rosuvastatin 10 mg tablet, metFORMIN hydrochloride 500 mg tablet, vitamin B complex (B1,B6,B12) 100,200,0.2 mg Film coated tablets [oral], rosuvastatin 10 mg tablet, metFORMIN hydrochloride 500 mg tablet</t>
  </si>
  <si>
    <t>سعد محمد بن حسين آل بودبيل</t>
  </si>
  <si>
    <t>cetirizine hydrochloride, paraffin soft white ointment, tube, mometasone furoate</t>
  </si>
  <si>
    <t>cetirizine hydrochloride 10 mg tablet, paraffin soft white ointment, tube, cetirizine hydrochloride 10 mg tablet, paraffin soft white ointment, tube, cetirizine hydrochloride 10 mg tablet, paraffin soft white ointment, tube, cetirizine hydrochloride 10 mg tablet, paraffin soft white ointment, tube, cetirizine hydrochloride 10 mg tablet, paraffin soft white ointment, tube, mometasone furoate 0.1% (1 mg/g) cream, mometasone furoate 0.1% (1 mg/g) cream, mometasone furoate 0.1% (1 mg/g) cream, mometasone furoate 0.1% (1 mg/g) cream, mometasone furoate 0.1% (1 mg/g) cream, paraffin soft white ointment, tube, paraffin soft white ointment, tube, paraffin soft white ointment, tube, paraffin soft white ointment, tube, paraffin soft white ointment, tube, cetirizine hydrochloride 10 mg tablet, mometasone furoate 0.1% (1 mg/g) cream, cetirizine hydrochloride 10 mg tablet, mometasone furoate 0.1% (1 mg/g) cream, cetirizine hydrochloride 10 mg tablet, mometasone furoate 0.1% (1 mg/g) cream, cetirizine hydrochloride 10 mg tablet, mometasone furoate 0.1% (1 mg/g) cream, cetirizine hydrochloride 10 mg tablet, mometasone furoate 0.1% (1 mg/g) cream, cetirizine hydrochloride 10 mg tablet, mometasone furoate 0.1% (1 mg/g) cream, cetirizine hydrochloride 10 mg tablet, mometasone furoate 0.1% (1 mg/g) cream, cetirizine hydrochloride 10 mg tablet, mometasone furoate 0.1% (1 mg/g) cream, cetirizine hydrochloride 10 mg tablet, mometasone furoate 0.1% (1 mg/g) cream, cetirizine hydrochloride 10 mg tablet, mometasone furoate 0.1% (1 mg/g) cream, paraffin soft white ointment, tube, paraffin soft white ointment, tube, paraffin soft white ointment, tube, paraffin soft white ointment, tube, paraffin soft white ointment, tube</t>
  </si>
  <si>
    <t>ابراهيم حسن شعبي</t>
  </si>
  <si>
    <t>gliclazide, atorvastatin, metFORMIN hydrochloride, empagliflozin, SITagliptin</t>
  </si>
  <si>
    <t>gliclazide 60 mg tablet: modified release, atorvastatin 20 mg tablet, gliclazide 60 mg tablet: modified release, atorvastatin 20 mg tablet, metFORMIN hydrochloride 500 mg tablet, empagliflozin 25 mg tablet, SITagliptin 100 mg tablet, metFORMIN hydrochloride 500 mg tablet, empagliflozin 25 mg tablet, SITagliptin 100 mg tablet, atorvastatin 20 mg tablet, atorvastatin 20 mg tablet, metFORMIN hydrochloride 500 mg tablet, metFORMIN hydrochloride 500 mg tablet, SITagliptin 100 mg tablet, SITagliptin 100 mg tablet, empagliflozin 25 mg tablet, gliclazide 60 mg tablet: modified release, empagliflozin 25 mg tablet, gliclazide 60 mg tablet: modified release, gliclazide 60 mg tablet: modified release, atorvastatin 20 mg tablet, gliclazide 60 mg tablet: modified release, atorvastatin 20 mg tablet, metFORMIN hydrochloride 500 mg tablet, SITagliptin 100 mg tablet, metFORMIN hydrochloride 500 mg tablet, SITagliptin 100 mg tablet, empagliflozin 25 mg tablet, empagliflozin 25 mg tablet</t>
  </si>
  <si>
    <t>تغريد يحى محمد حسن بدرى</t>
  </si>
  <si>
    <t>hydroCHLOROthiazide, amLODIPine, valsartan, calcium carbonate</t>
  </si>
  <si>
    <t>hydroCHLOROthiazide 25 mg tablet: scored, hydroCHLOROthiazide 25 mg tablet: scored, hydroCHLOROthiazide 25 mg tablet: scored, amLODIPine 5 mg tablet, valsartan 80 mg tablet, amLODIPine 5 mg tablet, valsartan 80 mg tablet, amLODIPine 5 mg tablet, valsartan 80 mg tablet, calcium carbonate 600 mg - colecalciferol 200 international units Film coated tablets [oral], calcium carbonate 600 mg - colecalciferol 200 international units Film coated tablets [oral], calcium carbonate 600 mg - colecalciferol 200 international units Film coated tablets [oral], amLODIPine 5 mg tablet, hydroCHLOROthiazide 25 mg tablet: scored, amLODIPine 5 mg tablet, hydroCHLOROthiazide 25 mg tablet: scored, amLODIPine 5 mg tablet, hydroCHLOROthiazide 25 mg tablet: scored, calcium carbonate 600 mg - colecalciferol 200 international units Film coated tablets [oral], valsartan 80 mg tablet, calcium carbonate 600 mg - colecalciferol 200 international units Film coated tablets [oral], valsartan 80 mg tablet, calcium carbonate 600 mg - colecalciferol 200 international units Film coated tablets [oral], valsartan 80 mg tablet</t>
  </si>
  <si>
    <t>معتز طه احمد طويلي</t>
  </si>
  <si>
    <t>insulin aspart, insulin glargine</t>
  </si>
  <si>
    <t>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t>
  </si>
  <si>
    <t>شريفه وصل الله راضي الحارثي</t>
  </si>
  <si>
    <t>فائزه بنت محمد بن يوسف فيرق</t>
  </si>
  <si>
    <t>gliclazide, ferrous sulfate, SITagliptin</t>
  </si>
  <si>
    <t>gliclazide 60 mg tablet: modified release, gliclazide 60 mg tablet: modified release, ferrous sulfate 190 mg Tablets [oral], ferrous sulfate 190 mg Tablets [oral], SITagliptin 100 mg tablet, SITagliptin 100 mg tablet, SITagliptin 100 mg tablet, SITagliptin 100 mg tablet, gliclazide 60 mg tablet: modified release, ferrous sulfate 190 mg Tablets [oral], gliclazide 60 mg tablet: modified release, ferrous sulfate 190 mg Tablets [oral]</t>
  </si>
  <si>
    <t>عبدالرحيم بن عبدالرحمن بن سيف الحربي</t>
  </si>
  <si>
    <t>nystatin</t>
  </si>
  <si>
    <t>nystatin 100 000 international units/mL oral liquid, nystatin 100 000 international units/mL oral liquid, nystatin 100 000 international units/mL oral liquid, nystatin 100 000 international units/mL oral liquid, nystatin 100 000 international units/mL oral liquid, nystatin 100 000 international units/mL oral liquid, nystatin 100 000 international units/mL oral liquid, nystatin 100 000 international units/mL oral liquid, nystatin 100 000 international units/mL oral liquid</t>
  </si>
  <si>
    <t>نايف عبدالعزيز ثياب المطيري</t>
  </si>
  <si>
    <t>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t>
  </si>
  <si>
    <t>فارعه علي مبارك الهلالي</t>
  </si>
  <si>
    <t>omeprazole, glibenclamide, vitamin B complex (B, B, metFORMIN hydrochloride, amLODIPine, vitamins (A, C, D</t>
  </si>
  <si>
    <t>omeprazole 20 mg tablet: enteric coated, omeprazole 20 mg tablet: enteric coated, glibenclamide 5 mg tablet, glibenclamide 5 mg tablet, vitamin B complex (B1,B6,B12) 100,100,0.15 mg Film coated tablets [oral], vitamin B complex (B1,B6,B12) 100,100,0.15 mg Film coated tablets [oral], glibenclamide 5 mg tablet, glibenclamide 5 mg tablet, vitamin B complex (B1,B6,B12) 100,100,0.15 mg Film coated tablets [oral], metFORMIN hydrochloride 500 mg tablet, amLODIPine 5 mg tablet, vitamins (A, B1, B2, B3, C, D3) tablet, vitamin B complex (B1,B6,B12) 100,100,0.15 mg Film coated tablets [oral], metFORMIN hydrochloride 500 mg tablet, amLODIPine 5 mg tablet, vitamins (A, B1, B2, B3, C, D3) tablet, omeprazole 20 mg tablet: enteric coated, omeprazole 20 mg tablet: enteric coated, glibenclamide 5 mg tablet, glibenclamide 5 mg tablet, vitamins (A, B1, B2, B3, C, D3) tablet, vitamins (A, B1, B2, B3, C, D3) tablet, metFORMIN hydrochloride 500 mg tablet, vitamin B complex (B1,B6,B12) 100,100,0.15 mg Film coated tablets [oral], omeprazole 20 mg tablet: enteric coated, amLODIPine 5 mg tablet, metFORMIN hydrochloride 500 mg tablet, vitamin B complex (B1,B6,B12) 100,100,0.15 mg Film coated tablets [oral], omeprazole 20 mg tablet: enteric coated, amLODIPine 5 mg tablet</t>
  </si>
  <si>
    <t>ايمان محمد سعد بن حريب</t>
  </si>
  <si>
    <t>فوزيه محمديحي سرحان الجحدلي</t>
  </si>
  <si>
    <t>perindopril arginine, rosuvastatin, escitalopram, vitamin B complex (B, B, carbomer, gliclazide, metFORMIN hydrochloride</t>
  </si>
  <si>
    <t>perindopril arginine 5 mg tablet, rosuvastatin 10 mg tablet, perindopril arginine 5 mg tablet, rosuvastatin 10 mg tablet, perindopril arginine 5 mg tablet, rosuvastatin 10 mg tablet, perindopril arginine 5 mg tablet, rosuvastatin 10 mg tablet, perindopril arginine 5 mg tablet, rosuvastatin 10 mg tablet, escitalopram 10 mg tablet, vitamin B complex (B1,B6,B12) 100,200,0.2 mg Film coated tablets [oral], carbomer 0.2% (2 mg/g) eye gel, gliclazide 60 mg tablet: modified release, escitalopram 10 mg tablet, vitamin B complex (B1,B6,B12) 100,200,0.2 mg Film coated tablets [oral], carbomer 0.2% (2 mg/g) eye gel, gliclazide 60 mg tablet: modified release, escitalopram 10 mg tablet, vitamin B complex (B1,B6,B12) 100,200,0.2 mg Film coated tablets [oral], carbomer 0.2% (2 mg/g) eye gel, gliclazide 60 mg tablet: modified release, escitalopram 10 mg tablet, vitamin B complex (B1,B6,B12) 100,200,0.2 mg Film coated tablets [oral], carbomer 0.2% (2 mg/g) eye gel, gliclazide 60 mg tablet: modified release, escitalopram 10 mg tablet, vitamin B complex (B1,B6,B12) 100,200,0.2 mg Film coated tablets [oral], carbomer 0.2% (2 mg/g) eye gel, gliclazide 60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perindopril arginine 5 mg tablet, carbomer 0.2% (2 mg/g) eye gel, gliclazide 60 mg tablet: modified release, metFORMIN hydrochloride 750 mg tablet: modified release, perindopril arginine 5 mg tablet, carbomer 0.2% (2 mg/g) eye gel, gliclazide 60 mg tablet: modified release, metFORMIN hydrochloride 750 mg tablet: modified release, perindopril arginine 5 mg tablet, carbomer 0.2% (2 mg/g) eye gel, gliclazide 60 mg tablet: modified release, metFORMIN hydrochloride 750 mg tablet: modified release, perindopril arginine 5 mg tablet, carbomer 0.2% (2 mg/g) eye gel, gliclazide 60 mg tablet: modified release, metFORMIN hydrochloride 750 mg tablet: modified release, perindopril arginine 5 mg tablet, carbomer 0.2% (2 mg/g) eye gel, gliclazide 60 mg tablet: modified release, metFORMIN hydrochloride 750 mg tablet: modified release, vitamin B complex (B1,B6,B12) 100,200,0.2 mg Film coated tablets [oral], escitalopram 10 mg tablet, vitamin B complex (B1,B6,B12) 100,200,0.2 mg Film coated tablets [oral], escitalopram 10 mg tablet, vitamin B complex (B1,B6,B12) 100,200,0.2 mg Film coated tablets [oral], escitalopram 10 mg tablet, vitamin B complex (B1,B6,B12) 100,200,0.2 mg Film coated tablets [oral], escitalopram 10 mg tablet, vitamin B complex (B1,B6,B12) 100,200,0.2 mg Film coated tablets [oral], escitalopram 10 mg tablet, rosuvastatin 10 mg tablet, rosuvastatin 10 mg tablet, rosuvastatin 10 mg tablet, rosuvastatin 10 mg tablet, rosuvastatin 10 mg tablet</t>
  </si>
  <si>
    <t>يوسف سليمان مخضور الخميس</t>
  </si>
  <si>
    <t>cetirizine hydrochloride, xylometazoline hydrochloride, vitamin B complex (B, B, colecalciferol, paracetamol</t>
  </si>
  <si>
    <t>cetirizine hydrochloride 10 mg tablet, cetirizine hydrochloride 10 mg tablet, cetirizine hydrochloride 10 mg tablet, xylometazoline hydrochloride 0.05% (500 microgram/mL) nasal drops, xylometazoline hydrochloride 0.05% (500 microgram/mL) nasal drops, xylometazoline hydrochloride 0.05% (500 microgram/mL) nasal drops, vitamin B complex (B1,B6,B12) 100,200,0.2 mg Film coated tablets [oral], vitamin B complex (B1,B6,B12) 100,200,0.2 mg Film coated tablets [oral], vitamin B complex (B1,B6,B12) 100,200,0.2 mg Film coated tablets [oral], cetirizine hydrochloride 10 mg tablet, cetirizine hydrochloride 10 mg tablet, cetirizine hydrochloride 10 mg tablet, xylometazoline hydrochloride 0.05% (500 microgram/mL) nasal drops, xylometazoline hydrochloride 0.05% (500 microgram/mL) nasal drops, xylometazoline hydrochloride 0.05% (500 microgram/mL) nasal drops, colecalciferol 50 000 international units tablet, paracetamol 500 mg tablet, colecalciferol 50 000 international units tablet, paracetamol 500 mg tablet, colecalciferol 50 000 international units tablet, paracetamol 500 mg tablet, vitamin B complex (B1,B6,B12) 100,200,0.2 mg Film coated tablets [oral], vitamin B complex (B1,B6,B12) 100,200,0.2 mg Film coated tablets [oral], vitamin B complex (B1,B6,B12) 100,200,0.2 mg Film coated tablets [oral], paracetamol 500 mg tablet, paracetamol 500 mg tablet, paracetamol 500 mg tablet, colecalciferol 50 000 international units tablet, colecalciferol 50 000 international units tablet, colecalciferol 50 000 international units tablet, cetirizine hydrochloride 10 mg tablet, cetirizine hydrochloride 10 mg tablet, cetirizine hydrochloride 10 mg tablet, vitamin B complex (B1,B6,B12) 100,200,0.2 mg Film coated tablets [oral], vitamin B complex (B1,B6,B12) 100,200,0.2 mg Film coated tablets [oral], vitamin B complex (B1,B6,B12) 100,200,0.2 mg Film coated tablets [oral], paracetamol 500 mg tablet, paracetamol 500 mg tablet, paracetamol 500 mg tablet, colecalciferol 50 000 international units tablet, colecalciferol 50 000 international units tablet, colecalciferol 50 000 international units tablet, xylometazoline hydrochloride 0.05% (500 microgram/mL) nasal drops, xylometazoline hydrochloride 0.05% (500 microgram/mL) nasal drops, xylometazoline hydrochloride 0.05% (500 microgram/mL) nasal drops</t>
  </si>
  <si>
    <t>نورين عبد اللطيف احمد مومن خان</t>
  </si>
  <si>
    <t>omeprazole, aluminium hydroxide, paracetamol, metroNIDAZOLE</t>
  </si>
  <si>
    <t>omeprazole 20 mg tablet: enteric coated, aluminium hydroxide 225 mg/5 mL + magnesium hydroxide 200 mg/5 mL oral liquid, paracetamol 500 mg tablet, metroNIDAZOLE 500 mg tablet, omeprazole 20 mg tablet: enteric coated, aluminium hydroxide 225 mg/5 mL + magnesium hydroxide 200 mg/5 mL oral liquid, paracetamol 500 mg tablet, metroNIDAZOLE 500 mg tablet, omeprazole 20 mg tablet: enteric coated, aluminium hydroxide 225 mg/5 mL + magnesium hydroxide 200 mg/5 mL oral liquid, paracetamol 500 mg tablet, metroNIDAZOLE 500 mg tablet, aluminium hydroxide 225 mg/5 mL + magnesium hydroxide 200 mg/5 mL oral liquid, paracetamol 500 mg tablet, metroNIDAZOLE 500 mg tablet, omeprazole 20 mg tablet: enteric coated, aluminium hydroxide 225 mg/5 mL + magnesium hydroxide 200 mg/5 mL oral liquid, paracetamol 500 mg tablet, metroNIDAZOLE 500 mg tablet, omeprazole 20 mg tablet: enteric coated, aluminium hydroxide 225 mg/5 mL + magnesium hydroxide 200 mg/5 mL oral liquid, paracetamol 500 mg tablet, metroNIDAZOLE 500 mg tablet, omeprazole 20 mg tablet: enteric coated, metroNIDAZOLE 500 mg tablet, aluminium hydroxide 225 mg/5 mL + magnesium hydroxide 200 mg/5 mL oral liquid, paracetamol 500 mg tablet, omeprazole 20 mg tablet: enteric coated, metroNIDAZOLE 500 mg tablet, aluminium hydroxide 225 mg/5 mL + magnesium hydroxide 200 mg/5 mL oral liquid, paracetamol 500 mg tablet, omeprazole 20 mg tablet: enteric coated, metroNIDAZOLE 500 mg tablet, aluminium hydroxide 225 mg/5 mL + magnesium hydroxide 200 mg/5 mL oral liquid, paracetamol 500 mg tablet, omeprazole 20 mg tablet: enteric coated</t>
  </si>
  <si>
    <t>جواهر عويضه سليم المطيري</t>
  </si>
  <si>
    <t>colecalciferol 50 000 international units tablet, colecalciferol 50 000 international units tablet, colecalciferol 50 000 international units tablet, atorvastatin 20 mg tablet, atorvastatin 20 mg tablet, atorvastatin 20 mg tablet, colecalciferol 50 000 international units tablet, colecalciferol 50 000 international units tablet, colecalciferol 50 000 international units tablet, atorvastatin 20 mg tablet, atorvastatin 20 mg tablet, atorvastatin 20 mg tablet, atorvastatin 20 mg tablet, atorvastatin 20 mg tablet, atorvastatin 20 mg tablet, colecalciferol 50 000 international units tablet, colecalciferol 50 000 international units tablet, colecalciferol 50 000 international units tablet</t>
  </si>
  <si>
    <t>شهد محمود عبدالله الدر</t>
  </si>
  <si>
    <t>حميده حميد بن حمود الجدعاني</t>
  </si>
  <si>
    <t>SITagliptin, perindopril arginine, gliclazide, metFORMIN hydrochloride, rosuvastatin, vitamin B complex (B, B</t>
  </si>
  <si>
    <t>SITagliptin 100 mg tablet, SITagliptin 100 mg tablet, SITagliptin 100 mg tablet, perindopril arginine 5 mg tablet, gliclazide 30 mg tablet: modified release, metFORMIN hydrochloride 750 mg tablet: modified release, perindopril arginine 5 mg tablet, gliclazide 30 mg tablet: modified release, metFORMIN hydrochloride 750 mg tablet: modified release, perindopril arginine 5 mg tablet, gliclazide 30 mg tablet: modified release, metFORMIN hydrochloride 750 mg tablet: modified release, rosuvastatin 10 mg tablet, rosuvastatin 10 mg tablet, rosuvastatin 10 mg tablet, rosuvastatin 10 mg tablet, gliclazide 30 mg tablet: modified release, rosuvastatin 10 mg tablet, gliclazide 30 mg tablet: modified release, rosuvastatin 10 mg tablet, gliclazide 30 mg tablet: modified release, vitamin B complex (B1,B6,B12) 100,200,0.2 mg Film coated tablets [oral], perindopril arginine 5 mg tablet, vitamin B complex (B1,B6,B12) 100,200,0.2 mg Film coated tablets [oral], perindopril arginine 5 mg tablet, vitamin B complex (B1,B6,B12) 100,200,0.2 mg Film coated tablets [oral], perindopril arginine 5 mg tablet, SITagliptin 100 mg tablet, metFORMIN hydrochloride 750 mg tablet: modified release, SITagliptin 100 mg tablet, metFORMIN hydrochloride 750 mg tablet: modified release, SITagliptin 100 mg tablet, metFORMIN hydrochloride 750 mg tablet: modified release, rosuvastatin 10 mg tablet, gliclazide 30 mg tablet: modified release, rosuvastatin 10 mg tablet, gliclazide 30 mg tablet: modified release, rosuvastatin 10 mg tablet, gliclazide 30 mg tablet: modified release, vitamin B complex (B1,B6,B12) 100,200,0.2 mg Film coated tablets [oral], perindopril arginine 5 mg tablet, vitamin B complex (B1,B6,B12) 100,200,0.2 mg Film coated tablets [oral], perindopril arginine 5 mg tablet, vitamin B complex (B1,B6,B12) 100,200,0.2 mg Film coated tablets [oral], perindopril arginine 5 mg tablet, SITagliptin 100 mg tablet, metFORMIN hydrochloride 750 mg tablet: modified release, SITagliptin 100 mg tablet, metFORMIN hydrochloride 750 mg tablet: modified release, SITagliptin 100 mg tablet, metFORMIN hydrochloride 750 mg tablet: modified release, metFORMIN hydrochloride 750 mg tablet: modified release, metFORMIN hydrochloride 750 mg tablet: modified release, metFORMIN hydrochloride 750 mg tablet: modified release, rosuvastatin 10 mg tablet, gliclazide 30 mg tablet: modified release, rosuvastatin 10 mg tablet, gliclazide 30 mg tablet: modified release, rosuvastatin 10 mg tablet, gliclazide 30 mg tablet: modified release, perindopril arginine 5 mg tablet, perindopril arginine 5 mg tablet, perindopril arginine 5 mg tablet, vitamin B complex (B1,B6,B12) 100,200,0.2 mg Film coated tablets [oral], SITagliptin 100 mg tablet, vitamin B complex (B1,B6,B12) 100,200,0.2 mg Film coated tablets [oral], SITagliptin 100 mg tablet, vitamin B complex (B1,B6,B12) 100,200,0.2 mg Film coated tablets [oral], SITagliptin 100 mg tablet, rosuvastatin 10 mg tablet, rosuvastatin 10 mg tablet, rosuvastatin 10 mg tablet, metFORMIN hydrochloride 750 mg tablet: modified release, metFORMIN hydrochloride 750 mg tablet: modified release, metFORMIN hydrochloride 750 mg tablet: modified release, gliclazide 30 mg tablet: modified release, rosuvastatin 10 mg tablet, SITagliptin 100 mg tablet, vitamin B complex (B1,B6,B12) 100,200,0.2 mg Film coated tablets [oral], perindopril arginine 5 mg tablet, gliclazide 30 mg tablet: modified release, rosuvastatin 10 mg tablet, SITagliptin 100 mg tablet, vitamin B complex (B1,B6,B12) 100,200,0.2 mg Film coated tablets [oral], perindopril arginine 5 mg tablet, gliclazide 30 mg tablet: modified release, rosuvastatin 10 mg tablet, SITagliptin 100 mg tablet, vitamin B complex (B1,B6,B12) 100,200,0.2 mg Film coated tablets [oral], perindopril arginine 5 mg tablet, perindopril arginine 5 mg tablet, perindopril arginine 5 mg tablet, perindopril arginine 5 mg tablet, gliclazide 30 mg tablet: modified release, rosuvastatin 10 mg tablet, gliclazide 30 mg tablet: modified release, rosuvastatin 10 mg tablet, gliclazide 30 mg tablet: modified release, rosuvastatin 10 mg tablet, vitamin B complex (B1,B6,B12) 100,200,0.2 mg Film coated tablets [oral], vitamin B complex (B1,B6,B12) 100,200,0.2 mg Film coated tablets [oral], vitamin B complex (B1,B6,B12) 100,200,0.2 mg Film coated tablets [oral], metFORMIN hydrochloride 750 mg tablet: modified release, SITagliptin 100 mg tablet, metFORMIN hydrochloride 750 mg tablet: modified release, SITagliptin 100 mg tablet, metFORMIN hydrochloride 750 mg tablet: modified release, SITagliptin 100 mg tablet, gliclazide 30 mg tablet: modified release, perindopril arginine 5 mg tablet, gliclazide 30 mg tablet: modified release, perindopril arginine 5 mg tablet, gliclazide 30 mg tablet: modified release, perindopril arginine 5 mg tablet, metFORMIN hydrochloride 750 mg tablet: modified release, SITagliptin 100 mg tablet, metFORMIN hydrochloride 750 mg tablet: modified release, SITagliptin 100 mg tablet, metFORMIN hydrochloride 750 mg tablet: modified release, SITagliptin 100 mg tablet</t>
  </si>
  <si>
    <t>عمر بن محمد بن مهيوب سعد</t>
  </si>
  <si>
    <t>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t>
  </si>
  <si>
    <t>ابرار عبدالفتاح سيف اليماني</t>
  </si>
  <si>
    <t>سميره سعيد عبدالله بالخير</t>
  </si>
  <si>
    <t>meloxicam</t>
  </si>
  <si>
    <t>meloxicam 15 mg tablet, meloxicam 15 mg tablet, meloxicam 15 mg tablet, meloxicam 15 mg tablet, meloxicam 15 mg tablet, meloxicam 15 mg tablet, meloxicam 15 mg tablet, meloxicam 15 mg tablet, meloxicam 15 mg tablet</t>
  </si>
  <si>
    <t>ماجد عابد سعد المطيري</t>
  </si>
  <si>
    <t>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 Strips (Accu-Check) 1 box Strip [n/a]</t>
  </si>
  <si>
    <t>عبيدالله مسعد سعيد السلمي</t>
  </si>
  <si>
    <t>omeprazole, mebeverine hydrochloride, atorvastatin, colecalciferol</t>
  </si>
  <si>
    <t>omeprazole 20 mg tablet: enteric coated, omeprazole 20 mg tablet: enteric coated, omeprazole 20 mg tablet: enteric coated, mebeverine hydrochloride 200 mg capsule: modified release, atorvastatin 10 mg tablet, mebeverine hydrochloride 200 mg capsule: modified release, atorvastatin 10 mg tablet, mebeverine hydrochloride 200 mg capsule: modified release, atorvastatin 10 mg tablet, colecalciferol 50 000 international units tablet, colecalciferol 50 000 international units tablet, colecalciferol 50 000 international units tablet, atorvastatin 10 mg tablet, mebeverine hydrochloride 200 mg capsule: modified release, atorvastatin 10 mg tablet, mebeverine hydrochloride 200 mg capsule: modified release, atorvastatin 10 mg tablet, mebeverine hydrochloride 200 mg capsule: modified release, colecalciferol 50 000 international units tablet, colecalciferol 50 000 international units tablet, colecalciferol 50 000 international units tablet, omeprazole 20 mg tablet: enteric coated, omeprazole 20 mg tablet: enteric coated, omeprazole 20 mg tablet: enteric coated, omeprazole 20 mg tablet: enteric coated, atorvastatin 10 mg tablet, omeprazole 20 mg tablet: enteric coated, atorvastatin 10 mg tablet, omeprazole 20 mg tablet: enteric coated, atorvastatin 10 mg tablet, mebeverine hydrochloride 200 mg capsule: modified release, mebeverine hydrochloride 200 mg capsule: modified release, mebeverine hydrochloride 200 mg capsule: modified release, colecalciferol 50 000 international units tablet, colecalciferol 50 000 international units tablet, colecalciferol 50 000 international units tablet</t>
  </si>
  <si>
    <t>ادريس محمد علي صلهبي</t>
  </si>
  <si>
    <t>celecoxib 200 mg capsule, celecoxib 200 mg capsule, celecoxib 200 mg capsule, celecoxib 200 mg capsule, celecoxib 200 mg capsule, celecoxib 200 mg capsule, celecoxib 200 mg capsule, celecoxib 200 mg capsule, celecoxib 200 mg capsule, celecoxib 200 mg capsule</t>
  </si>
  <si>
    <t>منيره ابراهيم عبدالقادر باجنيد</t>
  </si>
  <si>
    <t>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t>
  </si>
  <si>
    <t>دلال علي محمد باخريبه</t>
  </si>
  <si>
    <t>aciclovir, vitamins (A, B, C, D, paracetamol, vitamin B complex (B</t>
  </si>
  <si>
    <t>aciclovir 800 mg tablet, vitamins (A, B1, B2, B3, C, D3) tablet, aciclovir 800 mg tablet, vitamins (A, B1, B2, B3, C, D3) tablet, aciclovir 800 mg tablet, vitamins (A, B1, B2, B3, C, D3) tablet, paracetamol 500 mg + codeine phosphate 8 mg + caffeine 30 mg tablet, aciclovir 5% (50 mg/g) cream, vitamin B complex (B1,B6,B12) 100,200,0.2 mg Film coated tablets [oral], paracetamol 500 mg + codeine phosphate 8 mg + caffeine 30 mg tablet, aciclovir 5% (50 mg/g) cream, vitamin B complex (B1,B6,B12) 100,200,0.2 mg Film coated tablets [oral], paracetamol 500 mg + codeine phosphate 8 mg + caffeine 30 mg tablet, aciclovir 5% (50 mg/g) cream, vitamin B complex (B1,B6,B12) 100,200,0.2 mg Film coated tablets [oral], paracetamol 500 mg + codeine phosphate 8 mg + caffeine 30 mg tablet, aciclovir 5% (50 mg/g) cream, vitamin B complex (B1,B6,B12) 100,200,0.2 mg Film coated tablets [oral], vitamins (A, B1, B2, B3, C, D3) tablet, paracetamol 500 mg + codeine phosphate 8 mg + caffeine 30 mg tablet, aciclovir 5% (50 mg/g) cream, vitamin B complex (B1,B6,B12) 100,200,0.2 mg Film coated tablets [oral], vitamins (A, B1, B2, B3, C, D3) tablet, paracetamol 500 mg + codeine phosphate 8 mg + caffeine 30 mg tablet, aciclovir 5% (50 mg/g) cream, vitamin B complex (B1,B6,B12) 100,200,0.2 mg Film coated tablets [oral], vitamins (A, B1, B2, B3, C, D3) tablet, aciclovir 800 mg tablet, aciclovir 800 mg tablet, aciclovir 800 mg tablet, aciclovir 5% (50 mg/g) cream, aciclovir 5% (50 mg/g) cream, aciclovir 5% (50 mg/g) cream, vitamins (A, B1, B2, B3, C, D3) tablet, aciclovir 800 mg tablet, vitamin B complex (B1,B6,B12) 100,200,0.2 mg Film coated tablets [oral], paracetamol 500 mg + codeine phosphate 8 mg + caffeine 30 mg tablet, vitamins (A, B1, B2, B3, C, D3) tablet, aciclovir 800 mg tablet, vitamin B complex (B1,B6,B12) 100,200,0.2 mg Film coated tablets [oral], paracetamol 500 mg + codeine phosphate 8 mg + caffeine 30 mg tablet, vitamins (A, B1, B2, B3, C, D3) tablet, aciclovir 800 mg tablet, vitamin B complex (B1,B6,B12) 100,200,0.2 mg Film coated tablets [oral], paracetamol 500 mg + codeine phosphate 8 mg + caffeine 30 mg tablet, paracetamol 500 mg + codeine phosphate 8 mg + caffeine 30 mg tablet, paracetamol 500 mg + codeine phosphate 8 mg + caffeine 30 mg tablet, paracetamol 500 mg + codeine phosphate 8 mg + caffeine 30 mg tablet, aciclovir 5% (50 mg/g) cream, vitamin B complex (B1,B6,B12) 100,200,0.2 mg Film coated tablets [oral], aciclovir 800 mg tablet, aciclovir 5% (50 mg/g) cream, vitamin B complex (B1,B6,B12) 100,200,0.2 mg Film coated tablets [oral], aciclovir 800 mg tablet, aciclovir 5% (50 mg/g) cream, vitamin B complex (B1,B6,B12) 100,200,0.2 mg Film coated tablets [oral], aciclovir 800 mg tablet, vitamin B complex (B1,B6,B12) 100,200,0.2 mg Film coated tablets [oral], vitamin B complex (B1,B6,B12) 100,200,0.2 mg Film coated tablets [oral], vitamin B complex (B1,B6,B12) 100,200,0.2 mg Film coated tablets [oral], paracetamol 500 mg + codeine phosphate 8 mg + caffeine 30 mg tablet, aciclovir 5% (50 mg/g) cream, paracetamol 500 mg + codeine phosphate 8 mg + caffeine 30 mg tablet, aciclovir 5% (50 mg/g) cream, paracetamol 500 mg + codeine phosphate 8 mg + caffeine 30 mg tablet, aciclovir 5% (50 mg/g) cream, aciclovir 800 mg tablet, vitamins (A, B1, B2, B3, C, D3) tablet, aciclovir 800 mg tablet, vitamins (A, B1, B2, B3, C, D3) tablet, aciclovir 800 mg tablet, vitamins (A, B1, B2, B3, C, D3) tablet, vitamins (A, B1, B2, B3, C, D3) tablet, vitamins (A, B1, B2, B3, C, D3) tablet, vitamins (A, B1, B2, B3, C, D3) tablet, vitamin B complex (B1,B6,B12) 100,200,0.2 mg Film coated tablets [oral], vitamin B complex (B1,B6,B12) 100,200,0.2 mg Film coated tablets [oral], vitamin B complex (B1,B6,B12) 100,200,0.2 mg Film coated tablets [oral], aciclovir 5% (50 mg/g) cream, vitamins (A, B1, B2, B3, C, D3) tablet, aciclovir 5% (50 mg/g) cream, vitamins (A, B1, B2, B3, C, D3) tablet, aciclovir 5% (50 mg/g) cream, vitamins (A, B1, B2, B3, C, D3) tablet, paracetamol 500 mg + codeine phosphate 8 mg + caffeine 30 mg tablet, paracetamol 500 mg + codeine phosphate 8 mg + caffeine 30 mg tablet, paracetamol 500 mg + codeine phosphate 8 mg + caffeine 30 mg tablet, aciclovir 800 mg tablet, aciclovir 800 mg tablet, aciclovir 800 mg tablet, vitamin B complex (B1,B6,B12) 100,200,0.2 mg Film coated tablets [oral], vitamin B complex (B1,B6,B12) 100,200,0.2 mg Film coated tablets [oral], vitamin B complex (B1,B6,B12) 100,200,0.2 mg Film coated tablets [oral], paracetamol 500 mg + codeine phosphate 8 mg + caffeine 30 mg tablet, aciclovir 5% (50 mg/g) cream, paracetamol 500 mg + codeine phosphate 8 mg + caffeine 30 mg tablet, aciclovir 5% (50 mg/g) cream, paracetamol 500 mg + codeine phosphate 8 mg + caffeine 30 mg tablet, aciclovir 5% (50 mg/g) cream, aciclovir 800 mg tablet, vitamins (A, B1, B2, B3, C, D3) tablet, aciclovir 800 mg tablet, vitamins (A, B1, B2, B3, C, D3) tablet, aciclovir 800 mg tablet, vitamins (A, B1, B2, B3, C, D3) tablet</t>
  </si>
  <si>
    <t>هاجر بنت ابراهيم بن عبده عسيري</t>
  </si>
  <si>
    <t>hyoscine butylbromide, mebeverine hydrochloride</t>
  </si>
  <si>
    <t>hyoscine butylbromide 10 mg tablet, mebeverine hydrochloride 200 mg capsule: modified release, hyoscine butylbromide 10 mg tablet, mebeverine hydrochloride 200 mg capsule: modified release, hyoscine butylbromide 10 mg tablet, mebeverine hydrochloride 200 mg capsule: modified release, mebeverine hydrochloride 200 mg capsule: modified release, mebeverine hydrochloride 200 mg capsule: modified release, mebeverine hydrochloride 200 mg capsule: modified release, hyoscine butylbromide 10 mg tablet, hyoscine butylbromide 10 mg tablet, hyoscine butylbromide 10 mg tablet</t>
  </si>
  <si>
    <t>بندر صالح موسى المالكي</t>
  </si>
  <si>
    <t>fenofibrate, colecalciferol</t>
  </si>
  <si>
    <t>fenofibrate 145 mg tablet, fenofibrate 145 mg tablet, colecalciferol 50 000 international units tablet, colecalciferol 50 000 international units tablet, colecalciferol 50 000 international units tablet, colecalciferol 50 000 international units tablet, fenofibrate 145 mg tablet, fenofibrate 145 mg tablet, colecalciferol 50 000 international units tablet, colecalciferol 50 000 international units tablet, fenofibrate 145 mg tablet, fenofibrate 145 mg tablet, fenofibrate 145 mg tablet, colecalciferol 50 000 international units tablet, fenofibrate 145 mg tablet, colecalciferol 50 000 international units tablet</t>
  </si>
  <si>
    <t>صفيه سعد حامد الشريف</t>
  </si>
  <si>
    <t>paracetamol, amoxicillin, sodium chloride</t>
  </si>
  <si>
    <t>paracetamol 500 mg tablet, amoxicillin 500 mg capsule, paracetamol 500 mg tablet, amoxicillin 500 mg capsule, paracetamol 500 mg tablet, amoxicillin 500 mg capsule, paracetamol 500 mg tablet, amoxicillin 500 mg capsule, paracetamol 500 mg tablet, amoxicillin 500 mg capsule, sodium chloride 0.9% (9 mg/mL) nasal spray, sodium chloride 0.9% (9 mg/mL) nasal spray, sodium chloride 0.9% (9 mg/mL) nasal spray, sodium chloride 0.9% (9 mg/mL) nasal spray, sodium chloride 0.9% (9 mg/mL) nasal spray, paracetamol 500 mg tablet, paracetamol 500 mg tablet, paracetamol 500 mg tablet, paracetamol 500 mg tablet, paracetamol 500 mg tablet, sodium chloride 0.9% (9 mg/mL) nasal spray, sodium chloride 0.9% (9 mg/mL) nasal spray, sodium chloride 0.9% (9 mg/mL) nasal spray, sodium chloride 0.9% (9 mg/mL) nasal spray, sodium chloride 0.9% (9 mg/mL) nasal spray, amoxicillin 500 mg capsule, amoxicillin 500 mg capsule, amoxicillin 500 mg capsule, amoxicillin 500 mg capsule, amoxicillin 500 mg capsule, amoxicillin 500 mg capsule, amoxicillin 500 mg capsule, amoxicillin 500 mg capsule, amoxicillin 500 mg capsule, amoxicillin 500 mg capsule, 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 paracetamol 500 mg tablet</t>
  </si>
  <si>
    <t>اميمه بنت  صالح بن محمد عبدالله</t>
  </si>
  <si>
    <t>ذهبه محمد سعيد الشدوي</t>
  </si>
  <si>
    <t>diclofenac sodium 1% (10 mg/g) gel, paracetamol 500 mg tablet, diclofenac sodium 1% (10 mg/g) gel, paracetamol 500 mg tablet, diclofenac sodium 1% (10 mg/g) gel, paracetamol 500 mg tablet, paracetamol 500 mg tablet, paracetamol 500 mg tablet, paracetamol 500 mg tablet, diclofenac sodium 1% (10 mg/g) gel, diclofenac sodium 1% (10 mg/g) gel, diclofenac sodium 1% (10 mg/g) gel</t>
  </si>
  <si>
    <t>عبدالله سعيد بن رمضان الزهراني</t>
  </si>
  <si>
    <t>paracetamol 500 mg tablet, paracetamol 500 mg tablet, paracetamol 500 mg tablet, paracetamol 500 mg tablet, paracetamol 500 mg tablet, paracetamol 500 mg tablet, chlorhexidine gluconate 0.2% (2 mg/mL) mouthwash, chlorhexidine gluconate 0.2% (2 mg/mL) mouthwash, chlorhexidine gluconate 0.2% (2 mg/mL) mouthwash, chlorhexidine gluconate 0.2% (2 mg/mL) mouthwash, chlorhexidine gluconate 0.2% (2 mg/mL) mouthwash, chlorhexidine gluconate 0.2% (2 mg/mL) mouthwash, paracetamol 500 mg tablet, chlorhexidine gluconate 0.2% (2 mg/mL) mouthwash, paracetamol 500 mg tablet, chlorhexidine gluconate 0.2% (2 mg/mL) mouthwash, paracetamol 500 mg tablet, chlorhexidine gluconate 0.2% (2 mg/mL) mouthwash, paracetamol 500 mg tablet, chlorhexidine gluconate 0.2% (2 mg/mL) mouthwash, paracetamol 500 mg tablet, chlorhexidine gluconate 0.2% (2 mg/mL) mouthwash, paracetamol 500 mg tablet,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paracetamol 500 mg tablet, paracetamol 500 mg tablet, paracetamol 500 mg tablet, paracetamol 500 mg tablet, paracetamol 500 mg tablet, paracetamol 500 mg tablet, chlorhexidine gluconate 0.2% (2 mg/mL) mouthwash, chlorhexidine gluconate 0.2% (2 mg/mL) mouthwash, chlorhexidine gluconate 0.2% (2 mg/mL) mouthwash, chlorhexidine gluconate 0.2% (2 mg/mL) mouthwash, chlorhexidine gluconate 0.2% (2 mg/mL) mouthwash, chlorhexidine gluconate 0.2% (2 mg/mL) mouthwash, paracetamol 500 mg tablet, paracetamol 500 mg tablet, paracetamol 500 mg tablet, paracetamol 500 mg tablet, paracetamol 500 mg tablet, paracetamol 500 mg tablet</t>
  </si>
  <si>
    <t>نوف خالد عبدالعزيز بن نجيفان</t>
  </si>
  <si>
    <t>ناهد بنت احمد بن دسوقي البغدادي</t>
  </si>
  <si>
    <t>metFORMIN hydrochloride, empagliflozin, omeprazole, diclofenac sodium, perindopril arginine, amLODIPine, atorvastatin, vitamin B complex (B, B</t>
  </si>
  <si>
    <t>metFORMIN hydrochloride 500 mg tablet, empagliflozin 10 mg tablet, omeprazole 20 mg tablet: enteric coated, metFORMIN hydrochloride 500 mg tablet, empagliflozin 10 mg tablet, omeprazole 20 mg tablet: enteric coated, metFORMIN hydrochloride 500 mg tablet, empagliflozin 10 mg tablet, omeprazole 20 mg tablet: enteric coated, metFORMIN hydrochloride 500 mg tablet, empagliflozin 10 mg tablet, omeprazole 20 mg tablet: enteric coated, diclofenac sodium 1% (10 mg/g) gel, diclofenac sodium 1% (10 mg/g) gel, diclofenac sodium 1% (10 mg/g) gel, diclofenac sodium 1% (10 mg/g) gel, perindopril arginine 5 mg tablet, perindopril arginine 5 mg tablet, perindopril arginine 5 mg tablet, perindopril arginine 5 mg tablet, amLODIPine 5 mg tablet, atorvastatin 10 mg tablet, vitamin B complex (B1,B6,B12) 100,200,0.2 mg Film coated tablets [oral], amLODIPine 5 mg tablet, atorvastatin 10 mg tablet, vitamin B complex (B1,B6,B12) 100,200,0.2 mg Film coated tablets [oral], amLODIPine 5 mg tablet, atorvastatin 10 mg tablet, vitamin B complex (B1,B6,B12) 100,200,0.2 mg Film coated tablets [oral], amLODIPine 5 mg tablet, atorvastatin 10 mg tablet, vitamin B complex (B1,B6,B12) 100,200,0.2 mg Film coated tablets [oral], vitamin B complex (B1,B6,B12) 100,200,0.2 mg Film coated tablets [oral], amLODIPine 5 mg tablet, diclofenac sodium 1% (10 mg/g) gel, empagliflozin 10 mg tablet, perindopril arginine 5 mg tablet, vitamin B complex (B1,B6,B12) 100,200,0.2 mg Film coated tablets [oral], amLODIPine 5 mg tablet, diclofenac sodium 1% (10 mg/g) gel, empagliflozin 10 mg tablet, perindopril arginine 5 mg tablet, vitamin B complex (B1,B6,B12) 100,200,0.2 mg Film coated tablets [oral], amLODIPine 5 mg tablet, diclofenac sodium 1% (10 mg/g) gel, empagliflozin 10 mg tablet, perindopril arginine 5 mg tablet, vitamin B complex (B1,B6,B12) 100,200,0.2 mg Film coated tablets [oral], amLODIPine 5 mg tablet, diclofenac sodium 1% (10 mg/g) gel, empagliflozin 10 mg tablet, perindopril arginine 5 mg tablet, metFORMIN hydrochloride 500 mg tablet, metFORMIN hydrochloride 500 mg tablet, metFORMIN hydrochloride 500 mg tablet, metFORMIN hydrochloride 500 mg tablet, omeprazole 20 mg tablet: enteric coated, atorvastatin 10 mg tablet, omeprazole 20 mg tablet: enteric coated, atorvastatin 10 mg tablet, omeprazole 20 mg tablet: enteric coated, atorvastatin 10 mg tablet, omeprazole 20 mg tablet: enteric coated, atorvastatin 10 mg tablet, empagliflozin 10 mg tablet, amLODIPine 5 mg tablet, perindopril arginine 5 mg tablet, diclofenac sodium 1% (10 mg/g) gel, empagliflozin 10 mg tablet, amLODIPine 5 mg tablet, perindopril arginine 5 mg tablet, diclofenac sodium 1% (10 mg/g) gel, empagliflozin 10 mg tablet, amLODIPine 5 mg tablet, perindopril arginine 5 mg tablet, diclofenac sodium 1% (10 mg/g) gel, empagliflozin 10 mg tablet, amLODIPine 5 mg tablet, perindopril arginine 5 mg tablet, diclofenac sodium 1% (10 mg/g) gel, diclofenac sodium 1% (10 mg/g) gel, diclofenac sodium 1% (10 mg/g) gel, diclofenac sodium 1% (10 mg/g) gel, diclofenac sodium 1% (10 mg/g) gel, vitamin B complex (B1,B6,B12) 100,200,0.2 mg Film coated tablets [oral], vitamin B complex (B1,B6,B12) 100,200,0.2 mg Film coated tablets [oral], vitamin B complex (B1,B6,B12) 100,200,0.2 mg Film coated tablets [oral], vitamin B complex (B1,B6,B12) 100,200,0.2 mg Film coated tablets [oral], omeprazole 20 mg tablet: enteric coated, atorvastatin 10 mg tablet, metFORMIN hydrochloride 500 mg tablet, amLODIPine 5 mg tablet, omeprazole 20 mg tablet: enteric coated, atorvastatin 10 mg tablet, metFORMIN hydrochloride 500 mg tablet, amLODIPine 5 mg tablet, omeprazole 20 mg tablet: enteric coated, atorvastatin 10 mg tablet, metFORMIN hydrochloride 500 mg tablet, amLODIPine 5 mg tablet, omeprazole 20 mg tablet: enteric coated, atorvastatin 10 mg tablet, metFORMIN hydrochloride 500 mg tablet, amLODIPine 5 mg tablet</t>
  </si>
  <si>
    <t>مركوزه بنت ضيف الله بن شليان السلمي</t>
  </si>
  <si>
    <t>empagliflozin, valsartan, bisoprolol fumarate, insulin aspart, indapamide, insulin glargine (lantus), metFORMIN hydrochloride, atorvastatin, acetylsalicylic acid</t>
  </si>
  <si>
    <t>empagliflozin 10 mg tablet, empagliflozin 10 mg tablet, empagliflozin 10 mg tablet, valsartan 80 mg tablet, bisoprolol fumarate 5 mg tablet, insulin aspart 100 international units/mL injection, 3 mL prefilled pen, indapamide 1.5 mg tablet: modified release, valsartan 80 mg tablet, bisoprolol fumarate 5 mg tablet, insulin aspart 100 international units/mL injection, 3 mL prefilled pen, indapamide 1.5 mg tablet: modified release, valsartan 80 mg tablet, bisoprolol fumarate 5 mg tablet, insulin aspart 100 international units/mL injection, 3 mL prefilled pen, indapamide 1.5 mg tablet: modified release, insulin glargine (lantus) 100 international units/mL injection, 3 mL prefilled pen, metFORMIN hydrochloride 500 mg tablet, atorvastatin 20 mg tablet, acetylsalicylic acid 100 mg tablet: enteric coated, insulin glargine (lantus) 100 international units/mL injection, 3 mL prefilled pen, metFORMIN hydrochloride 500 mg tablet, atorvastatin 20 mg tablet, acetylsalicylic acid 100 mg tablet: enteric coated, insulin glargine (lantus) 100 international units/mL injection, 3 mL prefilled pen, metFORMIN hydrochloride 500 mg tablet, atorvastatin 20 mg tablet, acetylsalicylic acid 100 mg tablet: enteric coated, insulin aspart 100 international units/mL injection, 3 mL prefilled pen, empagliflozin 10 mg tablet, insulin aspart 100 international units/mL injection, 3 mL prefilled pen, empagliflozin 10 mg tablet, insulin aspart 100 international units/mL injection, 3 mL prefilled pen, empagliflozin 10 mg tablet, insulin glargine (lantus) 100 international units/mL injection, 3 mL prefilled pen, acetylsalicylic acid 100 mg tablet: enteric coated, atorvastatin 20 mg tablet, metFORMIN hydrochloride 500 mg tablet, insulin glargine (lantus) 100 international units/mL injection, 3 mL prefilled pen, acetylsalicylic acid 100 mg tablet: enteric coated, atorvastatin 20 mg tablet, metFORMIN hydrochloride 500 mg tablet, insulin glargine (lantus) 100 international units/mL injection, 3 mL prefilled pen, acetylsalicylic acid 100 mg tablet: enteric coated, atorvastatin 20 mg tablet, metFORMIN hydrochloride 500 mg tablet, valsartan 80 mg tablet, bisoprolol fumarate 5 mg tablet, valsartan 80 mg tablet, bisoprolol fumarate 5 mg tablet, valsartan 80 mg tablet, bisoprolol fumarate 5 mg tablet, indapamide 1.5 mg tablet: modified release, indapamide 1.5 mg tablet: modified release, indapamide 1.5 mg tablet: modified release, valsartan 80 mg tablet, valsartan 80 mg tablet, valsartan 80 mg tablet, atorvastatin 20 mg tablet, metFORMIN hydrochloride 500 mg tablet, bisoprolol fumarate 5 mg tablet, atorvastatin 20 mg tablet, metFORMIN hydrochloride 500 mg tablet, bisoprolol fumarate 5 mg tablet, atorvastatin 20 mg tablet, metFORMIN hydrochloride 500 mg tablet, bisoprolol fumarate 5 mg tablet, indapamide 1.5 mg tablet: modified release, empagliflozin 10 mg tablet, indapamide 1.5 mg tablet: modified release, empagliflozin 10 mg tablet, indapamide 1.5 mg tablet: modified release, empagliflozin 10 mg tablet, insulin glargine (lantus) 100 international units/mL injection, 3 mL prefilled pen, insulin aspart 100 international units/mL injection, 3 mL prefilled pen, acetylsalicylic acid 100 mg tablet: enteric coated, insulin glargine (lantus) 100 international units/mL injection, 3 mL prefilled pen, insulin aspart 100 international units/mL injection, 3 mL prefilled pen, acetylsalicylic acid 100 mg tablet: enteric coated, insulin glargine (lantus) 100 international units/mL injection, 3 mL prefilled pen, insulin aspart 100 international units/mL injection, 3 mL prefilled pen, acetylsalicylic acid 100 mg tablet: enteric coated</t>
  </si>
  <si>
    <t>منصور بن احمد بن محمد آل مقبول</t>
  </si>
  <si>
    <t>vitamin B complex (B, B, paracetamol, carbomer</t>
  </si>
  <si>
    <t>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paracetamol 500 mg tablet, paracetamol 500 mg tablet, paracetamol 500 mg tablet, paracetamol 500 mg tablet, paracetamol 500 mg tablet, paracetamol 500 mg tablet, carbomer 0.2% (2 mg/g) eye gel, carbomer 0.2% (2 mg/g) eye gel, carbomer 0.2% (2 mg/g) eye gel, carbomer 0.2% (2 mg/g) eye gel, carbomer 0.2% (2 mg/g) eye gel, carbomer 0.2% (2 mg/g) eye gel, paracetamol 500 mg tablet, paracetamol 500 mg tablet, paracetamol 500 mg tablet, paracetamol 500 mg tablet, paracetamol 500 mg tablet, paracetamol 500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carbomer 0.2% (2 mg/g) eye gel, carbomer 0.2% (2 mg/g) eye gel, carbomer 0.2% (2 mg/g) eye gel, carbomer 0.2% (2 mg/g) eye gel, carbomer 0.2% (2 mg/g) eye gel, carbomer 0.2% (2 mg/g) eye gel, carbomer 0.2% (2 mg/g) eye gel, carbomer 0.2% (2 mg/g) eye gel, carbomer 0.2% (2 mg/g) eye gel, carbomer 0.2% (2 mg/g) eye gel, carbomer 0.2% (2 mg/g) eye gel, carbomer 0.2% (2 mg/g) eye gel, paracetamol 500 mg tablet, vitamin B complex (B1,B6,B12) 100,200,0.2 mg Film coated tablets [oral], paracetamol 500 mg tablet, vitamin B complex (B1,B6,B12) 100,200,0.2 mg Film coated tablets [oral], paracetamol 500 mg tablet, vitamin B complex (B1,B6,B12) 100,200,0.2 mg Film coated tablets [oral], paracetamol 500 mg tablet, vitamin B complex (B1,B6,B12) 100,200,0.2 mg Film coated tablets [oral], paracetamol 500 mg tablet, vitamin B complex (B1,B6,B12) 100,200,0.2 mg Film coated tablets [oral], paracetamol 500 mg tablet, vitamin B complex (B1,B6,B12) 100,200,0.2 mg Film coated tablets [oral]</t>
  </si>
  <si>
    <t>خالد بن ضيف الله بن نافع البلادي</t>
  </si>
  <si>
    <t>سراء حسين عبدالله الغامدي</t>
  </si>
  <si>
    <t>diclofenac sodium 1% (10 mg/g) gel, diclofenac sodium 1% (10 mg/g) gel, diclofenac sodium 1% (10 mg/g) gel, diclofenac sodium 1% (10 mg/g) gel, diclofenac sodium 1% (10 mg/g) gel, diclofenac sodium 1% (10 mg/g) gel, diclofenac sodium 1% (10 mg/g) gel, diclofenac sodium 1% (10 mg/g) gel, paracetamol 500 mg tablet, paracetamol 500 mg tablet, paracetamol 500 mg tablet, paracetamol 500 mg tablet, paracetamol 500 mg tablet, paracetamol 500 mg tablet, paracetamol 500 mg tablet, paracetamol 500 mg tablet, diclofenac sodium 1% (10 mg/g) gel, paracetamol 500 mg tablet, diclofenac sodium 1% (10 mg/g) gel, paracetamol 500 mg tablet, diclofenac sodium 1% (10 mg/g) gel, paracetamol 500 mg tablet, diclofenac sodium 1% (10 mg/g) gel, paracetamol 500 mg tablet, diclofenac sodium 1% (10 mg/g) gel, paracetamol 500 mg tablet, diclofenac sodium 1% (10 mg/g) gel, paracetamol 500 mg tablet, diclofenac sodium 1% (10 mg/g) gel, paracetamol 500 mg tablet, diclofenac sodium 1% (10 mg/g) gel, paracetamol 500 mg tablet, paracetamol 500 mg tablet, paracetamol 500 mg tablet, paracetamol 500 mg tablet, paracetamol 500 mg tablet, paracetamol 500 mg tablet, paracetamol 500 mg tablet, paracetamol 500 mg tablet, paracetamol 500 mg tablet, diclofenac sodium 1% (10 mg/g) gel, diclofenac sodium 1% (10 mg/g) gel, diclofenac sodium 1% (10 mg/g) gel, diclofenac sodium 1% (10 mg/g) gel, diclofenac sodium 1% (10 mg/g) gel, diclofenac sodium 1% (10 mg/g) gel, diclofenac sodium 1% (10 mg/g) gel, diclofenac sodium 1% (10 mg/g) gel</t>
  </si>
  <si>
    <t>عتقاء حمدان رشاش المطيري</t>
  </si>
  <si>
    <t>vitamin B complex (B, B, mebeverine hydrochloride, metFORMIN hydrochloride, atorvastatin, cetirizine hydrochloride, insulin glargine, insulin aspart, Strips (Accu-Check), Insulin Pen Needle</t>
  </si>
  <si>
    <t>vitamin B complex (B1,B6,B12) 100,200,0.2 mg Film coated tablets [oral], mebeverine hydrochloride 200 mg capsule: modified release, vitamin B complex (B1,B6,B12) 100,200,0.2 mg Film coated tablets [oral], mebeverine hydrochloride 200 mg capsule: modified release, vitamin B complex (B1,B6,B12) 100,200,0.2 mg Film coated tablets [oral], mebeverine hydrochloride 200 mg capsule: modified release, metFORMIN hydrochloride 500 mg tablet, atorvastatin 20 mg tablet, cetirizine hydrochloride 10 mg tablet, metFORMIN hydrochloride 500 mg tablet, atorvastatin 20 mg tablet, cetirizine hydrochloride 10 mg tablet, metFORMIN hydrochloride 500 mg tablet, atorvastatin 20 mg tablet, cetirizine hydrochloride 10 mg tablet, insulin glargine 300 international units/mL injection, 1.5 mL prefilled pen, insulin aspart 100 international units/mL injection, 3 mL prefilled pen, Strips (Accu-Check) 1 box Strip [n/a], insulin glargine 300 international units/mL injection, 1.5 mL prefilled pen, insulin aspart 100 international units/mL injection, 3 mL prefilled pen, Strips (Accu-Check) 1 box Strip [n/a], insulin glargine 300 international units/mL injection, 1.5 mL prefilled pen, insulin aspart 100 international units/mL injection, 3 mL prefilled pen, Strips (Accu-Check) 1 box Strip [n/a], Insulin Pen Needle 4mm Needle [sc], Lancets (Accu-Check) 1 box Lancets [n/a], valsartan 80 mg tablet, colecalciferol 1 000 international units capsule, Insulin Pen Needle 4mm Needle [sc], Lancets (Accu-Check) 1 box Lancets [n/a], valsartan 80 mg tablet, colecalciferol 1 000 international units capsule, Insulin Pen Needle 4mm Needle [sc], Lancets (Accu-Check) 1 box Lancets [n/a], valsartan 80 mg tablet, colecalciferol 1 000 international units capsule, colecalciferol 1 000 international units capsule, insulin glargine 300 international units/mL injection, 1.5 mL prefilled pen, mebeverine hydrochloride 200 mg capsule: modified release, cetirizine hydrochloride 10 mg tablet, atorvastatin 20 mg tablet, vitamin B complex (B1,B6,B12) 100,200,0.2 mg Film coated tablets [oral], metFORMIN hydrochloride 500 mg tablet, Strips (Accu-Check) 1 box Strip [n/a], Lancets (Accu-Check) 1 box Lancets [n/a], Insulin Pen Needle 4mm Needle [sc], valsartan 80 mg tablet, insulin aspart 100 international units/mL injection, 3 mL prefilled pen, colecalciferol 1 000 international units capsule, insulin glargine 300 international units/mL injection, 1.5 mL prefilled pen, mebeverine hydrochloride 200 mg capsule: modified release, cetirizine hydrochloride 10 mg tablet, atorvastatin 20 mg tablet, vitamin B complex (B1,B6,B12) 100,200,0.2 mg Film coated tablets [oral], metFORMIN hydrochloride 500 mg tablet, Strips (Accu-Check) 1 box Strip [n/a], Lancets (Accu-Check) 1 box Lancets [n/a], Insulin Pen Needle 4mm Needle [sc], valsartan 80 mg tablet, insulin aspart 100 international units/mL injection, 3 mL prefilled pen, colecalciferol 1 000 international units capsule, insulin glargine 300 international units/mL injection, 1.5 mL prefilled pen, mebeverine hydrochloride 200 mg capsule: modified release, cetirizine hydrochloride 10 mg tablet, atorvastatin 20 mg tablet, vitamin B complex (B1,B6,B12) 100,200,0.2 mg Film coated tablets [oral], metFORMIN hydrochloride 500 mg tablet, Strips (Accu-Check) 1 box Strip [n/a], Lancets (Accu-Check) 1 box Lancets [n/a], Insulin Pen Needle 4mm Needle [sc], valsartan 80 mg tablet, insulin aspart 100 international units/mL injection, 3 mL prefilled pen, insulin glargine 300 international units/mL injection, 1.5 mL prefilled pen, insulin glargine 300 international units/mL injection, 1.5 mL prefilled pen, insulin glargine 300 international units/mL injection, 1.5 mL prefilled pen, valsartan 80 mg tablet, insulin aspart 100 international units/mL injection, 3 mL prefilled pen, Strips (Accu-Check) 1 box Strip [n/a], vitamin B complex (B1,B6,B12) 100,200,0.2 mg Film coated tablets [oral], valsartan 80 mg tablet, insulin aspart 100 international units/mL injection, 3 mL prefilled pen, Strips (Accu-Check) 1 box Strip [n/a], vitamin B complex (B1,B6,B12) 100,200,0.2 mg Film coated tablets [oral], valsartan 80 mg tablet, insulin aspart 100 international units/mL injection, 3 mL prefilled pen, Strips (Accu-Check) 1 box Strip [n/a], vitamin B complex (B1,B6,B12) 100,200,0.2 mg Film coated tablets [oral], cetirizine hydrochloride 10 mg tablet, mebeverine hydrochloride 200 mg capsule: modified release, cetirizine hydrochloride 10 mg tablet, mebeverine hydrochloride 200 mg capsule: modified release, cetirizine hydrochloride 10 mg tablet, mebeverine hydrochloride 200 mg capsule: modified release, vitamin B complex (B1,B6,B12) 100,200,0.2 mg Film coated tablets [oral], colecalciferol 1 000 international units capsule, vitamin B complex (B1,B6,B12) 100,200,0.2 mg Film coated tablets [oral], colecalciferol 1 000 international units capsule, vitamin B complex (B1,B6,B12) 100,200,0.2 mg Film coated tablets [oral], colecalciferol 1 000 international units capsule, Strips (Accu-Check) 1 box Strip [n/a], cetirizine hydrochloride 10 mg tablet, Strips (Accu-Check) 1 box Strip [n/a], cetirizine hydrochloride 10 mg tablet, Strips (Accu-Check) 1 box Strip [n/a], cetirizine hydrochloride 10 mg tablet, insulin glargine 300 international units/mL injection, 1.5 mL prefilled pen, atorvastatin 20 mg tablet, insulin glargine 300 international units/mL injection, 1.5 mL prefilled pen, atorvastatin 20 mg tablet, insulin glargine 300 international units/mL injection, 1.5 mL prefilled pen, atorvastatin 20 mg tablet</t>
  </si>
  <si>
    <t>امل محمد بن عتيت الله الغانمي</t>
  </si>
  <si>
    <t>escitalopram 10 mg tablet, escitalopram 10 mg tablet, escitalopram 10 mg tablet, escitalopram 10 mg tablet, escitalopram 10 mg tablet, escitalopram 10 mg tablet, escitalopram 10 mg tablet, escitalopram 10 mg tablet, escitalopram 10 mg tablet, escitalopram 10 mg tablet, escitalopram 10 mg tablet, escitalopram 10 mg tablet, escitalopram 10 mg tablet, escitalopram 10 mg tablet, escitalopram 10 mg tablet, escitalopram 10 mg tablet, escitalopram 10 mg tablet, escitalopram 10 mg tablet, escitalopram 10 mg tablet, escitalopram 10 mg tablet</t>
  </si>
  <si>
    <t>منال محمود صديق بوقري</t>
  </si>
  <si>
    <t>rosuvastatin 10 mg tablet, rosuvastatin 10 mg tablet, rosuvastatin 10 mg tablet, diclofenac sodium 50 mg tablet, diclofenac sodium 50 mg tablet, diclofenac sodium 50 mg tablet, diclofenac sodium 50 mg tablet, rosuvastatin 10 mg tablet, diclofenac sodium 50 mg tablet, rosuvastatin 10 mg tablet, diclofenac sodium 50 mg tablet, rosuvastatin 10 mg tablet</t>
  </si>
  <si>
    <t>فاطمه بنت سالم بن عبيد باشويه</t>
  </si>
  <si>
    <t>perindopril arginine, amLODIPine, metFORMIN hydrochloride, atorvastatin</t>
  </si>
  <si>
    <t>perindopril arginine 5 mg tablet, amLODIPine 5 mg tablet, metFORMIN hydrochloride 500 mg tablet, atorvastatin 10 mg tablet, perindopril arginine 5 mg tablet, amLODIPine 5 mg tablet, metFORMIN hydrochloride 500 mg tablet, atorvastatin 10 mg tablet, perindopril arginine 5 mg tablet, amLODIPine 5 mg tablet, metFORMIN hydrochloride 500 mg tablet, atorvastatin 10 mg tablet, atorvastatin 10 mg tablet, atorvastatin 10 mg tablet, atorvastatin 10 mg tablet, metFORMIN hydrochloride 500 mg tablet, amLODIPine 5 mg tablet, metFORMIN hydrochloride 500 mg tablet, amLODIPine 5 mg tablet, metFORMIN hydrochloride 500 mg tablet, amLODIPine 5 mg tablet, perindopril arginine 5 mg tablet, perindopril arginine 5 mg tablet, perindopril arginine 5 mg tablet, amLODIPine 5 mg tablet, amLODIPine 5 mg tablet, amLODIPine 5 mg tablet, perindopril arginine 5 mg tablet, perindopril arginine 5 mg tablet, perindopril arginine 5 mg tablet, atorvastatin 10 mg tablet, atorvastatin 10 mg tablet, atorvastatin 10 mg tablet, metFORMIN hydrochloride 500 mg tablet, metFORMIN hydrochloride 500 mg tablet, metFORMIN hydrochloride 500 mg tablet, amLODIPine 5 mg tablet, amLODIPine 5 mg tablet, amLODIPine 5 mg tablet, metFORMIN hydrochloride 500 mg tablet, metFORMIN hydrochloride 500 mg tablet, metFORMIN hydrochloride 500 mg tablet, perindopril arginine 5 mg tablet, perindopril arginine 5 mg tablet, perindopril arginine 5 mg tablet, atorvastatin 10 mg tablet, atorvastatin 10 mg tablet, atorvastatin 10 mg tablet, amLODIPine 5 mg tablet, amLODIPine 5 mg tablet, amLODIPine 5 mg tablet, perindopril arginine 5 mg tablet, perindopril arginine 5 mg tablet, perindopril arginine 5 mg tablet, atorvastatin 10 mg tablet, atorvastatin 10 mg tablet, atorvastatin 10 mg tablet, metFORMIN hydrochloride 500 mg tablet, metFORMIN hydrochloride 500 mg tablet, metFORMIN hydrochloride 500 mg tablet</t>
  </si>
  <si>
    <t>سعد يحى ابراهيم الزهراني</t>
  </si>
  <si>
    <t>طلال بن محمد بن سعيد قحطاني</t>
  </si>
  <si>
    <t>empagliflozin, atorvastatin, vitamin B complex (B, B, gliclazide, omeprazole, SITagliptin</t>
  </si>
  <si>
    <t>empagliflozin 25 mg tablet, atorvastatin 20 mg tablet, empagliflozin 25 mg tablet, atorvastatin 20 mg tablet, empagliflozin 25 mg tablet, atorvastatin 20 mg tablet, empagliflozin 25 mg tablet, atorvastatin 20 mg tablet, atorvastatin 20 mg tablet, empagliflozin 25 mg tablet, atorvastatin 20 mg tablet, empagliflozin 25 mg tablet, atorvastatin 20 mg tablet, empagliflozin 25 mg tablet, atorvastatin 20 mg tablet, empagliflozin 25 mg tablet, vitamin B complex (B1,B6,B12) 100,200,0.2 mg Film coated tablets [oral], vitamin B complex (B1,B6,B12) 100,200,0.2 mg Film coated tablets [oral], vitamin B complex (B1,B6,B12) 100,200,0.2 mg Film coated tablets [oral], vitamin B complex (B1,B6,B12) 100,200,0.2 mg Film coated tablets [oral], gliclazide 60 mg tablet: modified release, omeprazole 20 mg tablet: enteric coated, gliclazide 60 mg tablet: modified release, omeprazole 20 mg tablet: enteric coated, gliclazide 60 mg tablet: modified release, omeprazole 20 mg tablet: enteric coated, gliclazide 60 mg tablet: modified release, omeprazole 20 mg tablet: enteric coated, SITagliptin 100 mg tablet, SITagliptin 100 mg tablet, SITagliptin 100 mg tablet, SITagliptin 100 mg tablet, empagliflozin 25 mg tablet, atorvastatin 20 mg tablet, empagliflozin 25 mg tablet, atorvastatin 20 mg tablet, empagliflozin 25 mg tablet, atorvastatin 20 mg tablet, empagliflozin 25 mg tablet, atorvastatin 20 mg tablet, vitamin B complex (B1,B6,B12) 100,200,0.2 mg Film coated tablets [oral], gliclazide 60 mg tablet: modified release, vitamin B complex (B1,B6,B12) 100,200,0.2 mg Film coated tablets [oral], gliclazide 60 mg tablet: modified release, vitamin B complex (B1,B6,B12) 100,200,0.2 mg Film coated tablets [oral], gliclazide 60 mg tablet: modified release, vitamin B complex (B1,B6,B12) 100,200,0.2 mg Film coated tablets [oral], gliclazide 60 mg tablet: modified release, SITagliptin 100 mg tablet, omeprazole 20 mg tablet: enteric coated, SITagliptin 100 mg tablet, omeprazole 20 mg tablet: enteric coated, SITagliptin 100 mg tablet, omeprazole 20 mg tablet: enteric coated, SITagliptin 100 mg tablet, omeprazole 20 mg tablet: enteric coated, gliclazide 60 mg tablet: modified release, gliclazide 60 mg tablet: modified release, gliclazide 60 mg tablet: modified release, gliclazide 60 mg tablet: modified release, omeprazole 20 mg tablet: enteric coated, SITagliptin 100 mg tablet, vitamin B complex (B1,B6,B12) 100,200,0.2 mg Film coated tablets [oral], omeprazole 20 mg tablet: enteric coated, SITagliptin 100 mg tablet, vitamin B complex (B1,B6,B12) 100,200,0.2 mg Film coated tablets [oral], omeprazole 20 mg tablet: enteric coated, SITagliptin 100 mg tablet, vitamin B complex (B1,B6,B12) 100,200,0.2 mg Film coated tablets [oral], omeprazole 20 mg tablet: enteric coated, SITagliptin 100 mg tablet, vitamin B complex (B1,B6,B12) 100,200,0.2 mg Film coated tablets [oral]</t>
  </si>
  <si>
    <t>طارق نبيل بن انور خجا</t>
  </si>
  <si>
    <t>حسن بن علي بن محمد النخلي</t>
  </si>
  <si>
    <t>omeprazole, ferrous sulfate</t>
  </si>
  <si>
    <t>omeprazole 20 mg tablet: enteric coated, omeprazole 20 mg tablet: enteric coated, omeprazole 20 mg tablet: enteric coated, omeprazole 20 mg tablet: enteric coated, omeprazole 20 mg tablet: enteric coated, ferrous sulfate 190 mg Tablets [oral], ferrous sulfate 190 mg Tablets [oral], ferrous sulfate 190 mg Tablets [oral], ferrous sulfate 190 mg Tablets [oral], ferrous sulfate 190 mg Tablets [oral], omeprazole 20 mg tablet: enteric coated, omeprazole 20 mg tablet: enteric coated, omeprazole 20 mg tablet: enteric coated, omeprazole 20 mg tablet: enteric coated, omeprazole 20 mg tablet: enteric coated, ferrous sulfate 190 mg Tablets [oral], ferrous sulfate 190 mg Tablets [oral], ferrous sulfate 190 mg Tablets [oral], ferrous sulfate 190 mg Tablets [oral], ferrous sulfate 190 mg Tablets [oral]</t>
  </si>
  <si>
    <t>محمد بن فوزي بن علي سلامه</t>
  </si>
  <si>
    <t>atorvastatin 20 mg tablet, valsartan 80 mg tablet, atorvastatin 20 mg tablet, valsartan 80 mg tablet, atorvastatin 20 mg tablet, valsartan 80 mg tablet, amLODIPine 5 mg tablet, amLODIPine 5 mg tablet, amLODIPine 5 mg tablet, valsartan 80 mg tablet, amLODIPine 5 mg tablet, valsartan 80 mg tablet, amLODIPine 5 mg tablet, valsartan 80 mg tablet, amLODIPine 5 mg tablet, atorvastatin 20 mg tablet, atorvastatin 20 mg tablet, atorvastatin 20 mg tablet, amLODIPine 5 mg tablet, valsartan 80 mg tablet, amLODIPine 5 mg tablet, valsartan 80 mg tablet, amLODIPine 5 mg tablet, valsartan 80 mg tablet, atorvastatin 20 mg tablet, atorvastatin 20 mg tablet, atorvastatin 20 mg tablet</t>
  </si>
  <si>
    <t>حلاله عوض عائض المطيري</t>
  </si>
  <si>
    <t>atorvastatin, colecalciferol, ferrous sulfate</t>
  </si>
  <si>
    <t>atorvastatin 20 mg tablet, atorvastatin 20 mg tablet, atorvastatin 20 mg tablet, atorvastatin 20 mg tablet, colecalciferol 50 000 international units tablet, ferrous sulfate 150 mg + folic acid 500 microgram capsule: modified release, colecalciferol 50 000 international units tablet, ferrous sulfate 150 mg + folic acid 500 microgram capsule: modified release, colecalciferol 50 000 international units tablet, ferrous sulfate 150 mg + folic acid 500 microgram capsule: modified release, colecalciferol 50 000 international units tablet, ferrous sulfate 150 mg + folic acid 500 microgram capsule: modified release, colecalciferol 50 000 international units tablet, colecalciferol 50 000 international units tablet, colecalciferol 50 000 international units tablet, colecalciferol 50 000 international units tablet,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colecalciferol 50 000 international units tablet, ferrous sulfate 150 mg + folic acid 500 microgram capsule: modified release, colecalciferol 50 000 international units tablet, ferrous sulfate 150 mg + folic acid 500 microgram capsule: modified release, colecalciferol 50 000 international units tablet, ferrous sulfate 150 mg + folic acid 500 microgram capsule: modified release, colecalciferol 50 000 international units tablet, atorvastatin 20 mg tablet, atorvastatin 20 mg tablet, atorvastatin 20 mg tablet, atorvastatin 20 mg tablet,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colecalciferol 50 000 international units tablet, colecalciferol 50 000 international units tablet, colecalciferol 50 000 international units tablet, colecalciferol 50 000 international units tablet, atorvastatin 20 mg tablet, colecalciferol 50 000 international units tablet, atorvastatin 20 mg tablet, colecalciferol 50 000 international units tablet, atorvastatin 20 mg tablet, colecalciferol 50 000 international units tablet, atorvastatin 20 mg tablet, colecalciferol 50 000 international units tablet,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atorvastatin 20 mg tablet, atorvastatin 20 mg tablet, atorvastatin 20 mg tablet, atorvastatin 20 mg tablet</t>
  </si>
  <si>
    <t>بدريه محسن مسعود الخميسي</t>
  </si>
  <si>
    <t>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 chlorhexidine gluconate 0.2% (2 mg/mL) mouthwash</t>
  </si>
  <si>
    <t>سلطانه رمزي عامر عسيري</t>
  </si>
  <si>
    <t>بدريه عطاء ابن علي العسيري</t>
  </si>
  <si>
    <t>diclofenac sodium, metFORMIN hydrochloride, empagliflozin</t>
  </si>
  <si>
    <t>diclofenac sodium 1% (10 mg/g) gel, metFORMIN hydrochloride 750 mg tablet: modified release, empagliflozin 25 mg tablet, diclofenac sodium 1% (10 mg/g) gel, metFORMIN hydrochloride 750 mg tablet: modified release, empagliflozin 25 mg tablet, diclofenac sodium 1% (10 mg/g) gel, metFORMIN hydrochloride 750 mg tablet: modified release, empagliflozin 25 mg tablet, diclofenac sodium 1% (10 mg/g) gel, metFORMIN hydrochloride 750 mg tablet: modified release, empagliflozin 25 mg tablet, diclofenac sodium 1% (10 mg/g) gel, diclofenac sodium 1% (10 mg/g) gel, diclofenac sodium 1% (10 mg/g) gel, diclofenac sodium 1% (10 mg/g) gel, empagliflozin 25 mg tablet, empagliflozin 25 mg tablet, empagliflozin 25 mg tablet, empagliflozin 25 mg tablet, metFORMIN hydrochloride 750 mg tablet: modified release, metFORMIN hydrochloride 750 mg tablet: modified release, metFORMIN hydrochloride 750 mg tablet: modified release, metFORMIN hydrochloride 750 mg tablet: modified release</t>
  </si>
  <si>
    <t>بديعه عيد عطيةالله الجهني</t>
  </si>
  <si>
    <t>insulin glargine (lantus), atorvastatin, paracetamol, Strips (Accu-Check), insulin aspart, cetirizine hydrochloride</t>
  </si>
  <si>
    <t>insulin glargine (lantus) 100 international units/mL injection, 3 mL prefilled pen, atorvastatin 10 mg tablet, insulin glargine (lantus) 100 international units/mL injection, 3 mL prefilled pen, atorvastatin 10 mg tablet, paracetamol 500 mg + codeine phosphate 8 mg + caffeine 30 mg tablet, Strips (Accu-Check) 1 box Strip [n/a], insulin aspart 100 international units/mL injection, 3 mL prefilled pen, paracetamol 500 mg + codeine phosphate 8 mg + caffeine 30 mg tablet, Strips (Accu-Check) 1 box Strip [n/a], insulin aspart 100 international units/mL injection, 3 mL prefilled pen, cetirizine hydrochloride 10 mg tablet, cetirizine hydrochloride 10 mg tablet, paracetamol 500 mg + codeine phosphate 8 mg + caffeine 30 mg tablet, insulin aspart 100 international units/mL injection, 3 mL prefilled pen, paracetamol 500 mg + codeine phosphate 8 mg + caffeine 30 mg tablet, insulin aspart 100 international units/mL injection, 3 mL prefilled pen, atorvastatin 10 mg tablet, insulin glargine (lantus) 100 international units/mL injection, 3 mL prefilled pen, atorvastatin 10 mg tablet, insulin glargine (lantus) 100 international units/mL injection, 3 mL prefilled pen, Strips (Accu-Check) 1 box Strip [n/a], cetirizine hydrochloride 10 mg tablet, Strips (Accu-Check) 1 box Strip [n/a], cetirizine hydrochloride 10 mg tablet</t>
  </si>
  <si>
    <t>أمال فائق بن عبدالواحد قدسي</t>
  </si>
  <si>
    <t>Glucometer Device (Accu-Chek), Strips (Accu-Check), valsartan, vitamin B complex (B, B, Lancets (Accu-Check), metFORMIN hydrochloride</t>
  </si>
  <si>
    <t>Glucometer Device (Accu-Chek) 1 device Device [n/a], Strips (Accu-Check) 1 box Strip [n/a], valsartan 80 mg tablet, Glucometer Device (Accu-Chek) 1 device Device [n/a], Strips (Accu-Check) 1 box Strip [n/a], valsartan 80 mg tablet, Glucometer Device (Accu-Chek) 1 device Device [n/a], Strips (Accu-Check) 1 box Strip [n/a], valsartan 80 mg tablet, Glucometer Device (Accu-Chek) 1 device Device [n/a], Strips (Accu-Check) 1 box Strip [n/a], valsartan 80 mg tablet, vitamin B complex (B1,B6,B12) 100,200,0.2 mg Film coated tablets [oral], vitamin B complex (B1,B6,B12) 100,200,0.2 mg Film coated tablets [oral], vitamin B complex (B1,B6,B12) 100,200,0.2 mg Film coated tablets [oral], vitamin B complex (B1,B6,B12) 100,200,0.2 mg Film coated tablets [oral], Lancets (Accu-Check) 1 box Lancets [n/a], metFORMIN hydrochloride 500 mg tablet, Lancets (Accu-Check) 1 box Lancets [n/a], metFORMIN hydrochloride 500 mg tablet, Lancets (Accu-Check) 1 box Lancets [n/a], metFORMIN hydrochloride 500 mg tablet, Lancets (Accu-Check) 1 box Lancets [n/a], metFORMIN hydrochloride 500 mg tablet, valsartan 80 mg tablet, Lancets (Accu-Check) 1 box Lancets [n/a], valsartan 80 mg tablet, Lancets (Accu-Check) 1 box Lancets [n/a], valsartan 80 mg tablet, Lancets (Accu-Check) 1 box Lancets [n/a], valsartan 80 mg tablet, Lancets (Accu-Check) 1 box Lancets [n/a], Strips (Accu-Check) 1 box Strip [n/a], metFORMIN hydrochloride 500 mg tablet, vitamin B complex (B1,B6,B12) 100,200,0.2 mg Film coated tablets [oral], Strips (Accu-Check) 1 box Strip [n/a], metFORMIN hydrochloride 500 mg tablet, vitamin B complex (B1,B6,B12) 100,200,0.2 mg Film coated tablets [oral], Strips (Accu-Check) 1 box Strip [n/a], metFORMIN hydrochloride 500 mg tablet, vitamin B complex (B1,B6,B12) 100,200,0.2 mg Film coated tablets [oral], Strips (Accu-Check) 1 box Strip [n/a], metFORMIN hydrochloride 500 mg tablet, vitamin B complex (B1,B6,B12) 100,200,0.2 mg Film coated tablets [oral], Glucometer Device (Accu-Chek) 1 device Device [n/a], Glucometer Device (Accu-Chek) 1 device Device [n/a], Glucometer Device (Accu-Chek) 1 device Device [n/a], Glucometer Device (Accu-Chek) 1 device Device [n/a]</t>
  </si>
  <si>
    <t>محمد بن سليمان بن حامد المرواني</t>
  </si>
  <si>
    <t>atorvastatin, acetylsalicylic acid</t>
  </si>
  <si>
    <t>atorvastatin 20 mg tablet, acetylsalicylic acid 100 mg tablet: enteric coated, acetylsalicylic acid 100 mg tablet: enteric coated, atorvastatin 20 mg tablet, atorvastatin 20 mg tablet, acetylsalicylic acid 100 mg tablet: enteric coated, acetylsalicylic acid 100 mg tablet: enteric coated, atorvastatin 20 mg tablet, atorvastatin 20 mg tablet, acetylsalicylic acid 100 mg tablet: enteric coated, acetylsalicylic acid 100 mg tablet: enteric coated, atorvastatin 20 mg tablet, atorvastatin 20 mg tablet, atorvastatin 20 mg tablet, atorvastatin 20 mg tablet, acetylsalicylic acid 100 mg tablet: enteric coated, acetylsalicylic acid 100 mg tablet: enteric coated, acetylsalicylic acid 100 mg tablet: enteric coated, atorvastatin 20 mg tablet, acetylsalicylic acid 100 mg tablet: enteric coated, atorvastatin 20 mg tablet, acetylsalicylic acid 100 mg tablet: enteric coated, atorvastatin 20 mg tablet, acetylsalicylic acid 100 mg tablet: enteric coated, acetylsalicylic acid 100 mg tablet: enteric coated, acetylsalicylic acid 100 mg tablet: enteric coated, acetylsalicylic acid 100 mg tablet: enteric coated, atorvastatin 20 mg tablet, atorvastatin 20 mg tablet, atorvastatin 20 mg tablet, acetylsalicylic acid 100 mg tablet: enteric coated, atorvastatin 20 mg tablet, acetylsalicylic acid 100 mg tablet: enteric coated, atorvastatin 20 mg tablet, acetylsalicylic acid 100 mg tablet: enteric coated, atorvastatin 20 mg tablet</t>
  </si>
  <si>
    <t>فهد بن سعيد بن سعد الزهراني</t>
  </si>
  <si>
    <t>metFORMIN hydrochloride, valsartan</t>
  </si>
  <si>
    <t>metFORMIN hydrochloride 750 mg tablet: modified release, valsartan 80 mg tablet, metFORMIN hydrochloride 750 mg tablet: modified release, valsartan 80 mg tablet, metFORMIN hydrochloride 750 mg tablet: modified release, valsartan 80 mg tablet, metFORMIN hydrochloride 750 mg tablet: modified release, valsartan 80 mg tablet, metFORMIN hydrochloride 750 mg tablet: modified release, valsartan 80 mg tablet, metFORMIN hydrochloride 750 mg tablet: modified release, valsartan 80 mg tablet, metFORMIN hydrochloride 750 mg tablet: modified release, valsartan 80 mg tablet, valsartan 80 mg tablet, metFORMIN hydrochloride 750 mg tablet: modified release, valsartan 80 mg tablet, metFORMIN hydrochloride 750 mg tablet: modified release, valsartan 80 mg tablet, metFORMIN hydrochloride 750 mg tablet: modified release, valsartan 80 mg tablet, metFORMIN hydrochloride 750 mg tablet: modified release, valsartan 80 mg tablet, metFORMIN hydrochloride 750 mg tablet: modified release, valsartan 80 mg tablet, metFORMIN hydrochloride 750 mg tablet: modified release, valsartan 80 mg tablet, metFORMIN hydrochloride 750 mg tablet: modified release, valsartan 80 mg tablet, metFORMIN hydrochloride 750 mg tablet: modified release, valsartan 80 mg tablet, metFORMIN hydrochloride 750 mg tablet: modified release, valsartan 80 mg tablet, metFORMIN hydrochloride 750 mg tablet: modified release, valsartan 80 mg tablet, metFORMIN hydrochloride 750 mg tablet: modified release, valsartan 80 mg tablet, metFORMIN hydrochloride 750 mg tablet: modified release, valsartan 80 mg tablet, metFORMIN hydrochloride 750 mg tablet: modified release, valsartan 80 mg tablet, metFORMIN hydrochloride 750 mg tablet: modified release</t>
  </si>
  <si>
    <t>جميعه فايز عابد العمري</t>
  </si>
  <si>
    <t>salbutamol</t>
  </si>
  <si>
    <t>salbutamol 100 microgram/actuation inhaler, salbutamol 100 microgram/actuation inhaler, salbutamol 100 microgram/actuation inhaler, salbutamol 100 microgram/actuation inhaler, salbutamol 100 microgram/actuation inhaler, salbutamol 100 microgram/actuation inhaler</t>
  </si>
  <si>
    <t>بديعه محمد جاري القرني</t>
  </si>
  <si>
    <t>omeprazole, levothyroxine sodium, metFORMIN hydrochloride, celecoxib, mebeverine hydrochloride</t>
  </si>
  <si>
    <t>omeprazole 20 mg tablet: enteric coated, omeprazole 20 mg tablet: enteric coated, omeprazole 20 mg tablet: enteric coated, levothyroxine sodium 25 microgram tablet, levothyroxine sodium 25 microgram tablet, levothyroxine sodium 25 microgram tablet, metFORMIN hydrochloride 500 mg tablet, levothyroxine sodium 50 microgram tablet, metFORMIN hydrochloride 500 mg tablet, levothyroxine sodium 50 microgram tablet, metFORMIN hydrochloride 500 mg tablet, levothyroxine sodium 50 microgram tablet, celecoxib 200 mg capsule, mebeverine hydrochloride 200 mg capsule: modified release, celecoxib 200 mg capsule, mebeverine hydrochloride 200 mg capsule: modified release, celecoxib 200 mg capsule, mebeverine hydrochloride 200 mg capsule: modified release, levothyroxine sodium 50 microgram tablet, omeprazole 20 mg tablet: enteric coated, levothyroxine sodium 50 microgram tablet, omeprazole 20 mg tablet: enteric coated, levothyroxine sodium 50 microgram tablet, omeprazole 20 mg tablet: enteric coated, mebeverine hydrochloride 200 mg capsule: modified release, metFORMIN hydrochloride 500 mg tablet, levothyroxine sodium 25 microgram tablet, celecoxib 200 mg capsule, mebeverine hydrochloride 200 mg capsule: modified release, metFORMIN hydrochloride 500 mg tablet, levothyroxine sodium 25 microgram tablet, celecoxib 200 mg capsule, mebeverine hydrochloride 200 mg capsule: modified release, metFORMIN hydrochloride 500 mg tablet, levothyroxine sodium 25 microgram tablet, celecoxib 200 mg capsule</t>
  </si>
  <si>
    <t>Diabetes, GI/PPI, Thyroid</t>
  </si>
  <si>
    <t>عبدالله بن تميم بن سعد آل زعير</t>
  </si>
  <si>
    <t>colecalciferol, naphazoline nitrate</t>
  </si>
  <si>
    <t>colecalciferol 50 000 international units tablet, colecalciferol 50 000 international units tablet, colecalciferol 50 000 international units tablet, colecalciferol 50 000 international units tablet, naphazoline nitrate 0.1% (1 mg/mL) eye drops, naphazoline nitrate 0.1% (1 mg/mL) eye drops, naphazoline nitrate 0.1% (1 mg/mL) eye drops, naphazoline nitrate 0.1% (1 mg/mL) eye drops, colecalciferol 50 000 international units tablet, colecalciferol 50 000 international units tablet, colecalciferol 50 000 international units tablet, colecalciferol 50 000 international units tablet, naphazoline nitrate 0.1% (1 mg/mL) eye drops, naphazoline nitrate 0.1% (1 mg/mL) eye drops, naphazoline nitrate 0.1% (1 mg/mL) eye drops, naphazoline nitrate 0.1% (1 mg/mL) eye drops</t>
  </si>
  <si>
    <t>رائد احمد بن علي الصبياني</t>
  </si>
  <si>
    <t>vitamin B complex (B, B, atorvastatin, valsartan, clotrimazole, bisoprolol fumarate, clopidogrel, acetylsalicylic acid, omeprazole</t>
  </si>
  <si>
    <t>vitamin B complex (B1,B6,B12) 100,200,0.2 mg Film coated tablets [oral], atorvastatin 20 mg tablet, valsartan 80 mg tablet, vitamin B complex (B1,B6,B12) 100,200,0.2 mg Film coated tablets [oral], atorvastatin 20 mg tablet, valsartan 80 mg tablet, vitamin B complex (B1,B6,B12) 100,200,0.2 mg Film coated tablets [oral], atorvastatin 20 mg tablet, valsartan 80 mg tablet, vitamin B complex (B1,B6,B12) 100,200,0.2 mg Film coated tablets [oral], atorvastatin 20 mg tablet, valsartan 80 mg tablet, vitamin B complex (B1,B6,B12) 100,200,0.2 mg Film coated tablets [oral], atorvastatin 20 mg tablet, valsartan 80 mg tablet, clotrimazole 1% (10 mg/g) ear drops, bisoprolol fumarate 5 mg tablet, clopidogrel 75 mg tablet, acetylsalicylic acid 100 mg tablet: enteric coated, omeprazole 20 mg tablet: enteric coated, clotrimazole 1% (10 mg/g) ear drops, bisoprolol fumarate 5 mg tablet, clopidogrel 75 mg tablet, acetylsalicylic acid 100 mg tablet: enteric coated, omeprazole 20 mg tablet: enteric coated, clotrimazole 1% (10 mg/g) ear drops, bisoprolol fumarate 5 mg tablet, clopidogrel 75 mg tablet, acetylsalicylic acid 100 mg tablet: enteric coated, omeprazole 20 mg tablet: enteric coated, clotrimazole 1% (10 mg/g) ear drops, bisoprolol fumarate 5 mg tablet, clopidogrel 75 mg tablet, acetylsalicylic acid 100 mg tablet: enteric coated, omeprazole 20 mg tablet: enteric coated, clotrimazole 1% (10 mg/g) ear drops, bisoprolol fumarate 5 mg tablet, clopidogrel 75 mg tablet, acetylsalicylic acid 100 mg tablet: enteric coated, omeprazole 20 mg tablet: enteric coated, vitamin B complex (B1,B6,B12) 100,200,0.2 mg Film coated tablets [oral], clopidogrel 75 mg tablet, vitamin B complex (B1,B6,B12) 100,200,0.2 mg Film coated tablets [oral], clopidogrel 75 mg tablet, vitamin B complex (B1,B6,B12) 100,200,0.2 mg Film coated tablets [oral], clopidogrel 75 mg tablet, vitamin B complex (B1,B6,B12) 100,200,0.2 mg Film coated tablets [oral], clopidogrel 75 mg tablet, vitamin B complex (B1,B6,B12) 100,200,0.2 mg Film coated tablets [oral], clopidogrel 75 mg tablet, omeprazole 20 mg tablet: enteric coated, atorvastatin 20 mg tablet, bisoprolol fumarate 5 mg tablet, valsartan 80 mg tablet, acetylsalicylic acid 100 mg tablet: enteric coated, clotrimazole 1% (10 mg/g) ear drops, omeprazole 20 mg tablet: enteric coated, atorvastatin 20 mg tablet, bisoprolol fumarate 5 mg tablet, valsartan 80 mg tablet, acetylsalicylic acid 100 mg tablet: enteric coated, clotrimazole 1% (10 mg/g) ear drops, omeprazole 20 mg tablet: enteric coated, atorvastatin 20 mg tablet, bisoprolol fumarate 5 mg tablet, valsartan 80 mg tablet, acetylsalicylic acid 100 mg tablet: enteric coated, clotrimazole 1% (10 mg/g) ear drops, omeprazole 20 mg tablet: enteric coated, atorvastatin 20 mg tablet, bisoprolol fumarate 5 mg tablet, valsartan 80 mg tablet, acetylsalicylic acid 100 mg tablet: enteric coated, clotrimazole 1% (10 mg/g) ear drops, omeprazole 20 mg tablet: enteric coated, atorvastatin 20 mg tablet, bisoprolol fumarate 5 mg tablet, valsartan 80 mg tablet, acetylsalicylic acid 100 mg tablet: enteric coated, clotrimazole 1% (10 mg/g) ear drops, atorvastatin 20 mg tablet, clopidogrel 75 mg tablet, atorvastatin 20 mg tablet, clopidogrel 75 mg tablet, atorvastatin 20 mg tablet, clopidogrel 75 mg tablet, atorvastatin 20 mg tablet, clopidogrel 75 mg tablet, atorvastatin 20 mg tablet, clopidogrel 75 mg tablet, omeprazole 20 mg tablet: enteric coated, vitamin B complex (B1,B6,B12) 100,200,0.2 mg Film coated tablets [oral], bisoprolol fumarate 5 mg tablet, clotrimazole 1% (10 mg/g) ear drops, acetylsalicylic acid 100 mg tablet: enteric coated, valsartan 80 mg tablet, omeprazole 20 mg tablet: enteric coated, vitamin B complex (B1,B6,B12) 100,200,0.2 mg Film coated tablets [oral], bisoprolol fumarate 5 mg tablet, clotrimazole 1% (10 mg/g) ear drops, acetylsalicylic acid 100 mg tablet: enteric coated, valsartan 80 mg tablet, omeprazole 20 mg tablet: enteric coated, vitamin B complex (B1,B6,B12) 100,200,0.2 mg Film coated tablets [oral], bisoprolol fumarate 5 mg tablet, clotrimazole 1% (10 mg/g) ear drops, acetylsalicylic acid 100 mg tablet: enteric coated, valsartan 80 mg tablet, omeprazole 20 mg tablet: enteric coated, vitamin B complex (B1,B6,B12) 100,200,0.2 mg Film coated tablets [oral], bisoprolol fumarate 5 mg tablet, clotrimazole 1% (10 mg/g) ear drops, acetylsalicylic acid 100 mg tablet: enteric coated, valsartan 80 mg tablet, omeprazole 20 mg tablet: enteric coated, vitamin B complex (B1,B6,B12) 100,200,0.2 mg Film coated tablets [oral], bisoprolol fumarate 5 mg tablet, clotrimazole 1% (10 mg/g) ear drops, acetylsalicylic acid 100 mg tablet: enteric coated, valsartan 80 mg tablet</t>
  </si>
  <si>
    <t>هدى حمزه محمد بقصماطي</t>
  </si>
  <si>
    <t>metFORMIN hydrochloride, vitamin B complex (B, B, clopidogrel, omeprazole, fusidic acid, amLODIPine, miconazole nitrate, bisoprolol fumarate, atorvastatin</t>
  </si>
  <si>
    <t>metFORMIN hydrochloride 750 mg tablet: modified release, metFORMIN hydrochloride 750 mg tablet: modified release, metFORMIN hydrochloride 750 mg tablet: modified release, vitamin B complex (B1,B6,B12) 100,100,0.15 mg Film coated tablets [oral], vitamin B complex (B1,B6,B12) 100,100,0.15 mg Film coated tablets [oral], vitamin B complex (B1,B6,B12) 100,100,0.15 mg Film coated tablets [oral], clopidogrel 75 mg tablet, clopidogrel 75 mg tablet, clopidogrel 75 mg tablet, omeprazole 20 mg tablet: enteric coated, fusidic acid 2% (20 mg/g) cream, omeprazole 20 mg tablet: enteric coated, fusidic acid 2% (20 mg/g) cream, omeprazole 20 mg tablet: enteric coated, fusidic acid 2% (20 mg/g) cream, amLODIPine 5 mg tablet, miconazole nitrate 2% (20 mg/g) + hydrocortisone 1% (10 mg/g) cream, amLODIPine 5 mg tablet, miconazole nitrate 2% (20 mg/g) + hydrocortisone 1% (10 mg/g) cream, amLODIPine 5 mg tablet, miconazole nitrate 2% (20 mg/g) + hydrocortisone 1% (10 mg/g) cream, bisoprolol fumarate 5 mg tablet, atorvastatin 20 mg tablet, bisoprolol fumarate 5 mg tablet, atorvastatin 20 mg tablet, bisoprolol fumarate 5 mg tablet, atorvastatin 20 mg tablet, omeprazole 20 mg tablet: enteric coated, clopidogrel 75 mg tablet, omeprazole 20 mg tablet: enteric coated, clopidogrel 75 mg tablet, omeprazole 20 mg tablet: enteric coated, clopidogrel 75 mg tablet, fusidic acid 2% (20 mg/g) cream, amLODIPine 5 mg tablet, metFORMIN hydrochloride 750 mg tablet: modified release, fusidic acid 2% (20 mg/g) cream, amLODIPine 5 mg tablet, metFORMIN hydrochloride 750 mg tablet: modified release, fusidic acid 2% (20 mg/g) cream, amLODIPine 5 mg tablet, metFORMIN hydrochloride 750 mg tablet: modified release, vitamin B complex (B1,B6,B12) 100,100,0.15 mg Film coated tablets [oral], atorvastatin 20 mg tablet, bisoprolol fumarate 5 mg tablet, miconazole nitrate 2% (20 mg/g) + hydrocortisone 1% (10 mg/g) cream, vitamin B complex (B1,B6,B12) 100,100,0.15 mg Film coated tablets [oral], atorvastatin 20 mg tablet, bisoprolol fumarate 5 mg tablet, miconazole nitrate 2% (20 mg/g) + hydrocortisone 1% (10 mg/g) cream, vitamin B complex (B1,B6,B12) 100,100,0.15 mg Film coated tablets [oral], atorvastatin 20 mg tablet, bisoprolol fumarate 5 mg tablet, miconazole nitrate 2% (20 mg/g) + hydrocortisone 1% (10 mg/g) cream</t>
  </si>
  <si>
    <t>عبدالرحمن وارد شليان العتيبي</t>
  </si>
  <si>
    <t>cetirizine hydrochloride, azithromycin, paracetamol, sodium chloride</t>
  </si>
  <si>
    <t>cetirizine hydrochloride 10 mg tablet, cetirizine hydrochloride 10 mg tablet, cetirizine hydrochloride 10 mg tablet, cetirizine hydrochloride 10 mg tablet, cetirizine hydrochloride 10 mg tablet, cetirizine hydrochloride 10 mg tablet, azithromycin 250 mg capsule, azithromycin 250 mg capsule, azithromycin 250 mg capsule, azithromycin 250 mg capsule, azithromycin 250 mg capsule, azithromycin 250 mg capsule, paracetamol 500 mg tablet, paracetamol 500 mg tablet, paracetamol 500 mg tablet, paracetamol 500 mg tablet, paracetamol 500 mg tablet, paracetamol 500 mg tablet,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 azithromycin 250 mg capsule, azithromycin 250 mg capsule, azithromycin 250 mg capsule, azithromycin 250 mg capsule, azithromycin 250 mg capsule, azithromycin 250 mg capsule,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paracetamol 500 mg tablet, paracetamol 500 mg tablet, paracetamol 500 mg tablet, paracetamol 500 mg tablet, paracetamol 500 mg tablet, paracetamol 500 mg tablet, azithromycin 250 mg capsule, cetirizine hydrochloride 10 mg tablet, sodium chloride 0.9% (9 mg/mL) nasal spray, azithromycin 250 mg capsule, cetirizine hydrochloride 10 mg tablet, sodium chloride 0.9% (9 mg/mL) nasal spray, azithromycin 250 mg capsule, cetirizine hydrochloride 10 mg tablet, sodium chloride 0.9% (9 mg/mL) nasal spray, azithromycin 250 mg capsule, cetirizine hydrochloride 10 mg tablet, sodium chloride 0.9% (9 mg/mL) nasal spray, azithromycin 250 mg capsule, cetirizine hydrochloride 10 mg tablet, sodium chloride 0.9% (9 mg/mL) nasal spray, azithromycin 250 mg capsule, cetirizine hydrochloride 10 mg tablet, sodium chloride 0.9% (9 mg/mL) nasal spray</t>
  </si>
  <si>
    <t>زكيه بنت محمد بن احمد مسعود</t>
  </si>
  <si>
    <t>diclofenac sodium, paraffin soft white ointment, tube, losartan potassium, amLODIPine, colecalciferol, atorvastatin, lactulose, atenolol, lidocaine hydrochloride</t>
  </si>
  <si>
    <t>diclofenac sodium 1% (10 mg/g) gel, diclofenac sodium 1% (10 mg/g) gel, diclofenac sodium 1% (10 mg/g) gel, diclofenac sodium 1% (10 mg/g) gel, diclofenac sodium 1% (10 mg/g) gel, diclofenac sodium 1% (10 mg/g) gel, diclofenac sodium 1% (10 mg/g) gel, paraffin soft white ointment, tube, paraffin soft white ointment, tube, paraffin soft white ointment, tube, paraffin soft white ointment, tube, paraffin soft white ointment, tube, paraffin soft white ointment, tube, paraffin soft white ointment, tube, losartan potassium 50 mg tablet, amLODIPine 5 mg tablet, colecalciferol 1 000 international units capsule, losartan potassium 50 mg tablet, amLODIPine 5 mg tablet, colecalciferol 1 000 international units capsule, losartan potassium 50 mg tablet, amLODIPine 5 mg tablet, colecalciferol 1 000 international units capsule, losartan potassium 50 mg tablet, amLODIPine 5 mg tablet, colecalciferol 1 000 international units capsule, losartan potassium 50 mg tablet, amLODIPine 5 mg tablet, colecalciferol 1 000 international units capsule, losartan potassium 50 mg tablet, amLODIPine 5 mg tablet, colecalciferol 1 000 international units capsule, losartan potassium 50 mg tablet, amLODIPine 5 mg tablet, colecalciferol 1 000 international units capsule, atorvastatin 10 mg tablet, atorvastatin 10 mg tablet, atorvastatin 10 mg tablet, atorvastatin 10 mg tablet, atorvastatin 10 mg tablet, atorvastatin 10 mg tablet, atorvastatin 10 mg tablet, lactulose 3.35 g/5 mL oral liquid, atenolol 50 mg tablet, lidocaine hydrochloride 2% (20 mg/g) + tribenoside 5% (50 mg/g) rectal ointment, lactulose 3.35 g/5 mL oral liquid, atenolol 50 mg tablet, lidocaine hydrochloride 2% (20 mg/g) + tribenoside 5% (50 mg/g) rectal ointment, lactulose 3.35 g/5 mL oral liquid, atenolol 50 mg tablet, lidocaine hydrochloride 2% (20 mg/g) + tribenoside 5% (50 mg/g) rectal ointment, lactulose 3.35 g/5 mL oral liquid, atenolol 50 mg tablet, lidocaine hydrochloride 2% (20 mg/g) + tribenoside 5% (50 mg/g) rectal ointment, lactulose 3.35 g/5 mL oral liquid, atenolol 50 mg tablet, lidocaine hydrochloride 2% (20 mg/g) + tribenoside 5% (50 mg/g) rectal ointment, lactulose 3.35 g/5 mL oral liquid, atenolol 50 mg tablet, lidocaine hydrochloride 2% (20 mg/g) + tribenoside 5% (50 mg/g) rectal ointment, lactulose 3.35 g/5 mL oral liquid, atenolol 50 mg tablet, lidocaine hydrochloride 2% (20 mg/g) + tribenoside 5% (50 mg/g) rectal ointment, atenolol 50 mg tablet, atenolol 50 mg tablet, atenolol 50 mg tablet, atenolol 50 mg tablet, atenolol 50 mg tablet, atenolol 50 mg tablet, atenolol 50 mg tablet, lidocaine hydrochloride 2% (20 mg/g) + tribenoside 5% (50 mg/g) rectal ointment, lactulose 3.35 g/5 mL oral liquid, lidocaine hydrochloride 2% (20 mg/g) + tribenoside 5% (50 mg/g) rectal ointment, lactulose 3.35 g/5 mL oral liquid, lidocaine hydrochloride 2% (20 mg/g) + tribenoside 5% (50 mg/g) rectal ointment, lactulose 3.35 g/5 mL oral liquid, lidocaine hydrochloride 2% (20 mg/g) + tribenoside 5% (50 mg/g) rectal ointment, lactulose 3.35 g/5 mL oral liquid, lidocaine hydrochloride 2% (20 mg/g) + tribenoside 5% (50 mg/g) rectal ointment, lactulose 3.35 g/5 mL oral liquid, lidocaine hydrochloride 2% (20 mg/g) + tribenoside 5% (50 mg/g) rectal ointment, lactulose 3.35 g/5 mL oral liquid, lidocaine hydrochloride 2% (20 mg/g) + tribenoside 5% (50 mg/g) rectal ointment, lactulose 3.35 g/5 mL oral liquid, paraffin soft white ointment, tube, diclofenac sodium 1% (10 mg/g) gel, amLODIPine 5 mg tablet, paraffin soft white ointment, tube, diclofenac sodium 1% (10 mg/g) gel, amLODIPine 5 mg tablet, paraffin soft white ointment, tube, diclofenac sodium 1% (10 mg/g) gel, amLODIPine 5 mg tablet, paraffin soft white ointment, tube, diclofenac sodium 1% (10 mg/g) gel, amLODIPine 5 mg tablet, paraffin soft white ointment, tube, diclofenac sodium 1% (10 mg/g) gel, amLODIPine 5 mg tablet, paraffin soft white ointment, tube, diclofenac sodium 1% (10 mg/g) gel, amLODIPine 5 mg tablet, paraffin soft white ointment, tube, diclofenac sodium 1% (10 mg/g) gel, amLODIPine 5 mg tablet, atorvastatin 10 mg tablet, losartan potassium 50 mg tablet, atorvastatin 10 mg tablet, losartan potassium 50 mg tablet, atorvastatin 10 mg tablet, losartan potassium 50 mg tablet, atorvastatin 10 mg tablet, losartan potassium 50 mg tablet, atorvastatin 10 mg tablet, losartan potassium 50 mg tablet, atorvastatin 10 mg tablet, losartan potassium 50 mg tablet, atorvastatin 10 mg tablet, losartan potassium 50 mg tablet,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colecalciferol 1 000 international units capsule, atorvastatin 10 mg tablet, diclofenac sodium 1% (10 mg/g) gel, atorvastatin 10 mg tablet, diclofenac sodium 1% (10 mg/g) gel, atorvastatin 10 mg tablet, diclofenac sodium 1% (10 mg/g) gel, atorvastatin 10 mg tablet, diclofenac sodium 1% (10 mg/g) gel, atorvastatin 10 mg tablet, diclofenac sodium 1% (10 mg/g) gel, atorvastatin 10 mg tablet, diclofenac sodium 1% (10 mg/g) gel, atorvastatin 10 mg tablet, diclofenac sodium 1% (10 mg/g) gel, colecalciferol 1 000 international units capsule, losartan potassium 50 mg tablet, lactulose 3.35 g/5 mL oral liquid, colecalciferol 1 000 international units capsule, losartan potassium 50 mg tablet, lactulose 3.35 g/5 mL oral liquid, colecalciferol 1 000 international units capsule, losartan potassium 50 mg tablet, lactulose 3.35 g/5 mL oral liquid, colecalciferol 1 000 international units capsule, losartan potassium 50 mg tablet, lactulose 3.35 g/5 mL oral liquid, colecalciferol 1 000 international units capsule, losartan potassium 50 mg tablet, lactulose 3.35 g/5 mL oral liquid, colecalciferol 1 000 international units capsule, losartan potassium 50 mg tablet, lactulose 3.35 g/5 mL oral liquid, colecalciferol 1 000 international units capsule, losartan potassium 50 mg tablet, lactulose 3.35 g/5 mL oral liquid, paraffin soft white ointment, tube, amLODIPine 5 mg tablet, lidocaine hydrochloride 2% (20 mg/g) + tribenoside 5% (50 mg/g) rectal ointment, paraffin soft white ointment, tube, amLODIPine 5 mg tablet, lidocaine hydrochloride 2% (20 mg/g) + tribenoside 5% (50 mg/g) rectal ointment, paraffin soft white ointment, tube, amLODIPine 5 mg tablet, lidocaine hydrochloride 2% (20 mg/g) + tribenoside 5% (50 mg/g) rectal ointment, paraffin soft white ointment, tube, amLODIPine 5 mg tablet, lidocaine hydrochloride 2% (20 mg/g) + tribenoside 5% (50 mg/g) rectal ointment, paraffin soft white ointment, tube, amLODIPine 5 mg tablet, lidocaine hydrochloride 2% (20 mg/g) + tribenoside 5% (50 mg/g) rectal ointment, paraffin soft white ointment, tube, amLODIPine 5 mg tablet, lidocaine hydrochloride 2% (20 mg/g) + tribenoside 5% (50 mg/g) rectal ointment, paraffin soft white ointment, tube, amLODIPine 5 mg tablet, lidocaine hydrochloride 2% (20 mg/g) + tribenoside 5% (50 mg/g) rectal ointment, atenolol 50 mg tablet, atenolol 50 mg tablet, atenolol 50 mg tablet, atenolol 50 mg tablet, atenolol 50 mg tablet, atenolol 50 mg tablet, atenolol 50 mg tablet, diclofenac sodium 1% (10 mg/g) gel, paraffin soft white ointment, tube, diclofenac sodium 1% (10 mg/g) gel, paraffin soft white ointment, tube, diclofenac sodium 1% (10 mg/g) gel, paraffin soft white ointment, tube, diclofenac sodium 1% (10 mg/g) gel, paraffin soft white ointment, tube, diclofenac sodium 1% (10 mg/g) gel, paraffin soft white ointment, tube, diclofenac sodium 1% (10 mg/g) gel, paraffin soft white ointment, tube, diclofenac sodium 1% (10 mg/g) gel, paraffin soft white ointment, tube, lactulose 3.35 g/5 mL oral liquid, amLODIPine 5 mg tablet, lactulose 3.35 g/5 mL oral liquid, amLODIPine 5 mg tablet, lactulose 3.35 g/5 mL oral liquid, amLODIPine 5 mg tablet, lactulose 3.35 g/5 mL oral liquid, amLODIPine 5 mg tablet, lactulose 3.35 g/5 mL oral liquid, amLODIPine 5 mg tablet, lactulose 3.35 g/5 mL oral liquid, amLODIPine 5 mg tablet, lactulose 3.35 g/5 mL oral liquid, amLODIPine 5 mg tablet, atenolol 50 mg tablet, colecalciferol 1 000 international units capsule, lidocaine hydrochloride 2% (20 mg/g) + tribenoside 5% (50 mg/g) rectal ointment, losartan potassium 50 mg tablet, atenolol 50 mg tablet, colecalciferol 1 000 international units capsule, lidocaine hydrochloride 2% (20 mg/g) + tribenoside 5% (50 mg/g) rectal ointment, losartan potassium 50 mg tablet, atenolol 50 mg tablet, colecalciferol 1 000 international units capsule, lidocaine hydrochloride 2% (20 mg/g) + tribenoside 5% (50 mg/g) rectal ointment, losartan potassium 50 mg tablet, atenolol 50 mg tablet, colecalciferol 1 000 international units capsule, lidocaine hydrochloride 2% (20 mg/g) + tribenoside 5% (50 mg/g) rectal ointment, losartan potassium 50 mg tablet, atenolol 50 mg tablet, colecalciferol 1 000 international units capsule, lidocaine hydrochloride 2% (20 mg/g) + tribenoside 5% (50 mg/g) rectal ointment, losartan potassium 50 mg tablet, atenolol 50 mg tablet, colecalciferol 1 000 international units capsule, lidocaine hydrochloride 2% (20 mg/g) + tribenoside 5% (50 mg/g) rectal ointment, losartan potassium 50 mg tablet, atenolol 50 mg tablet, colecalciferol 1 000 international units capsule, lidocaine hydrochloride 2% (20 mg/g) + tribenoside 5% (50 mg/g) rectal ointment, losartan potassium 50 mg tablet, atorvastatin 10 mg tablet, atorvastatin 10 mg tablet, atorvastatin 10 mg tablet, atorvastatin 10 mg tablet, atorvastatin 10 mg tablet, atorvastatin 10 mg tablet, atorvastatin 10 mg tablet</t>
  </si>
  <si>
    <t>سلوى بنت علي بن حسين عبدالله</t>
  </si>
  <si>
    <t>Glucometer Device (Accu-Chek), omeprazole, ferrous sulfate, insulin glargine, insulin aspart, Strips (Accu-Check), rosuvastatin, vitamin B complex (B, B, perindopril arginine</t>
  </si>
  <si>
    <t>Glucometer Device (Accu-Chek) 1 device Device [n/a], omeprazole 20 mg tablet: enteric coated, ferrous sulfate 150 mg + folic acid 500 microgram capsule: modified release, Glucometer Device (Accu-Chek) 1 device Device [n/a], omeprazole 20 mg tablet: enteric coated, ferrous sulfate 150 mg + folic acid 500 microgram capsule: modified release, Glucometer Device (Accu-Chek) 1 device Device [n/a], omeprazole 20 mg tablet: enteric coated, ferrous sulfate 150 mg + folic acid 500 microgram capsule: modified release, insulin glargine 300 international units/mL injection, 1.5 mL prefilled pen, insulin aspart 100 international units/mL injection, 3 mL prefilled pen, Strips (Accu-Check) 1 box Strip [n/a], rosuvastatin 10 mg tablet, insulin glargine 300 international units/mL injection, 1.5 mL prefilled pen, insulin aspart 100 international units/mL injection, 3 mL prefilled pen, Strips (Accu-Check) 1 box Strip [n/a], rosuvastatin 10 mg tablet, insulin glargine 300 international units/mL injection, 1.5 mL prefilled pen, insulin aspart 100 international units/mL injection, 3 mL prefilled pen, Strips (Accu-Check) 1 box Strip [n/a], rosuvastatin 10 mg tablet, vitamin B complex (B1,B6,B12) 100,200,0.2 mg Film coated tablets [oral], perindopril arginine 5 mg tablet, empagliflozin 10 mg tablet, hydroCHLOROthiazide 25 mg tablet: scored, colecalciferol 5000 international units Capsules [oral], paracetamol 500 mg tablet, vitamin B complex (B1,B6,B12) 100,200,0.2 mg Film coated tablets [oral], perindopril arginine 5 mg tablet, empagliflozin 10 mg tablet, hydroCHLOROthiazide 25 mg tablet: scored, colecalciferol 5000 international units Capsules [oral], paracetamol 500 mg tablet, vitamin B complex (B1,B6,B12) 100,200,0.2 mg Film coated tablets [oral], perindopril arginine 5 mg tablet, empagliflozin 10 mg tablet, hydroCHLOROthiazide 25 mg tablet: scored, colecalciferol 5000 international units Capsules [oral], paracetamol 500 mg tablet, metFORMIN hydrochloride 500 mg tablet, Insulin Pen Needle 4mm Needle [sc], Lancets (Accu-Check) 1 box Lancets [n/a], metFORMIN hydrochloride 500 mg tablet, Insulin Pen Needle 4mm Needle [sc], Lancets (Accu-Check) 1 box Lancets [n/a], metFORMIN hydrochloride 500 mg tablet, Insulin Pen Needle 4mm Needle [sc], Lancets (Accu-Check) 1 box Lancets [n/a], colecalciferol 5000 international units Capsules [oral], insulin glargine 300 international units/mL injection, 1.5 mL prefilled pen, vitamin B complex (B1,B6,B12) 100,200,0.2 mg Film coated tablets [oral], colecalciferol 5000 international units Capsules [oral], insulin glargine 300 international units/mL injection, 1.5 mL prefilled pen, vitamin B complex (B1,B6,B12) 100,200,0.2 mg Film coated tablets [oral], colecalciferol 5000 international units Capsules [oral], insulin glargine 300 international units/mL injection, 1.5 mL prefilled pen, vitamin B complex (B1,B6,B12) 100,200,0.2 mg Film coated tablets [oral], Insulin Pen Needle 4mm Needle [sc], perindopril arginine 5 mg tablet, metFORMIN hydrochloride 500 mg tablet, insulin aspart 100 international units/mL injection, 3 mL prefilled pen, Glucometer Device (Accu-Chek) 1 device Device [n/a], empagliflozin 10 mg tablet, paracetamol 500 mg tablet, hydroCHLOROthiazide 25 mg tablet: scored, rosuvastatin 10 mg tablet, Strips (Accu-Check) 1 box Strip [n/a], omeprazole 20 mg tablet: enteric coated, ferrous sulfate 150 mg + folic acid 500 microgram capsule: modified release, Lancets (Accu-Check) 1 box Lancets [n/a], Insulin Pen Needle 4mm Needle [sc], perindopril arginine 5 mg tablet, metFORMIN hydrochloride 500 mg tablet, insulin aspart 100 international units/mL injection, 3 mL prefilled pen, Glucometer Device (Accu-Chek) 1 device Device [n/a], empagliflozin 10 mg tablet, paracetamol 500 mg tablet, hydroCHLOROthiazide 25 mg tablet: scored, rosuvastatin 10 mg tablet, Strips (Accu-Check) 1 box Strip [n/a], omeprazole 20 mg tablet: enteric coated, ferrous sulfate 150 mg + folic acid 500 microgram capsule: modified release, Lancets (Accu-Check) 1 box Lancets [n/a], Insulin Pen Needle 4mm Needle [sc], perindopril arginine 5 mg tablet, metFORMIN hydrochloride 500 mg tablet, insulin aspart 100 international units/mL injection, 3 mL prefilled pen, Glucometer Device (Accu-Chek) 1 device Device [n/a], empagliflozin 10 mg tablet, paracetamol 500 mg tablet, hydroCHLOROthiazide 25 mg tablet: scored, rosuvastatin 10 mg tablet, Strips (Accu-Check) 1 box Strip [n/a], omeprazole 20 mg tablet: enteric coated, ferrous sulfate 150 mg + folic acid 500 microgram capsule: modified release, Lancets (Accu-Check) 1 box Lancets [n/a]</t>
  </si>
  <si>
    <t>ناديه عليان علي سعيد</t>
  </si>
  <si>
    <t>metFORMIN hydrochloride, SITagliptin, omeprazole, atorvastatin, bisoprolol fumarate, vitamins (A, B, C, D</t>
  </si>
  <si>
    <t>metFORMIN hydrochloride 750 mg tablet: modified release, SITagliptin 100 mg tablet, metFORMIN hydrochloride 750 mg tablet: modified release, SITagliptin 100 mg tablet, omeprazole 20 mg tablet: enteric coated, omeprazole 20 mg tablet: enteric coated, atorvastatin 10 mg tablet, bisoprolol fumarate 5 mg tablet, atorvastatin 10 mg tablet, bisoprolol fumarate 5 mg tablet, vitamins (A, B1, B2, B3, C, D3) tablet, vitamins (A, B1, B2, B3, C, D3) tablet, metFORMIN hydrochloride 750 mg tablet: modified release, metFORMIN hydrochloride 750 mg tablet: modified release, SITagliptin 100 mg tablet, bisoprolol fumarate 5 mg tablet, SITagliptin 100 mg tablet, bisoprolol fumarate 5 mg tablet, atorvastatin 10 mg tablet, vitamins (A, B1, B2, B3, C, D3) tablet, atorvastatin 10 mg tablet, vitamins (A, B1, B2, B3, C, D3) tablet, omeprazole 20 mg tablet: enteric coated, omeprazole 20 mg tablet: enteric coated</t>
  </si>
  <si>
    <t>منور جرى جويرى المطيري</t>
  </si>
  <si>
    <t>amLODIPine 10 mg capsule, amLODIPine 10 mg capsule, amLODIPine 10 mg capsule, amLODIPine 10 mg capsule, amLODIPine 10 mg capsule, amLODIPine 10 mg capsule, amLODIPine 10 mg capsule, amLODIPine 10 mg capsule, amLODIPine 10 mg capsule, amLODIPine 10 mg capsule, amLODIPine 10 mg capsule, amLODIPine 10 mg capsule, amLODIPine 10 mg capsule, amLODIPine 10 mg capsule, amLODIPine 10 mg capsule, amLODIPine 10 mg capsule, amLODIPine 10 mg capsule, amLODIPine 10 mg capsule, amLODIPine 10 mg capsule, amLODIPine 10 mg capsule, amLODIPine 10 mg capsule, amLODIPine 10 mg capsule, amLODIPine 10 mg capsule, amLODIPine 10 mg capsule, amLODIPine 10 mg capsule</t>
  </si>
  <si>
    <t>مريم مطيران مطر المطيري</t>
  </si>
  <si>
    <t>Strips (Accu-Check), carbomer, levothyroxine sodium, naphazoline nitrate, Lancets (Accu-Check)</t>
  </si>
  <si>
    <t>Strips (Accu-Check) 1 box Strip [n/a], Strips (Accu-Check) 1 box Strip [n/a], Strips (Accu-Check) 1 box Strip [n/a], Strips (Accu-Check) 1 box Strip [n/a], Strips (Accu-Check) 1 box Strip [n/a], Strips (Accu-Check) 1 box Strip [n/a], carbomer 0.2% (2 mg/g) eye gel, levothyroxine sodium 25 microgram tablet, naphazoline nitrate 0.1% (1 mg/mL) eye drops, carbomer 0.2% (2 mg/g) eye gel, levothyroxine sodium 25 microgram tablet, naphazoline nitrate 0.1% (1 mg/mL) eye drops, carbomer 0.2% (2 mg/g) eye gel, levothyroxine sodium 25 microgram tablet, naphazoline nitrate 0.1% (1 mg/mL) eye drops, carbomer 0.2% (2 mg/g) eye gel, levothyroxine sodium 25 microgram tablet, naphazoline nitrate 0.1% (1 mg/mL) eye drops, carbomer 0.2% (2 mg/g) eye gel, levothyroxine sodium 25 microgram tablet, naphazoline nitrate 0.1% (1 mg/mL) eye drops, carbomer 0.2% (2 mg/g) eye gel, levothyroxine sodium 25 microgram tablet, naphazoline nitrate 0.1% (1 mg/mL) eye drops, Lancets (Accu-Check) 1 box Lancets [n/a], Lancets (Accu-Check) 1 box Lancets [n/a], Lancets (Accu-Check) 1 box Lancets [n/a], Lancets (Accu-Check) 1 box Lancets [n/a], Lancets (Accu-Check) 1 box Lancets [n/a], Lancets (Accu-Check) 1 box Lancets [n/a], levothyroxine sodium 50 microgram tablet, levothyroxine sodium 50 microgram tablet, levothyroxine sodium 50 microgram tablet, levothyroxine sodium 50 microgram tablet, levothyroxine sodium 50 microgram tablet, levothyroxine sodium 50 microgram tablet</t>
  </si>
  <si>
    <t>تسنيم محمد بن سالم باخديد</t>
  </si>
  <si>
    <t>رنده طلال بن احمد الغامدي</t>
  </si>
  <si>
    <t>metFORMIN hydrochloride, atorvastatin, calcium carbonate</t>
  </si>
  <si>
    <t>metFORMIN hydrochloride 500 mg tablet, atorvastatin 10 mg tablet, metFORMIN hydrochloride 500 mg tablet, atorvastatin 10 mg tablet, metFORMIN hydrochloride 500 mg tablet, atorvastatin 10 mg tablet, calcium carbonate 600 mg - colecalciferol 200 international units Film coated tablets [oral], calcium carbonate 600 mg - colecalciferol 200 international units Film coated tablets [oral], calcium carbonate 600 mg - colecalciferol 200 international units Film coated tablets [oral], atorvastatin 10 mg tablet, atorvastatin 10 mg tablet, atorvastatin 10 mg tablet, metFORMIN hydrochloride 500 mg tablet, metFORMIN hydrochloride 500 mg tablet, metFORMIN hydrochloride 500 mg tablet,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metFORMIN hydrochloride 500 mg tablet, calcium carbonate 600 mg - colecalciferol 200 international units Film coated tablets [oral], metFORMIN hydrochloride 500 mg tablet, calcium carbonate 600 mg - colecalciferol 200 international units Film coated tablets [oral], metFORMIN hydrochloride 500 mg tablet, atorvastatin 10 mg tablet, atorvastatin 10 mg tablet, atorvastatin 10 mg tablet</t>
  </si>
  <si>
    <t>عبدالله سعد عبدالله العكش</t>
  </si>
  <si>
    <t>metFORMIN hydrochloride, rosuvastatin, vitamin B complex (B, B</t>
  </si>
  <si>
    <t>metFORMIN hydrochloride 500 mg tablet, rosuvastatin 10 mg tablet, vitamin B complex (B1,B6,B12) 100,200,0.2 mg Film coated tablets [oral], metFORMIN hydrochloride 500 mg tablet, rosuvastatin 10 mg tablet, vitamin B complex (B1,B6,B12) 100,200,0.2 mg Film coated tablets [oral], metFORMIN hydrochloride 500 mg tablet, rosuvastatin 10 mg tablet, vitamin B complex (B1,B6,B12) 100,200,0.2 mg Film coated tablets [oral], metFORMIN hydrochloride 500 mg tablet, vitamin B complex (B1,B6,B12) 100,200,0.2 mg Film coated tablets [oral], rosuvastatin 10 mg tablet, metFORMIN hydrochloride 500 mg tablet, vitamin B complex (B1,B6,B12) 100,200,0.2 mg Film coated tablets [oral], rosuvastatin 10 mg tablet, metFORMIN hydrochloride 500 mg tablet, vitamin B complex (B1,B6,B12) 100,200,0.2 mg Film coated tablets [oral], rosuvastatin 10 mg tablet, metFORMIN hydrochloride 500 mg tablet, metFORMIN hydrochloride 500 mg tablet, metFORMIN hydrochloride 500 mg tablet, rosuvastatin 10 mg tablet, rosuvastatin 10 mg tablet, rosuvastatin 10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rosuvastatin 10 mg tablet, metFORMIN hydrochloride 500 mg tablet, rosuvastatin 10 mg tablet, metFORMIN hydrochloride 500 mg tablet, rosuvastatin 10 mg tablet, metFORMIN hydrochloride 500 mg tablet, vitamin B complex (B1,B6,B12) 100,200,0.2 mg Film coated tablets [oral], vitamin B complex (B1,B6,B12) 100,200,0.2 mg Film coated tablets [oral], vitamin B complex (B1,B6,B12) 100,200,0.2 mg Film coated tablets [oral], metFORMIN hydrochloride 500 mg tablet, metFORMIN hydrochloride 500 mg tablet, metFORMIN hydrochloride 500 mg tablet, rosuvastatin 10 mg tablet, rosuvastatin 10 mg tablet, rosuvastatin 10 mg tablet</t>
  </si>
  <si>
    <t>ريم محمد عبدالله باثابت</t>
  </si>
  <si>
    <t>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t>
  </si>
  <si>
    <t>يوسف محسن حسن السفياني</t>
  </si>
  <si>
    <t>ابراهيم عقيل ابراهيم الراضي</t>
  </si>
  <si>
    <t>varenicline 1 mg tablet, varenicline 1 mg tablet, varenicline 1 mg tablet, varenicline (11 x 500 microgram tablets, 14 x 1 mg tablets), 1 starter pack, varenicline (11 x 500 microgram tablets, 14 x 1 mg tablets), 1 starter pack, varenicline (11 x 500 microgram tablets, 14 x 1 mg tablets), 1 starter pack, varenicline 1 mg tablet, varenicline 1 mg tablet, varenicline 1 mg tablet, varenicline (11 x 500 microgram tablets, 14 x 1 mg tablets), 1 starter pack, varenicline (11 x 500 microgram tablets, 14 x 1 mg tablets), 1 starter pack, varenicline (11 x 500 microgram tablets, 14 x 1 mg tablets), 1 starter pack, varenicline (11 x 500 microgram tablets, 14 x 1 mg tablets), 1 starter pack, varenicline (11 x 500 microgram tablets, 14 x 1 mg tablets), 1 starter pack, varenicline (11 x 500 microgram tablets, 14 x 1 mg tablets), 1 starter pack, varenicline 1 mg tablet, varenicline 1 mg tablet, varenicline 1 mg tablet</t>
  </si>
  <si>
    <t>عائشه سامي محمد كيكي</t>
  </si>
  <si>
    <t>محمد حميد حمدان الحرشني</t>
  </si>
  <si>
    <t>vitamin B complex (B, B, metFORMIN hydrochloride</t>
  </si>
  <si>
    <t>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metFORMIN hydrochloride 500 mg tablet, metFORMIN hydrochloride 500 mg tablet, metFORMIN hydrochloride 500 mg tablet,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t>
  </si>
  <si>
    <t>زبيده عمر عثمان عبدالخالق</t>
  </si>
  <si>
    <t>calcium carbonate, metFORMIN hydrochloride, valsartan, amLODIPine, vitamin B complex (B, B</t>
  </si>
  <si>
    <t>calcium carbonate 600 mg - colecalciferol 200 international units Film coated tablets [oral], metFORMIN hydrochloride 500 mg tablet, calcium carbonate 600 mg - colecalciferol 200 international units Film coated tablets [oral], metFORMIN hydrochloride 500 mg tablet, calcium carbonate 600 mg - colecalciferol 200 international units Film coated tablets [oral], metFORMIN hydrochloride 500 mg tablet, valsartan 80 mg tablet, valsartan 80 mg tablet, valsartan 80 mg tablet, amLODIPine 5 mg tablet, amLODIPine 5 mg tablet, amLODIPine 5 mg tablet, vitamin B complex (B1,B6,B12) 100,200,0.2 mg Film coated tablets [oral], vitamin B complex (B1,B6,B12) 100,200,0.2 mg Film coated tablets [oral], vitamin B complex (B1,B6,B12) 100,200,0.2 mg Film coated tablets [oral], valsartan 80 mg tablet, amLODIPine 5 mg tablet, calcium carbonate 600 mg - colecalciferol 200 international units Film coated tablets [oral], metFORMIN hydrochloride 500 mg tablet, valsartan 80 mg tablet, amLODIPine 5 mg tablet, calcium carbonate 600 mg - colecalciferol 200 international units Film coated tablets [oral], metFORMIN hydrochloride 500 mg tablet, valsartan 80 mg tablet, amLODIPine 5 mg tablet, calcium carbonate 600 mg - colecalciferol 200 international units Film coated tablets [oral], metFORMIN hydrochloride 500 mg tablet, vitamin B complex (B1,B6,B12) 100,200,0.2 mg Film coated tablets [oral], vitamin B complex (B1,B6,B12) 100,200,0.2 mg Film coated tablets [oral], vitamin B complex (B1,B6,B12) 100,200,0.2 mg Film coated tablets [oral], calcium carbonate 600 mg - colecalciferol 200 international units Film coated tablets [oral], metFORMIN hydrochloride 500 mg tablet, calcium carbonate 600 mg - colecalciferol 200 international units Film coated tablets [oral], metFORMIN hydrochloride 500 mg tablet, calcium carbonate 600 mg - colecalciferol 200 international units Film coated tablets [oral], metFORMIN hydrochloride 500 mg tablet, valsartan 80 mg tablet, valsartan 80 mg tablet, valsartan 80 mg tablet, amLODIPine 5 mg tablet, amLODIPine 5 mg tablet, amLODIPine 5 mg tablet, vitamin B complex (B1,B6,B12) 100,200,0.2 mg Film coated tablets [oral], vitamin B complex (B1,B6,B12) 100,200,0.2 mg Film coated tablets [oral], vitamin B complex (B1,B6,B12) 100,200,0.2 mg Film coated tablets [oral]</t>
  </si>
  <si>
    <t>ليلى محمدصالح بن حسن عبدالخالق</t>
  </si>
  <si>
    <t>سنيه محمدصالح بن حسن عبدالخالق</t>
  </si>
  <si>
    <t>مشاعل عواض محمد العتيبي</t>
  </si>
  <si>
    <t>amLODIPine, levothyroxine sodium, vitamin B complex (B, B, valsartan, metFORMIN hydrochloride</t>
  </si>
  <si>
    <t>amLODIPine 5 mg tablet, amLODIPine 5 mg tablet, amLODIPine 5 mg tablet, levothyroxine sodium 100 microgram tablet, vitamin B complex (B1,B6,B12) 100,200,0.2 mg Film coated tablets [oral], valsartan 80 mg tablet, levothyroxine sodium 100 microgram tablet, vitamin B complex (B1,B6,B12) 100,200,0.2 mg Film coated tablets [oral], valsartan 80 mg tablet, levothyroxine sodium 100 microgram tablet, vitamin B complex (B1,B6,B12) 100,200,0.2 mg Film coated tablets [oral], valsartan 80 mg tablet, metFORMIN hydrochloride 500 mg tablet, metFORMIN hydrochloride 500 mg tablet, metFORMIN hydrochloride 500 mg tablet, levothyroxine sodium 100 microgram tablet, metFORMIN hydrochloride 500 mg tablet, levothyroxine sodium 100 microgram tablet, metFORMIN hydrochloride 500 mg tablet, levothyroxine sodium 100 microgram tablet, metFORMIN hydrochloride 500 mg tablet, amLODIPine 5 mg tablet, amLODIPine 5 mg tablet, amLODIPine 5 mg tablet, vitamin B complex (B1,B6,B12) 100,200,0.2 mg Film coated tablets [oral], levothyroxine sodium 100 microgram tablet, metFORMIN hydrochloride 500 mg tablet, valsartan 80 mg tablet, amLODIPine 5 mg tablet, vitamin B complex (B1,B6,B12) 100,200,0.2 mg Film coated tablets [oral], levothyroxine sodium 100 microgram tablet, metFORMIN hydrochloride 500 mg tablet, valsartan 80 mg tablet, amLODIPine 5 mg tablet, vitamin B complex (B1,B6,B12) 100,200,0.2 mg Film coated tablets [oral], levothyroxine sodium 100 microgram tablet, metFORMIN hydrochloride 500 mg tablet, valsartan 80 mg tablet, amLODIPine 5 mg tablet</t>
  </si>
  <si>
    <t>عفراء خالد مرزوق الرويس</t>
  </si>
  <si>
    <t>insulin aspart</t>
  </si>
  <si>
    <t>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t>
  </si>
  <si>
    <t>احمد فوزى احمد عبدالقادر</t>
  </si>
  <si>
    <t>احمد سعيد محمد الزهراني</t>
  </si>
  <si>
    <t>clotrimazole, omeprazole</t>
  </si>
  <si>
    <t>clotrimazole 1% (10 mg/g) cream, clotrimazole 1% (10 mg/g) cream, clotrimazole 1% (10 mg/g) cream, omeprazole 20 mg tablet: enteric coated, omeprazole 20 mg tablet: enteric coated, omeprazole 20 mg tablet: enteric coated, omeprazole 20 mg tablet: enteric coated, omeprazole 20 mg tablet: enteric coated, omeprazole 20 mg tablet: enteric coated, clotrimazole 1% (10 mg/g) cream, clotrimazole 1% (10 mg/g) cream, clotrimazole 1% (10 mg/g) cream, clotrimazole 1% (10 mg/g) cream, clotrimazole 1% (10 mg/g) cream, clotrimazole 1% (10 mg/g) cream, omeprazole 20 mg tablet: enteric coated, omeprazole 20 mg tablet: enteric coated, omeprazole 20 mg tablet: enteric coated</t>
  </si>
  <si>
    <t>شيخه متروك حنيبل العتيبي</t>
  </si>
  <si>
    <t>valsartan, bisoprolol fumarate, hydroCHLOROthiazide</t>
  </si>
  <si>
    <t>valsartan 80 mg tablet, valsartan 80 mg tablet, valsartan 80 mg tablet, bisoprolol fumarate 5 mg tablet, hydroCHLOROthiazide 25 mg tablet: scored, bisoprolol fumarate 5 mg tablet, hydroCHLOROthiazide 25 mg tablet: scored, bisoprolol fumarate 5 mg tablet, hydroCHLOROthiazide 25 mg tablet: scored, bisoprolol fumarate 5 mg tablet, bisoprolol fumarate 5 mg tablet, bisoprolol fumarate 5 mg tablet, valsartan 80 mg tablet, valsartan 80 mg tablet, valsartan 80 mg tablet, hydroCHLOROthiazide 25 mg tablet: scored, hydroCHLOROthiazide 25 mg tablet: scored, hydroCHLOROthiazide 25 mg tablet: scored</t>
  </si>
  <si>
    <t>محمد عبدالمجيد ناجي عسيري</t>
  </si>
  <si>
    <t>carbomer 0.2% (2 mg/g) eye gel, carbomer 0.2% (2 mg/g) eye gel, carbomer 0.2% (2 mg/g) eye gel, carbomer 0.2% (2 mg/g) eye gel, carbomer 0.2% (2 mg/g) eye gel, carbomer 0.2% (2 mg/g) eye gel, carbomer 0.2% (2 mg/g) eye gel, carbomer 0.2% (2 mg/g) eye gel, carbomer 0.2% (2 mg/g) eye gel, carbomer 0.2% (2 mg/g) eye gel, carbomer 0.2% (2 mg/g) eye gel, carbomer 0.2% (2 mg/g) eye gel</t>
  </si>
  <si>
    <t>علي عبدالله عبدان الشهري</t>
  </si>
  <si>
    <t>levothyroxine sodium 50 microgram tablet, levothyroxine sodium 50 microgram tablet, levothyroxine sodium 50 microgram tablet, levothyroxine sodium 50 microgram tablet, levothyroxine sodium 50 microgram tablet, levothyroxine sodium 50 microgram tablet, levothyroxine sodium 50 microgram tablet, levothyroxine sodium 50 microgram tablet, levothyroxine sodium 50 microgram tablet, levothyroxine sodium 50 microgram tablet</t>
  </si>
  <si>
    <t>نجاة بنت عبده بسطه</t>
  </si>
  <si>
    <t>perindopril arginine 5 mg tablet, perindopril arginine 5 mg tablet, perindopril arginine 5 mg tablet, perindopril arginine 5 mg tablet</t>
  </si>
  <si>
    <t>هنيه بخيت عبدالله عوده</t>
  </si>
  <si>
    <t>amLODIPine, salbutamol, bisoprolol fumarate, calcium (as carbonate), vitamin B complex (B, B</t>
  </si>
  <si>
    <t>amLODIPine 5 mg tablet, salbutamol 100 microgram/actuation inhaler, amLODIPine 5 mg tablet, salbutamol 100 microgram/actuation inhaler, amLODIPine 5 mg tablet, salbutamol 100 microgram/actuation inhaler, amLODIPine 5 mg tablet, salbutamol 100 microgram/actuation inhaler, bisoprolol fumarate 5 mg tablet, calcium (as carbonate) 600 mg tablet, bisoprolol fumarate 5 mg tablet, calcium (as carbonate) 600 mg tablet, bisoprolol fumarate 5 mg tablet, calcium (as carbonate) 600 mg tablet, bisoprolol fumarate 5 mg tablet, calcium (as carbonate) 600 mg tablet, vitamin B complex (B1,B6,B12) 100,200,0.2 mg Film coated tablets [oral], vitamin B complex (B1,B6,B12) 100,200,0.2 mg Film coated tablets [oral], vitamin B complex (B1,B6,B12) 100,200,0.2 mg Film coated tablets [oral], vitamin B complex (B1,B6,B12) 100,200,0.2 mg Film coated tablets [oral], bisoprolol fumarate 5 mg tablet, bisoprolol fumarate 5 mg tablet, bisoprolol fumarate 5 mg tablet, bisoprolol fumarate 5 mg tablet, amLODIPine 5 mg tablet, amLODIPine 5 mg tablet, amLODIPine 5 mg tablet, amLODIPine 5 mg tablet, vitamin B complex (B1,B6,B12) 100,200,0.2 mg Film coated tablets [oral], calcium (as carbonate) 600 mg tablet, salbutamol 100 microgram/actuation inhaler, vitamin B complex (B1,B6,B12) 100,200,0.2 mg Film coated tablets [oral], calcium (as carbonate) 600 mg tablet, salbutamol 100 microgram/actuation inhaler, vitamin B complex (B1,B6,B12) 100,200,0.2 mg Film coated tablets [oral], calcium (as carbonate) 600 mg tablet, salbutamol 100 microgram/actuation inhaler, vitamin B complex (B1,B6,B12) 100,200,0.2 mg Film coated tablets [oral], calcium (as carbonate) 600 mg tablet, salbutamol 100 microgram/actuation inhaler</t>
  </si>
  <si>
    <t>نوره بنت مسعود بن خليف الشمري</t>
  </si>
  <si>
    <t>atorvastatin, vitamin B complex (B, B, metFORMIN hydrochloride</t>
  </si>
  <si>
    <t>atorvastatin 20 mg tablet, atorvastatin 20 mg tablet, atorvastatin 20 mg tablet, atorvastatin 20 mg tablet, 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metFORMIN hydrochloride 500 mg tablet, metFORMIN hydrochloride 500 mg tablet, metFORMIN hydrochloride 500 mg tablet, vitamin B complex (B1,B6,B12) 100,200,0.2 mg Film coated tablets [oral], vitamin B complex (B1,B6,B12) 100,200,0.2 mg Film coated tablets [oral], vitamin B complex (B1,B6,B12) 100,200,0.2 mg Film coated tablets [oral], vitamin B complex (B1,B6,B12) 100,200,0.2 mg Film coated tablets [oral], atorvastatin 20 mg tablet, atorvastatin 20 mg tablet, atorvastatin 20 mg tablet, atorvastatin 20 mg tablet, metFORMIN hydrochloride 500 mg tablet, metFORMIN hydrochloride 500 mg tablet, metFORMIN hydrochloride 500 mg tablet, metFORMIN hydrochloride 500 mg tablet, atorvastatin 20 mg tablet, atorvastatin 20 mg tablet, atorvastatin 20 mg tablet, atorvastatin 20 mg tablet, metFORMIN hydrochloride 500 mg tablet, metFORMIN hydrochloride 500 mg tablet, metFORMIN hydrochloride 500 mg tablet, metFORMIN hydrochloride 500 mg tablet, vitamin B complex (B1,B6,B12) 100,200,0.2 mg Film coated tablets [oral], vitamin B complex (B1,B6,B12) 100,200,0.2 mg Film coated tablets [oral], vitamin B complex (B1,B6,B12) 100,200,0.2 mg Film coated tablets [oral], vitamin B complex (B1,B6,B12) 100,200,0.2 mg Film coated tablets [oral]</t>
  </si>
  <si>
    <t>زبيده مستور صويبر الحربي</t>
  </si>
  <si>
    <t>omeprazole, paracetamol</t>
  </si>
  <si>
    <t>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omeprazole 20 mg tablet: enteric coated, paracetamol 500 mg tablet, paracetamol 500 mg tablet, paracetamol 500 mg tablet, paracetamol 500 mg tablet, paracetamol 500 mg tablet, paracetamol 500 mg tablet, paracetamol 500 mg tablet, omeprazole 20 mg tablet: enteric coated, omeprazole 20 mg tablet: enteric coated, omeprazole 20 mg tablet: enteric coated, omeprazole 20 mg tablet: enteric coated, omeprazole 20 mg tablet: enteric coated, omeprazole 20 mg tablet: enteric coated, omeprazole 20 mg tablet: enteric coated,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 paracetamol 500 mg tablet</t>
  </si>
  <si>
    <t>سالم سعيد عبدالله الغامدي</t>
  </si>
  <si>
    <t>atorvastatin, acetylsalicylic acid, omeprazole, valsartan, clopidogrel</t>
  </si>
  <si>
    <t>atorvastatin 20 mg tablet, acetylsalicylic acid 100 mg tablet: enteric coated, atorvastatin 20 mg tablet, acetylsalicylic acid 100 mg tablet: enteric coated, atorvastatin 20 mg tablet, acetylsalicylic acid 100 mg tablet: enteric coated, atorvastatin 20 mg tablet, acetylsalicylic acid 100 mg tablet: enteric coated, omeprazole 20 mg tablet: enteric coated, valsartan 80 mg tablet, omeprazole 20 mg tablet: enteric coated, valsartan 80 mg tablet, omeprazole 20 mg tablet: enteric coated, valsartan 80 mg tablet, omeprazole 20 mg tablet: enteric coated, valsartan 80 mg tablet, clopidogrel 75 mg tablet, clopidogrel 75 mg tablet, clopidogrel 75 mg tablet, clopidogrel 75 mg tablet, atorvastatin 20 mg tablet, omeprazole 20 mg tablet: enteric coated, atorvastatin 20 mg tablet, omeprazole 20 mg tablet: enteric coated, atorvastatin 20 mg tablet, omeprazole 20 mg tablet: enteric coated, atorvastatin 20 mg tablet, omeprazole 20 mg tablet: enteric coated, valsartan 80 mg tablet, clopidogrel 75 mg tablet, acetylsalicylic acid 100 mg tablet: enteric coated, valsartan 80 mg tablet, clopidogrel 75 mg tablet, acetylsalicylic acid 100 mg tablet: enteric coated, valsartan 80 mg tablet, clopidogrel 75 mg tablet, acetylsalicylic acid 100 mg tablet: enteric coated, valsartan 80 mg tablet, clopidogrel 75 mg tablet, acetylsalicylic acid 100 mg tablet: enteric coated</t>
  </si>
  <si>
    <t>محمد بن ياسين بن حمزه طويلي</t>
  </si>
  <si>
    <t>Insulin Pen Needle, valsartan, atorvastatin, vitamin B complex (B, B, acetylsalicylic acid, Strips (Accu-Check), Lancets (Accu-Check), amLODIPine, Glucometer Device (Accu-Chek)</t>
  </si>
  <si>
    <t>Insulin Pen Needle 4mm Needle [sc], Insulin Pen Needle 4mm Needle [sc], Insulin Pen Needle 4mm Needle [sc], Insulin Pen Needle 4mm Needle [sc], valsartan 80 mg tablet, valsartan 80 mg tablet, valsartan 80 mg tablet, valsartan 80 mg tablet,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acetylsalicylic acid 100 mg tablet: enteric coated, acetylsalicylic acid 100 mg tablet: enteric coated, acetylsalicylic acid 100 mg tablet: enteric coated, acetylsalicylic acid 100 mg tablet: enteric coated, Strips (Accu-Check) 1 box Strip [n/a], Lancets (Accu-Check) 1 box Lancets [n/a], amLODIPine 5 mg tablet, Strips (Accu-Check) 1 box Strip [n/a], Lancets (Accu-Check) 1 box Lancets [n/a], amLODIPine 5 mg tablet, Strips (Accu-Check) 1 box Strip [n/a], Lancets (Accu-Check) 1 box Lancets [n/a], amLODIPine 5 mg tablet, Strips (Accu-Check) 1 box Strip [n/a], Lancets (Accu-Check) 1 box Lancets [n/a], amLODIPine 5 mg tablet,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Glucometer Device (Accu-Chek) 1 device Device [n/a], Lancets (Accu-Check) 1 box Lancets [n/a], vitamin B complex (B1,B6,B12) 100,200,0.2 mg Film coated tablets [oral], atorvastatin 20 mg tablet, Lancets (Accu-Check) 1 box Lancets [n/a], vitamin B complex (B1,B6,B12) 100,200,0.2 mg Film coated tablets [oral], atorvastatin 20 mg tablet, Lancets (Accu-Check) 1 box Lancets [n/a], vitamin B complex (B1,B6,B12) 100,200,0.2 mg Film coated tablets [oral], atorvastatin 20 mg tablet, Lancets (Accu-Check) 1 box Lancets [n/a], vitamin B complex (B1,B6,B12) 100,200,0.2 mg Film coated tablets [oral], atorvastatin 20 mg tablet, Strips (Accu-Check) 1 box Strip [n/a], Strips (Accu-Check) 1 box Strip [n/a], Strips (Accu-Check) 1 box Strip [n/a], Strips (Accu-Check) 1 box Strip [n/a], Insulin Pen Needle 4mm Needle [sc], valsartan 80 mg tablet, acetylsalicylic acid 100 mg tablet: enteric coated, Insulin Pen Needle 4mm Needle [sc], valsartan 80 mg tablet, acetylsalicylic acid 100 mg tablet: enteric coated, Insulin Pen Needle 4mm Needle [sc], valsartan 80 mg tablet, acetylsalicylic acid 100 mg tablet: enteric coated, Insulin Pen Needle 4mm Needle [sc], valsartan 80 mg tablet, acetylsalicylic acid 100 mg tablet: enteric coated, amLODIPine 5 mg tablet, amLODIPine 5 mg tablet, amLODIPine 5 mg tablet, amLODIPine 5 mg tablet</t>
  </si>
  <si>
    <t>طارق مهدي عبدالله الزهراني</t>
  </si>
  <si>
    <t>مصلح بن صالح بن حمدان الأحمدي</t>
  </si>
  <si>
    <t>valsartan, diclofenac sodium, gliclazide, paraffin soft white ointment, tube</t>
  </si>
  <si>
    <t>valsartan 80 mg tablet, diclofenac sodium 1% (10 mg/g) gel, valsartan 80 mg tablet, diclofenac sodium 1% (10 mg/g) gel, valsartan 80 mg tablet, diclofenac sodium 1% (10 mg/g) gel, valsartan 80 mg tablet, diclofenac sodium 1% (10 mg/g) gel, valsartan 80 mg tablet, diclofenac sodium 1% (10 mg/g) gel, valsartan 80 mg tablet, diclofenac sodium 1% (10 mg/g) gel, gliclazide 30 mg tablet: modified release, paraffin soft white ointment, tube, gliclazide 30 mg tablet: modified release, paraffin soft white ointment, tube, gliclazide 30 mg tablet: modified release, paraffin soft white ointment, tube, gliclazide 30 mg tablet: modified release, paraffin soft white ointment, tube, gliclazide 30 mg tablet: modified release, paraffin soft white ointment, tube, gliclazide 30 mg tablet: modified release, paraffin soft white ointment, tube, paraffin soft white ointment, tube, paraffin soft white ointment, tube, paraffin soft white ointment, tube, paraffin soft white ointment, tube, paraffin soft white ointment, tube, paraffin soft white ointment, tube, diclofenac sodium 1% (10 mg/g) gel, diclofenac sodium 1% (10 mg/g) gel, diclofenac sodium 1% (10 mg/g) gel, diclofenac sodium 1% (10 mg/g) gel, diclofenac sodium 1% (10 mg/g) gel, diclofenac sodium 1% (10 mg/g) gel, gliclazide 30 mg tablet: modified release, valsartan 80 mg tablet, gliclazide 30 mg tablet: modified release, valsartan 80 mg tablet, gliclazide 30 mg tablet: modified release, valsartan 80 mg tablet, gliclazide 30 mg tablet: modified release, valsartan 80 mg tablet, gliclazide 30 mg tablet: modified release, valsartan 80 mg tablet, gliclazide 30 mg tablet: modified release, valsartan 80 mg tablet, gliclazide 30 mg tablet: modified release, gliclazide 30 mg tablet: modified release, gliclazide 30 mg tablet: modified release, gliclazide 30 mg tablet: modified release, gliclazide 30 mg tablet: modified release, gliclazide 30 mg tablet: modified release, diclofenac sodium 1% (10 mg/g) gel, diclofenac sodium 1% (10 mg/g) gel, diclofenac sodium 1% (10 mg/g) gel, diclofenac sodium 1% (10 mg/g) gel, diclofenac sodium 1% (10 mg/g) gel, diclofenac sodium 1% (10 mg/g) gel, valsartan 80 mg tablet, paraffin soft white ointment, tube, valsartan 80 mg tablet, paraffin soft white ointment, tube, valsartan 80 mg tablet, paraffin soft white ointment, tube, valsartan 80 mg tablet, paraffin soft white ointment, tube, valsartan 80 mg tablet, paraffin soft white ointment, tube, valsartan 80 mg tablet, paraffin soft white ointment, tube</t>
  </si>
  <si>
    <t>مخيضيره بنت صالح بن عبيدالله الجدعاني</t>
  </si>
  <si>
    <t>atorvastatin 10 mg tablet, atorvastatin 10 mg tablet, atorvastatin 10 mg tablet, atorvastatin 10 mg tablet, colecalciferol 50 000 international units tablet, colecalciferol 50 000 international units tablet, colecalciferol 50 000 international units tablet, colecalciferol 50 000 international units tablet, colecalciferol 50 000 international units tablet, atorvastatin 10 mg tablet, colecalciferol 50 000 international units tablet, atorvastatin 10 mg tablet, colecalciferol 50 000 international units tablet, atorvastatin 10 mg tablet, colecalciferol 50 000 international units tablet, atorvastatin 10 mg tablet, atorvastatin 10 mg tablet, atorvastatin 10 mg tablet, atorvastatin 10 mg tablet, atorvastatin 10 mg tablet, atorvastatin 10 mg tablet, atorvastatin 10 mg tablet, atorvastatin 10 mg tablet, atorvastatin 10 mg tablet</t>
  </si>
  <si>
    <t>ريم علي حسن العروي</t>
  </si>
  <si>
    <t>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t>
  </si>
  <si>
    <t>محمد حسين محمد علوي</t>
  </si>
  <si>
    <t>paracetamol, dextromethorphan hydrobromide, amoxicillin</t>
  </si>
  <si>
    <t>paracetamol 500 mg tablet, paracetamol 500 mg tablet, paracetamol 500 mg tablet, paracetamol 500 mg tablet, paracetamol 500 mg tablet, paracetamol 500 mg tablet, dextromethorphan hydrobromide 15 mg/5 mL oral liquid, amoxicillin 500 mg capsule, dextromethorphan hydrobromide 15 mg/5 mL oral liquid, amoxicillin 500 mg capsule, dextromethorphan hydrobromide 15 mg/5 mL oral liquid, amoxicillin 500 mg capsule, dextromethorphan hydrobromide 15 mg/5 mL oral liquid, amoxicillin 500 mg capsule, dextromethorphan hydrobromide 15 mg/5 mL oral liquid, amoxicillin 500 mg capsule, dextromethorphan hydrobromide 15 mg/5 mL oral liquid, amoxicillin 500 mg capsule, paracetamol 500 mg tablet, paracetamol 500 mg tablet, paracetamol 500 mg tablet, paracetamol 500 mg tablet, paracetamol 500 mg tablet, paracetamol 500 mg tablet, amoxicillin 500 mg capsule, dextromethorphan hydrobromide 15 mg/5 mL oral liquid, amoxicillin 500 mg capsule, dextromethorphan hydrobromide 15 mg/5 mL oral liquid, amoxicillin 500 mg capsule, dextromethorphan hydrobromide 15 mg/5 mL oral liquid, amoxicillin 500 mg capsule, dextromethorphan hydrobromide 15 mg/5 mL oral liquid, amoxicillin 500 mg capsule, dextromethorphan hydrobromide 15 mg/5 mL oral liquid, amoxicillin 500 mg capsule, dextromethorphan hydrobromide 15 mg/5 mL oral liquid</t>
  </si>
  <si>
    <t>نوره حامد بن حميد القريقري</t>
  </si>
  <si>
    <t>levothyroxine sodium 100 microgram tablet, levothyroxine sodium 100 microgram tablet, levothyroxine sodium 100 microgram tablet, levothyroxine sodium 100 microgram tablet, levothyroxine sodium 100 microgram tablet, levothyroxine sodium 100 microgram tablet, levothyroxine sodium 100 microgram tablet, levothyroxine sodium 100 microgram tablet, levothyroxine sodium 100 microgram tablet, levothyroxine sodium 100 microgram tablet, levothyroxine sodium 100 microgram tablet, levothyroxine sodium 100 microgram tablet, levothyroxine sodium 100 microgram tablet, levothyroxine sodium 100 microgram tablet, levothyroxine sodium 100 microgram tablet</t>
  </si>
  <si>
    <t>فاطمه عبدالرحمن ابن حمود الجدعاني</t>
  </si>
  <si>
    <t>insulin aspart, insulin glargine, Strips (Accu-Check), paraffin soft white ointment, tube, Insulin Pen Needle</t>
  </si>
  <si>
    <t>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Strips (Accu-Check) 1 box Strip [n/a], Strips (Accu-Check) 1 box Strip [n/a], Strips (Accu-Check) 1 box Strip [n/a], paraffin soft white ointment, tube, Insulin Pen Needle 4mm Needle [sc], paraffin soft white ointment, tube, Insulin Pen Needle 4mm Needle [sc], paraffin soft white ointment, tube, Insulin Pen Needle 4mm Needle [sc], Strips (Accu-Check) 1 box Strip [n/a], insulin aspart 100 international units/mL injection, 3 mL prefilled pen, Strips (Accu-Check) 1 box Strip [n/a], insulin aspart 100 international units/mL injection, 3 mL prefilled pen, Strips (Accu-Check) 1 box Strip [n/a], insulin aspart 100 international units/mL injection, 3 mL prefilled pen, Insulin Pen Needle 4mm Needle [sc],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paraffin soft white ointment, tube, paraffin soft white ointment, tube, paraffin soft white ointment, tube</t>
  </si>
  <si>
    <t>فايزه علي عبدالله النجار</t>
  </si>
  <si>
    <t>diclofenac sodium, paracetamol, acetylsalicylic acid, cetirizine hydrochloride, atorvastatin, amLODIPine, Insulin Pen Needle, omeprazole, insulin aspart</t>
  </si>
  <si>
    <t>diclofenac sodium 1% (10 mg/g) gel, diclofenac sodium 1% (10 mg/g) gel, diclofenac sodium 1% (10 mg/g) gel, paracetamol 500 mg tablet, acetylsalicylic acid 100 mg tablet: enteric coated, paracetamol 500 mg tablet, acetylsalicylic acid 100 mg tablet: enteric coated, paracetamol 500 mg tablet, acetylsalicylic acid 100 mg tablet: enteric coated, cetirizine hydrochloride 10 mg tablet, atorvastatin 20 mg tablet, amLODIPine 5 mg tablet, Insulin Pen Needle 4mm Needle [sc], cetirizine hydrochloride 10 mg tablet, atorvastatin 20 mg tablet, amLODIPine 5 mg tablet, Insulin Pen Needle 4mm Needle [sc], cetirizine hydrochloride 10 mg tablet, atorvastatin 20 mg tablet, amLODIPine 5 mg tablet, Insulin Pen Needle 4mm Needle [sc], omeprazole 20 mg tablet: enteric coated, omeprazole 20 mg tablet: enteric coated, omeprazole 20 mg tablet: enteric coated, acetylsalicylic acid 100 mg tablet: enteric coated, acetylsalicylic acid 100 mg tablet: enteric coated, acetylsalicylic acid 100 mg tablet: enteric coated, diclofenac sodium 1% (10 mg/g) gel, omeprazole 20 mg tablet: enteric coated, paracetamol 500 mg tablet, diclofenac sodium 1% (10 mg/g) gel, omeprazole 20 mg tablet: enteric coated, paracetamol 500 mg tablet, diclofenac sodium 1% (10 mg/g) gel, omeprazole 20 mg tablet: enteric coated, paracetamol 500 mg tablet, insulin aspart 100 international units/mL injection, 3 mL prefilled pen, atorvastatin 20 mg tablet, insulin aspart 100 international units/mL injection, 3 mL prefilled pen, atorvastatin 20 mg tablet, insulin aspart 100 international units/mL injection, 3 mL prefilled pen, atorvastatin 20 mg tablet, amLODIPine 5 mg tablet, cetirizine hydrochloride 10 mg tablet, Insulin Pen Needle 4mm Needle [sc], amLODIPine 5 mg tablet, cetirizine hydrochloride 10 mg tablet, Insulin Pen Needle 4mm Needle [sc], amLODIPine 5 mg tablet, cetirizine hydrochloride 10 mg tablet, Insulin Pen Needle 4mm Needle [sc], acetylsalicylic acid 100 mg tablet: enteric coated, atorvastatin 20 mg tablet, Insulin Pen Needle 4mm Needle [sc], omeprazole 20 mg tablet: enteric coated, cetirizine hydrochloride 10 mg tablet, acetylsalicylic acid 100 mg tablet: enteric coated, atorvastatin 20 mg tablet, Insulin Pen Needle 4mm Needle [sc], omeprazole 20 mg tablet: enteric coated, cetirizine hydrochloride 10 mg tablet, acetylsalicylic acid 100 mg tablet: enteric coated, atorvastatin 20 mg tablet, Insulin Pen Needle 4mm Needle [sc], omeprazole 20 mg tablet: enteric coated, cetirizine hydrochloride 10 mg tablet, diclofenac sodium 1% (10 mg/g) gel, amLODIPine 5 mg tablet, diclofenac sodium 1% (10 mg/g) gel, amLODIPine 5 mg tablet, diclofenac sodium 1% (10 mg/g) gel, amLODIPine 5 mg tablet, insulin aspart 100 international units/mL injection, 3 mL prefilled pen, insulin aspart 100 international units/mL injection, 3 mL prefilled pen, insulin aspart 100 international units/mL injection, 3 mL prefilled pen, paracetamol 500 mg tablet, paracetamol 500 mg tablet, paracetamol 500 mg tablet</t>
  </si>
  <si>
    <t>سعد بن سعيد بن شاهر القحطاني</t>
  </si>
  <si>
    <t>atorvastatin, glimepiride, empagliflozin</t>
  </si>
  <si>
    <t>atorvastatin 20 mg tablet, atorvastatin 20 mg tablet, atorvastatin 20 mg tablet, atorvastatin 20 mg tablet, glimepiride 2 mg tablet, empagliflozin 25 mg tablet, glimepiride 2 mg tablet, empagliflozin 25 mg tablet, glimepiride 2 mg tablet, empagliflozin 25 mg tablet, glimepiride 2 mg tablet, empagliflozin 25 mg tablet, empagliflozin 25 mg tablet, glimepiride 2 mg tablet, empagliflozin 25 mg tablet, glimepiride 2 mg tablet, empagliflozin 25 mg tablet, glimepiride 2 mg tablet, empagliflozin 25 mg tablet, glimepiride 2 mg tablet, empagliflozin 25 mg tablet, empagliflozin 25 mg tablet, empagliflozin 25 mg tablet, empagliflozin 25 mg tablet, atorvastatin 20 mg tablet, atorvastatin 20 mg tablet, atorvastatin 20 mg tablet, atorvastatin 20 mg tablet, glimepiride 2 mg tablet, glimepiride 2 mg tablet, glimepiride 2 mg tablet, glimepiride 2 mg tablet, atorvastatin 20 mg tablet, atorvastatin 20 mg tablet, atorvastatin 20 mg tablet, atorvastatin 20 mg tablet, empagliflozin 25 mg tablet, empagliflozin 25 mg tablet, empagliflozin 25 mg tablet, empagliflozin 25 mg tablet</t>
  </si>
  <si>
    <t>عبدالله علي صالح القرني</t>
  </si>
  <si>
    <t>amLODIPine, valsartan, atorvastatin, mebeverine hydrochloride</t>
  </si>
  <si>
    <t>amLODIPine 5 mg tablet, amLODIPine 5 mg tablet, amLODIPine 5 mg tablet, amLODIPine 5 mg tablet, amLODIPine 5 mg tablet, valsartan 80 mg tablet, valsartan 80 mg tablet, valsartan 80 mg tablet, valsartan 80 mg tablet, valsartan 80 mg tablet, atorvastatin 10 mg tablet, atorvastatin 10 mg tablet, atorvastatin 10 mg tablet, atorvastatin 10 mg tablet, atorvastatin 10 mg tablet,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atorvastatin 10 mg tablet, valsartan 80 mg tablet, atorvastatin 10 mg tablet, valsartan 80 mg tablet, atorvastatin 10 mg tablet, valsartan 80 mg tablet, atorvastatin 10 mg tablet, valsartan 80 mg tablet, atorvastatin 10 mg tablet, valsartan 80 mg tablet, amLODIPine 5 mg tablet, amLODIPine 5 mg tablet, amLODIPine 5 mg tablet, amLODIPine 5 mg tablet, amLODIPine 5 mg tablet,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valsartan 80 mg tablet, valsartan 80 mg tablet, valsartan 80 mg tablet, valsartan 80 mg tablet, valsartan 80 mg tablet, mebeverine hydrochloride 200 mg capsule: modified release, amLODIPine 5 mg tablet, mebeverine hydrochloride 200 mg capsule: modified release, amLODIPine 5 mg tablet, mebeverine hydrochloride 200 mg capsule: modified release, amLODIPine 5 mg tablet, mebeverine hydrochloride 200 mg capsule: modified release, amLODIPine 5 mg tablet, mebeverine hydrochloride 200 mg capsule: modified release, amLODIPine 5 mg tablet, atorvastatin 10 mg tablet, atorvastatin 10 mg tablet, atorvastatin 10 mg tablet, atorvastatin 10 mg tablet, atorvastatin 10 mg tablet, amLODIPine 5 mg tablet, amLODIPine 5 mg tablet, amLODIPine 5 mg tablet, amLODIPine 5 mg tablet, amLODIPine 5 mg tablet, mebeverine hydrochloride 200 mg capsule: modified release, valsartan 80 mg tablet, mebeverine hydrochloride 200 mg capsule: modified release, valsartan 80 mg tablet, mebeverine hydrochloride 200 mg capsule: modified release, valsartan 80 mg tablet, mebeverine hydrochloride 200 mg capsule: modified release, valsartan 80 mg tablet, mebeverine hydrochloride 200 mg capsule: modified release, valsartan 80 mg tablet, atorvastatin 10 mg tablet, atorvastatin 10 mg tablet, atorvastatin 10 mg tablet, atorvastatin 10 mg tablet, atorvastatin 10 mg tablet, atorvastatin 10 mg tablet, atorvastatin 10 mg tablet, atorvastatin 10 mg tablet, atorvastatin 10 mg tablet, atorvastatin 10 mg tablet, amLODIPine 5 mg tablet, valsartan 80 mg tablet, mebeverine hydrochloride 200 mg capsule: modified release, amLODIPine 5 mg tablet, valsartan 80 mg tablet, mebeverine hydrochloride 200 mg capsule: modified release, amLODIPine 5 mg tablet, valsartan 80 mg tablet, mebeverine hydrochloride 200 mg capsule: modified release, amLODIPine 5 mg tablet, valsartan 80 mg tablet, mebeverine hydrochloride 200 mg capsule: modified release, amLODIPine 5 mg tablet, valsartan 80 mg tablet, mebeverine hydrochloride 200 mg capsule: modified release</t>
  </si>
  <si>
    <t>أمنة يحي حسن مباركي</t>
  </si>
  <si>
    <t>افنان صبري عمر عويضه</t>
  </si>
  <si>
    <t>فتحيه بنت ابراهيم مليباري</t>
  </si>
  <si>
    <t>Strips (Accu-Check) 1 box Strip [n/a], Glucometer Device (Accu-Chek) 1 device Device [n/a], Lancets (Accu-Check) 1 box Lancets [n/a], Strips (Accu-Check) 1 box Strip [n/a], Glucometer Device (Accu-Chek) 1 device Device [n/a], Lancets (Accu-Check) 1 box Lancets [n/a], Strips (Accu-Check) 1 box Strip [n/a], Glucometer Device (Accu-Chek) 1 device Device [n/a], Lancets (Accu-Check) 1 box Lancets [n/a], Strips (Accu-Check) 1 box Strip [n/a], Glucometer Device (Accu-Chek) 1 device Device [n/a], Lancets (Accu-Check) 1 box Lancets [n/a], Strips (Accu-Check) 1 box Strip [n/a], Glucometer Device (Accu-Chek) 1 device Device [n/a], Lancets (Accu-Check) 1 box Lancets [n/a], Lancets (Accu-Check) 1 box Lancets [n/a], Glucometer Device (Accu-Chek) 1 device Device [n/a], Strips (Accu-Check) 1 box Strip [n/a], Lancets (Accu-Check) 1 box Lancets [n/a], Glucometer Device (Accu-Chek) 1 device Device [n/a], Strips (Accu-Check) 1 box Strip [n/a], Lancets (Accu-Check) 1 box Lancets [n/a], Glucometer Device (Accu-Chek) 1 device Device [n/a], Strips (Accu-Check) 1 box Strip [n/a], Lancets (Accu-Check) 1 box Lancets [n/a], Glucometer Device (Accu-Chek) 1 device Device [n/a], Strips (Accu-Check) 1 box Strip [n/a], Lancets (Accu-Check) 1 box Lancets [n/a], Glucometer Device (Accu-Chek) 1 device Device [n/a], Strips (Accu-Check) 1 box Strip [n/a]</t>
  </si>
  <si>
    <t>محمد بن عبدالله بن علي الحربي</t>
  </si>
  <si>
    <t>clopidogrel</t>
  </si>
  <si>
    <t>clopidogrel 75 mg tablet, clopidogrel 75 mg tablet, clopidogrel 75 mg tablet, clopidogrel 75 mg tablet, clopidogrel 75 mg tablet, clopidogrel 75 mg tablet, clopidogrel 75 mg tablet, clopidogrel 75 mg tablet, clopidogrel 75 mg tablet, clopidogrel 75 mg tablet, clopidogrel 75 mg tablet, clopidogrel 75 mg tablet, clopidogrel 75 mg tablet, clopidogrel 75 mg tablet, clopidogrel 75 mg tablet, clopidogrel 75 mg tablet, clopidogrel 75 mg tablet, clopidogrel 75 mg tablet, clopidogrel 75 mg tablet, clopidogrel 75 mg tablet, clopidogrel 75 mg tablet, clopidogrel 75 mg tablet, clopidogrel 75 mg tablet, clopidogrel 75 mg tablet, clopidogrel 75 mg tablet, clopidogrel 75 mg tablet, clopidogrel 75 mg tablet, clopidogrel 75 mg tablet, clopidogrel 75 mg tablet, clopidogrel 75 mg tablet</t>
  </si>
  <si>
    <t>معيضه صغير محمد العماري</t>
  </si>
  <si>
    <t>diclofenac sodium 1% (10 mg/g) gel, diclofenac sodium 1% (10 mg/g) gel, diclofenac sodium 1% (10 mg/g) gel, diclofenac sodium 1% (10 mg/g) gel, celecoxib 200 mg capsule, diclofenac sodium 1% (10 mg/g) gel, celecoxib 200 mg capsule, diclofenac sodium 1% (10 mg/g) gel, celecoxib 200 mg capsule, diclofenac sodium 1% (10 mg/g) gel, celecoxib 200 mg capsule, diclofenac sodium 1% (10 mg/g) gel, celecoxib 200 mg capsule, diclofenac sodium 1% (10 mg/g) gel, celecoxib 200 mg capsule, celecoxib 200 mg capsule, celecoxib 200 mg capsule, celecoxib 200 mg capsule</t>
  </si>
  <si>
    <t>عيده صالح محمد الغامدي</t>
  </si>
  <si>
    <t>levothyroxine sodium, valsartan, diclofenac sodium</t>
  </si>
  <si>
    <t>levothyroxine sodium 25 microgram tablet, levothyroxine sodium 25 microgram tablet, levothyroxine sodium 25 microgram tablet, levothyroxine sodium 25 microgram tablet, valsartan 80 mg tablet, diclofenac sodium 1% (10 mg/g) gel, valsartan 80 mg tablet, diclofenac sodium 1% (10 mg/g) gel, valsartan 80 mg tablet, diclofenac sodium 1% (10 mg/g) gel, valsartan 80 mg tablet, diclofenac sodium 1% (10 mg/g) gel, levothyroxine sodium 50 microgram tablet, levothyroxine sodium 50 microgram tablet, levothyroxine sodium 50 microgram tablet, levothyroxine sodium 50 microgram tablet, diclofenac sodium 1% (10 mg/g) gel, diclofenac sodium 1% (10 mg/g) gel, diclofenac sodium 1% (10 mg/g) gel, diclofenac sodium 1% (10 mg/g) gel, valsartan 80 mg tablet, valsartan 80 mg tablet, valsartan 80 mg tablet, valsartan 80 mg tablet, levothyroxine sodium 50 microgram tablet, levothyroxine sodium 50 microgram tablet, levothyroxine sodium 50 microgram tablet, levothyroxine sodium 50 microgram tablet, levothyroxine sodium 25 microgram tablet, levothyroxine sodium 25 microgram tablet, levothyroxine sodium 25 microgram tablet, levothyroxine sodium 25 microgram tablet, levothyroxine sodium 50 microgram tablet, levothyroxine sodium 50 microgram tablet, levothyroxine sodium 50 microgram tablet, levothyroxine sodium 50 microgram tablet, levothyroxine sodium 25 microgram tablet, levothyroxine sodium 25 microgram tablet, levothyroxine sodium 25 microgram tablet, levothyroxine sodium 25 microgram tablet, valsartan 80 mg tablet, valsartan 80 mg tablet, valsartan 80 mg tablet, valsartan 80 mg tablet, diclofenac sodium 1% (10 mg/g) gel, diclofenac sodium 1% (10 mg/g) gel, diclofenac sodium 1% (10 mg/g) gel, diclofenac sodium 1% (10 mg/g) gel</t>
  </si>
  <si>
    <t>سعيد بن علي بن عطيه الزهراني</t>
  </si>
  <si>
    <t>paracetamol, fusidic acid, amoxicillin</t>
  </si>
  <si>
    <t>paracetamol 500 mg tablet, fusidic acid 2% (20 mg/g) ointment, amoxicillin 500 mg + clavulanic acid 125 mg tablet, paracetamol 500 mg tablet, fusidic acid 2% (20 mg/g) ointment, amoxicillin 500 mg + clavulanic acid 125 mg tablet, paracetamol 500 mg tablet, fusidic acid 2% (20 mg/g) ointment, amoxicillin 500 mg + clavulanic acid 125 mg tablet, amoxicillin 500 mg + clavulanic acid 125 mg tablet, paracetamol 500 mg tablet, fusidic acid 2% (20 mg/g) ointment, amoxicillin 500 mg + clavulanic acid 125 mg tablet, paracetamol 500 mg tablet, fusidic acid 2% (20 mg/g) ointment, amoxicillin 500 mg + clavulanic acid 125 mg tablet, paracetamol 500 mg tablet, fusidic acid 2% (20 mg/g) ointment, paracetamol 500 mg tablet, fusidic acid 2% (20 mg/g) ointment, amoxicillin 500 mg + clavulanic acid 125 mg tablet, paracetamol 500 mg tablet, fusidic acid 2% (20 mg/g) ointment, amoxicillin 500 mg + clavulanic acid 125 mg tablet, paracetamol 500 mg tablet, fusidic acid 2% (20 mg/g) ointment, amoxicillin 500 mg + clavulanic acid 125 mg tablet, paracetamol 500 mg tablet, fusidic acid 2% (20 mg/g) ointment, paracetamol 500 mg tablet, fusidic acid 2% (20 mg/g) ointment, paracetamol 500 mg tablet, fusidic acid 2% (20 mg/g) ointment, amoxicillin 500 mg + clavulanic acid 125 mg tablet, amoxicillin 500 mg + clavulanic acid 125 mg tablet, amoxicillin 500 mg + clavulanic acid 125 mg tablet</t>
  </si>
  <si>
    <t>سلطان سيد محمد الخطيب</t>
  </si>
  <si>
    <t>cetirizine hydrochloride 10 mg tablet, cetirizine hydrochloride 10 mg tablet, cetirizine hydrochloride 10 mg tablet, cetirizine hydrochloride 10 mg tablet</t>
  </si>
  <si>
    <t>نوال سعد عبدالله الغامدي</t>
  </si>
  <si>
    <t>metFORMIN hydrochloride 500 mg tablet, metFORMIN hydrochloride 500 mg tablet, metFORMIN hydrochloride 500 mg tablet, levothyroxine sodium 100 microgram tablet, levothyroxine sodium 100 microgram tablet, levothyroxine sodium 100 microgram tablet, levothyroxine sodium 100 microgram tablet, levothyroxine sodium 100 microgram tablet, levothyroxine sodium 100 microgram tablet, metFORMIN hydrochloride 500 mg tablet, metFORMIN hydrochloride 500 mg tablet, metFORMIN hydrochloride 500 mg tablet, metFORMIN hydrochloride 500 mg tablet, metFORMIN hydrochloride 500 mg tablet, metFORMIN hydrochloride 500 mg tablet, levothyroxine sodium 100 microgram tablet, levothyroxine sodium 100 microgram tablet, levothyroxine sodium 100 microgram tablet</t>
  </si>
  <si>
    <t>ريوف عبدالسلام سليمان المغامسي</t>
  </si>
  <si>
    <t>جميله علي حمدان المطيري</t>
  </si>
  <si>
    <t>cetirizine hydrochloride, paracetamol, FLUoxetine</t>
  </si>
  <si>
    <t>cetirizine hydrochloride 10 mg tablet, cetirizine hydrochloride 10 mg tablet, cetirizine hydrochloride 10 mg tablet, cetirizine hydrochloride 10 mg tablet, paracetamol 500 mg tablet, paracetamol 500 mg tablet, paracetamol 500 mg tablet, paracetamol 500 mg tablet, FLUoxetine 20 mg capsule, FLUoxetine 20 mg capsule, FLUoxetine 20 mg capsule, FLUoxetine 20 mg capsule, FLUoxetine 20 mg capsule, cetirizine hydrochloride 10 mg tablet, FLUoxetine 20 mg capsule, cetirizine hydrochloride 10 mg tablet, FLUoxetine 20 mg capsule, cetirizine hydrochloride 10 mg tablet, FLUoxetine 20 mg capsule, cetirizine hydrochloride 10 mg tablet, paracetamol 500 mg tablet, paracetamol 500 mg tablet, paracetamol 500 mg tablet, paracetamol 500 mg tablet, FLUoxetine 20 mg capsule, FLUoxetine 20 mg capsule, FLUoxetine 20 mg capsule, FLUoxetine 20 mg capsule, paracetamol 500 mg tablet, cetirizine hydrochloride 10 mg tablet, paracetamol 500 mg tablet, cetirizine hydrochloride 10 mg tablet, paracetamol 500 mg tablet, cetirizine hydrochloride 10 mg tablet, paracetamol 500 mg tablet, cetirizine hydrochloride 10 mg tablet</t>
  </si>
  <si>
    <t>نورة بنت حمزه بن فرج ضويحي</t>
  </si>
  <si>
    <t>amLODIPine, allopurinol, colecalciferol, vitamin B complex (B, B, metFORMIN hydrochloride, atorvastatin, gliclazide, acetylsalicylic acid</t>
  </si>
  <si>
    <t>amLODIPine 5 mg tablet, allopurinol 100 mg tablet, amLODIPine 5 mg tablet, allopurinol 100 mg tablet, amLODIPine 5 mg tablet, allopurinol 100 mg tablet, amLODIPine 5 mg tablet, allopurinol 100 mg tablet, amLODIPine 5 mg tablet, allopurinol 100 mg tablet, colecalciferol 50 000 international units tablet, colecalciferol 50 000 international units tablet, colecalciferol 50 000 international units tablet, colecalciferol 50 000 international units tablet, colecalciferol 50 000 international units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atorvastatin 20 mg tablet, amLODIPine 5 mg tablet, vitamin B complex (B1,B6,B12) 100,200,0.2 mg Film coated tablets [oral], allopurinol 100 mg tablet, colecalciferol 50 000 international units tablet, gliclazide 30 mg tablet: modified release, acetylsalicylic acid 100 mg tablet: enteric coated, metFORMIN hydrochloride 500 mg tablet, atorvastatin 20 mg tablet, amLODIPine 5 mg tablet, vitamin B complex (B1,B6,B12) 100,200,0.2 mg Film coated tablets [oral], allopurinol 100 mg tablet, colecalciferol 50 000 international units tablet, gliclazide 30 mg tablet: modified release, acetylsalicylic acid 100 mg tablet: enteric coated, metFORMIN hydrochloride 500 mg tablet, atorvastatin 20 mg tablet, amLODIPine 5 mg tablet, vitamin B complex (B1,B6,B12) 100,200,0.2 mg Film coated tablets [oral], allopurinol 100 mg tablet, colecalciferol 50 000 international units tablet, gliclazide 30 mg tablet: modified release, acetylsalicylic acid 100 mg tablet: enteric coated, metFORMIN hydrochloride 500 mg tablet, atorvastatin 20 mg tablet, amLODIPine 5 mg tablet, vitamin B complex (B1,B6,B12) 100,200,0.2 mg Film coated tablets [oral], allopurinol 100 mg tablet, colecalciferol 50 000 international units tablet, gliclazide 30 mg tablet: modified release, acetylsalicylic acid 100 mg tablet: enteric coated, metFORMIN hydrochloride 500 mg tablet, atorvastatin 20 mg tablet, amLODIPine 5 mg tablet, vitamin B complex (B1,B6,B12) 100,200,0.2 mg Film coated tablets [oral], allopurinol 100 mg tablet, colecalciferol 50 000 international units tablet, gliclazide 30 mg tablet: modified release, acetylsalicylic acid 100 mg tablet: enteric coated, metFORMIN hydrochloride 500 mg tablet, metFORMIN hydrochloride 500 mg tablet, metFORMIN hydrochloride 500 mg tablet, metFORMIN hydrochloride 500 mg tablet, metFORMIN hydrochloride 500 mg tablet, colecalciferol 50 000 international units tablet, colecalciferol 50 000 international units tablet, colecalciferol 50 000 international units tablet, colecalciferol 50 000 international units tablet, colecalciferol 50 000 international units tablet, gliclazide 30 mg tablet: modified release, vitamin B complex (B1,B6,B12) 100,200,0.2 mg Film coated tablets [oral], gliclazide 30 mg tablet: modified release, vitamin B complex (B1,B6,B12) 100,200,0.2 mg Film coated tablets [oral], gliclazide 30 mg tablet: modified release, vitamin B complex (B1,B6,B12) 100,200,0.2 mg Film coated tablets [oral], gliclazide 30 mg tablet: modified release, vitamin B complex (B1,B6,B12) 100,200,0.2 mg Film coated tablets [oral], gliclazide 30 mg tablet: modified release, vitamin B complex (B1,B6,B12) 100,200,0.2 mg Film coated tablets [oral], amLODIPine 5 mg tablet, acetylsalicylic acid 100 mg tablet: enteric coated, amLODIPine 5 mg tablet, acetylsalicylic acid 100 mg tablet: enteric coated, amLODIPine 5 mg tablet, acetylsalicylic acid 100 mg tablet: enteric coated, amLODIPine 5 mg tablet, acetylsalicylic acid 100 mg tablet: enteric coated, amLODIPine 5 mg tablet, acetylsalicylic acid 100 mg tablet: enteric coated, amLODIPine 5 mg tablet, amLODIPine 5 mg tablet, amLODIPine 5 mg tablet, amLODIPine 5 mg tablet, amLODIPine 5 mg tablet, atorvastatin 20 mg tablet, atorvastatin 20 mg tablet, atorvastatin 20 mg tablet, atorvastatin 20 mg tablet, atorvastatin 20 mg tablet, gliclazide 30 mg tablet: modified release, colecalciferol 50 000 international units tablet, acetylsalicylic acid 100 mg tablet: enteric coated, gliclazide 30 mg tablet: modified release, colecalciferol 50 000 international units tablet, acetylsalicylic acid 100 mg tablet: enteric coated, gliclazide 30 mg tablet: modified release, colecalciferol 50 000 international units tablet, acetylsalicylic acid 100 mg tablet: enteric coated, gliclazide 30 mg tablet: modified release, colecalciferol 50 000 international units tablet, acetylsalicylic acid 100 mg tablet: enteric coated, gliclazide 30 mg tablet: modified release, colecalciferol 50 000 international units tablet, acetylsalicylic acid 100 mg tablet: enteric coated, vitamin B complex (B1,B6,B12) 100,200,0.2 mg Film coated tablets [oral], metFORMIN hydrochloride 500 mg tablet, allopurinol 100 mg tablet, vitamin B complex (B1,B6,B12) 100,200,0.2 mg Film coated tablets [oral], metFORMIN hydrochloride 500 mg tablet, allopurinol 100 mg tablet, vitamin B complex (B1,B6,B12) 100,200,0.2 mg Film coated tablets [oral], metFORMIN hydrochloride 500 mg tablet, allopurinol 100 mg tablet, vitamin B complex (B1,B6,B12) 100,200,0.2 mg Film coated tablets [oral], metFORMIN hydrochloride 500 mg tablet, allopurinol 100 mg tablet, vitamin B complex (B1,B6,B12) 100,200,0.2 mg Film coated tablets [oral], metFORMIN hydrochloride 500 mg tablet, allopurinol 100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amLODIPine 5 mg tablet, amLODIPine 5 mg tablet, amLODIPine 5 mg tablet, amLODIPine 5 mg tablet, amLODIPine 5 mg tablet</t>
  </si>
  <si>
    <t>حفيظه يحي علي المطوع</t>
  </si>
  <si>
    <t>vitamin B complex (B, B, omeprazole, atorvastatin, bisoprolol fumarate, metFORMIN hydrochloride, SITagliptin</t>
  </si>
  <si>
    <t>vitamin B complex (B1,B6,B12) 100,200,0.2 mg Film coated tablets [oral], omeprazole 20 mg tablet: enteric coated, atorvastatin 20 mg tablet, bisoprolol fumarate 5 mg tablet, vitamin B complex (B1,B6,B12) 100,200,0.2 mg Film coated tablets [oral], omeprazole 20 mg tablet: enteric coated, atorvastatin 20 mg tablet, bisoprolol fumarate 5 mg tablet, vitamin B complex (B1,B6,B12) 100,200,0.2 mg Film coated tablets [oral], omeprazole 20 mg tablet: enteric coated, atorvastatin 20 mg tablet, bisoprolol fumarate 5 mg tablet, metFORMIN hydrochloride 500 mg tablet, metFORMIN hydrochloride 500 mg tablet, metFORMIN hydrochloride 500 mg tablet, bisoprolol fumarate 5 mg tablet, SITagliptin 100 mg tablet, metFORMIN hydrochloride 500 mg tablet, bisoprolol fumarate 5 mg tablet, SITagliptin 100 mg tablet, metFORMIN hydrochloride 500 mg tablet, bisoprolol fumarate 5 mg tablet, SITagliptin 100 mg tablet, metFORMIN hydrochloride 500 mg tablet, omeprazole 20 mg tablet: enteric coated, omeprazole 20 mg tablet: enteric coated, omeprazole 20 mg tablet: enteric coated,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atorvastatin 20 mg tablet, atorvastatin 20 mg tablet, vitamin B complex (B1,B6,B12) 100,200,0.2 mg Film coated tablets [oral], vitamin B complex (B1,B6,B12) 100,200,0.2 mg Film coated tablets [oral], vitamin B complex (B1,B6,B12) 100,200,0.2 mg Film coated tablets [oral], SITagliptin 100 mg tablet, bisoprolol fumarate 5 mg tablet, metFORMIN hydrochloride 500 mg tablet, SITagliptin 100 mg tablet, bisoprolol fumarate 5 mg tablet, metFORMIN hydrochloride 500 mg tablet, SITagliptin 100 mg tablet, bisoprolol fumarate 5 mg tablet, metFORMIN hydrochloride 500 mg tablet, omeprazole 20 mg tablet: enteric coated, omeprazole 20 mg tablet: enteric coated, omeprazole 20 mg tablet: enteric coated, SITagliptin 100 mg tablet, SITagliptin 100 mg tablet, SITagliptin 100 mg tablet, bisoprolol fumarate 5 mg tablet, bisoprolol fumarate 5 mg tablet, bisoprolol fumarate 5 mg tablet, metFORMIN hydrochloride 500 mg tablet, metFORMIN hydrochloride 500 mg tablet, metFORMIN hydrochloride 500 mg tablet, vitamin B complex (B1,B6,B12) 100,200,0.2 mg Film coated tablets [oral], bisoprolol fumarate 5 mg tablet, atorvastatin 20 mg tablet, omeprazole 20 mg tablet: enteric coated, vitamin B complex (B1,B6,B12) 100,200,0.2 mg Film coated tablets [oral], bisoprolol fumarate 5 mg tablet, atorvastatin 20 mg tablet, omeprazole 20 mg tablet: enteric coated, vitamin B complex (B1,B6,B12) 100,200,0.2 mg Film coated tablets [oral], bisoprolol fumarate 5 mg tablet, atorvastatin 20 mg tablet, omeprazole 20 mg tablet: enteric coated, SITagliptin 100 mg tablet, SITagliptin 100 mg tablet, SITagliptin 100 mg tablet, metFORMIN hydrochloride 500 mg tablet, metFORMIN hydrochloride 500 mg tablet, metFORMIN hydrochloride 500 mg tablet, omeprazole 20 mg tablet: enteric coated, SITagliptin 100 mg tablet, omeprazole 20 mg tablet: enteric coated, SITagliptin 100 mg tablet, omeprazole 20 mg tablet: enteric coated, SITagliptin 100 mg tablet, atorvastatin 20 mg tablet, atorvastatin 20 mg tablet, atorvastatin 20 mg tablet, vitamin B complex (B1,B6,B12) 100,200,0.2 mg Film coated tablets [oral], vitamin B complex (B1,B6,B12) 100,200,0.2 mg Film coated tablets [oral], vitamin B complex (B1,B6,B12) 100,200,0.2 mg Film coated tablets [oral], bisoprolol fumarate 5 mg tablet, bisoprolol fumarate 5 mg tablet, bisoprolol fumarate 5 mg tablet, metFORMIN hydrochloride 500 mg tablet, SITagliptin 100 mg tablet, metFORMIN hydrochloride 500 mg tablet, SITagliptin 100 mg tablet, metFORMIN hydrochloride 500 mg tablet, SITagliptin 100 mg tablet, vitamin B complex (B1,B6,B12) 100,200,0.2 mg Film coated tablets [oral], vitamin B complex (B1,B6,B12) 100,200,0.2 mg Film coated tablets [oral], vitamin B complex (B1,B6,B12) 100,200,0.2 mg Film coated tablets [oral], atorvastatin 20 mg tablet, atorvastatin 20 mg tablet, atorvastatin 20 mg tablet, omeprazole 20 mg tablet: enteric coated, omeprazole 20 mg tablet: enteric coated, omeprazole 20 mg tablet: enteric coated, bisoprolol fumarate 5 mg tablet, bisoprolol fumarate 5 mg tablet, bisoprolol fumarate 5 mg tablet, vitamin B complex (B1,B6,B12) 100,200,0.2 mg Film coated tablets [oral], omeprazole 20 mg tablet: enteric coated, atorvastatin 20 mg tablet, bisoprolol fumarate 5 mg tablet, vitamin B complex (B1,B6,B12) 100,200,0.2 mg Film coated tablets [oral], omeprazole 20 mg tablet: enteric coated, atorvastatin 20 mg tablet, bisoprolol fumarate 5 mg tablet, vitamin B complex (B1,B6,B12) 100,200,0.2 mg Film coated tablets [oral], omeprazole 20 mg tablet: enteric coated, atorvastatin 20 mg tablet, bisoprolol fumarate 5 mg tablet, metFORMIN hydrochloride 500 mg tablet, metFORMIN hydrochloride 500 mg tablet, metFORMIN hydrochloride 500 mg tablet, SITagliptin 100 mg tablet, vitamin B complex (B1,B6,B12) 100,200,0.2 mg Film coated tablets [oral], atorvastatin 20 mg tablet, bisoprolol fumarate 5 mg tablet, SITagliptin 100 mg tablet, vitamin B complex (B1,B6,B12) 100,200,0.2 mg Film coated tablets [oral], atorvastatin 20 mg tablet, bisoprolol fumarate 5 mg tablet, SITagliptin 100 mg tablet, vitamin B complex (B1,B6,B12) 100,200,0.2 mg Film coated tablets [oral], atorvastatin 20 mg tablet, bisoprolol fumarate 5 mg tablet, metFORMIN hydrochloride 500 mg tablet, metFORMIN hydrochloride 500 mg tablet, metFORMIN hydrochloride 500 mg tablet, omeprazole 20 mg tablet: enteric coated, omeprazole 20 mg tablet: enteric coated, omeprazole 20 mg tablet: enteric coated</t>
  </si>
  <si>
    <t>الورد حشيم هدايه المطيري</t>
  </si>
  <si>
    <t>linagliptin, vitamins (A, B, C, D, metFORMIN hydrochloride, gliclazide, levothyroxine sodium</t>
  </si>
  <si>
    <t>linagliptin 5 mg tablet, linagliptin 5 mg tablet, linagliptin 5 mg tablet, vitamins (A, B1, B2, B3, C, D3) tablet, metFORMIN hydrochloride 500 mg tablet, gliclazide 60 mg tablet: modified release, vitamins (A, B1, B2, B3, C, D3) tablet, metFORMIN hydrochloride 500 mg tablet, gliclazide 60 mg tablet: modified release, vitamins (A, B1, B2, B3, C, D3) tablet, metFORMIN hydrochloride 500 mg tablet, gliclazide 60 mg tablet: modified release, levothyroxine sodium 50 microgram tablet, levothyroxine sodium 50 microgram tablet, levothyroxine sodium 50 microgram tablet, linagliptin 5 mg tablet, levothyroxine sodium 50 microgram tablet, linagliptin 5 mg tablet, levothyroxine sodium 50 microgram tablet, linagliptin 5 mg tablet, levothyroxine sodium 50 microgram tablet, gliclazide 60 mg tablet: modified release, gliclazide 60 mg tablet: modified release, gliclazide 60 mg tablet: modified release, metFORMIN hydrochloride 500 mg tablet, vitamins (A, B1, B2, B3, C, D3) tablet, metFORMIN hydrochloride 500 mg tablet, vitamins (A, B1, B2, B3, C, D3) tablet, metFORMIN hydrochloride 500 mg tablet, vitamins (A, B1, B2, B3, C, D3) tablet, levothyroxine sodium 50 microgram tablet, vitamins (A, B1, B2, B3, C, D3) tablet, levothyroxine sodium 50 microgram tablet, vitamins (A, B1, B2, B3, C, D3) tablet, levothyroxine sodium 50 microgram tablet, vitamins (A, B1, B2, B3, C, D3) tablet, linagliptin 5 mg tablet, metFORMIN hydrochloride 500 mg tablet, linagliptin 5 mg tablet, metFORMIN hydrochloride 500 mg tablet, linagliptin 5 mg tablet, metFORMIN hydrochloride 500 mg tablet, gliclazide 60 mg tablet: modified release, gliclazide 60 mg tablet: modified release, gliclazide 60 mg tablet: modified release, gliclazide 60 mg tablet: modified release, gliclazide 60 mg tablet: modified release, gliclazide 60 mg tablet: modified release, vitamins (A, B1, B2, B3, C, D3) tablet, linagliptin 5 mg tablet, vitamins (A, B1, B2, B3, C, D3) tablet, linagliptin 5 mg tablet, vitamins (A, B1, B2, B3, C, D3) tablet, linagliptin 5 mg tablet, metFORMIN hydrochloride 500 mg tablet, vitamins (A, B1, B2, B3, C, D3) tablet, levothyroxine sodium 50 microgram tablet, metFORMIN hydrochloride 500 mg tablet, vitamins (A, B1, B2, B3, C, D3) tablet, levothyroxine sodium 50 microgram tablet, metFORMIN hydrochloride 500 mg tablet, vitamins (A, B1, B2, B3, C, D3) tablet, levothyroxine sodium 50 microgram tablet, gliclazide 60 mg tablet: modified release, linagliptin 5 mg tablet, gliclazide 60 mg tablet: modified release, linagliptin 5 mg tablet, gliclazide 60 mg tablet: modified release, linagliptin 5 mg tablet</t>
  </si>
  <si>
    <t>فاطمه بنت حسن بن سالم باناصر</t>
  </si>
  <si>
    <t>salbutamol, budesonide, indapamide</t>
  </si>
  <si>
    <t>salbutamol 0.5% (5 mg/mL) inhalation solution, salbutamol 0.5% (5 mg/mL) inhalation solution, salbutamol 0.5% (5 mg/mL) inhalation solution, salbutamol 0.5% (5 mg/mL) inhalation solution, salbutamol 100 microgram/actuation inhaler, salbutamol 100 microgram/actuation inhaler, salbutamol 100 microgram/actuation inhaler, salbutamol 100 microgram/actuation inhaler, budesonide 160 microgram/actuation + formoterol fumarate dihydrate 4.5 microgram/actuation inhalation: powder for, budesonide 500 microgram/mL inhalation: solution, 2 mL ampoule, indapamide 1.5 mg tablet: modified release, budesonide 160 microgram/actuation + formoterol fumarate dihydrate 4.5 microgram/actuation inhalation: powder for, budesonide 500 microgram/mL inhalation: solution, 2 mL ampoule, indapamide 1.5 mg tablet: modified release, budesonide 160 microgram/actuation + formoterol fumarate dihydrate 4.5 microgram/actuation inhalation: powder for, budesonide 500 microgram/mL inhalation: solution, 2 mL ampoule, indapamide 1.5 mg tablet: modified release, budesonide 160 microgram/actuation + formoterol fumarate dihydrate 4.5 microgram/actuation inhalation: powder for, budesonide 500 microgram/mL inhalation: solution, 2 mL ampoule, indapamide 1.5 mg tablet: modified release, salbutamol 0.5% (5 mg/mL) inhalation solution, salbutamol 0.5% (5 mg/mL) inhalation solution, salbutamol 0.5% (5 mg/mL) inhalation solution, salbutamol 0.5% (5 mg/mL) inhalation solution, budesonide 160 microgram/actuation + formoterol fumarate dihydrate 4.5 microgram/actuation inhalation: powder for, budesonide 500 microgram/mL inhalation: solution, 2 mL ampoule, salbutamol 100 microgram/actuation inhaler, indapamide 1.5 mg tablet: modified release, budesonide 160 microgram/actuation + formoterol fumarate dihydrate 4.5 microgram/actuation inhalation: powder for, budesonide 500 microgram/mL inhalation: solution, 2 mL ampoule, salbutamol 100 microgram/actuation inhaler, indapamide 1.5 mg tablet: modified release, budesonide 160 microgram/actuation + formoterol fumarate dihydrate 4.5 microgram/actuation inhalation: powder for, budesonide 500 microgram/mL inhalation: solution, 2 mL ampoule, salbutamol 100 microgram/actuation inhaler, indapamide 1.5 mg tablet: modified release, budesonide 160 microgram/actuation + formoterol fumarate dihydrate 4.5 microgram/actuation inhalation: powder for, budesonide 500 microgram/mL inhalation: solution, 2 mL ampoule, salbutamol 100 microgram/actuation inhaler, indapamide 1.5 mg tablet: modified release, salbutamol 0.5% (5 mg/mL) inhalation solution, salbutamol 100 microgram/actuation inhaler, indapamide 1.5 mg tablet: modified release, budesonide 500 microgram/mL inhalation: solution, 2 mL ampoule, budesonide 160 microgram/actuation + formoterol fumarate dihydrate 4.5 microgram/actuation inhalation: powder for, salbutamol 0.5% (5 mg/mL) inhalation solution, salbutamol 100 microgram/actuation inhaler, indapamide 1.5 mg tablet: modified release, budesonide 500 microgram/mL inhalation: solution, 2 mL ampoule, budesonide 160 microgram/actuation + formoterol fumarate dihydrate 4.5 microgram/actuation inhalation: powder for, salbutamol 0.5% (5 mg/mL) inhalation solution, salbutamol 100 microgram/actuation inhaler, indapamide 1.5 mg tablet: modified release, budesonide 500 microgram/mL inhalation: solution, 2 mL ampoule, budesonide 160 microgram/actuation + formoterol fumarate dihydrate 4.5 microgram/actuation inhalation: powder for, salbutamol 0.5% (5 mg/mL) inhalation solution, salbutamol 100 microgram/actuation inhaler, indapamide 1.5 mg tablet: modified release, budesonide 500 microgram/mL inhalation: solution, 2 mL ampoule, budesonide 160 microgram/actuation + formoterol fumarate dihydrate 4.5 microgram/actuation inhalation: powder for, salbutamol 0.5% (5 mg/mL) inhalation solution, salbutamol 100 microgram/actuation inhaler, salbutamol 0.5% (5 mg/mL) inhalation solution, salbutamol 100 microgram/actuation inhaler, salbutamol 0.5% (5 mg/mL) inhalation solution, salbutamol 100 microgram/actuation inhaler, salbutamol 0.5% (5 mg/mL) inhalation solution, salbutamol 100 microgram/actuation inhaler, budesonide 160 microgram/actuation + formoterol fumarate dihydrate 4.5 microgram/actuation inhalation: powder for, budesonide 500 microgram/mL inhalation: solution, 2 mL ampoule, budesonide 160 microgram/actuation + formoterol fumarate dihydrate 4.5 microgram/actuation inhalation: powder for, budesonide 500 microgram/mL inhalation: solution, 2 mL ampoule, budesonide 160 microgram/actuation + formoterol fumarate dihydrate 4.5 microgram/actuation inhalation: powder for, budesonide 500 microgram/mL inhalation: solution, 2 mL ampoule, budesonide 160 microgram/actuation + formoterol fumarate dihydrate 4.5 microgram/actuation inhalation: powder for, budesonide 500 microgram/mL inhalation: solution, 2 mL ampoule, indapamide 1.5 mg tablet: modified release, indapamide 1.5 mg tablet: modified release, indapamide 1.5 mg tablet: modified release, indapamide 1.5 mg tablet: modified release</t>
  </si>
  <si>
    <t>عبدالاله بن قاسم بن احمد عيسى</t>
  </si>
  <si>
    <t>vitamin B complex (B, B, paraffin soft white ointment, tube, empagliflozin, SITagliptin, metFORMIN hydrochloride, atorvastatin</t>
  </si>
  <si>
    <t>vitamin B complex (B1,B6,B12) 100,200,0.2 mg Film coated tablets [oral], paraffin soft white ointment, tube, vitamin B complex (B1,B6,B12) 100,200,0.2 mg Film coated tablets [oral], paraffin soft white ointment, tube, vitamin B complex (B1,B6,B12) 100,200,0.2 mg Film coated tablets [oral], paraffin soft white ointment, tube, vitamin B complex (B1,B6,B12) 100,200,0.2 mg Film coated tablets [oral], paraffin soft white ointment, tube, vitamin B complex (B1,B6,B12) 100,200,0.2 mg Film coated tablets [oral], paraffin soft white ointment, tube, empagliflozin 25 mg tablet, SITagliptin 100 mg tablet, empagliflozin 25 mg tablet, SITagliptin 100 mg tablet, empagliflozin 25 mg tablet, SITagliptin 100 mg tablet, empagliflozin 25 mg tablet, SITagliptin 100 mg tablet, empagliflozin 25 mg tablet, SITagliptin 100 mg tablet, empagliflozin 25 mg tablet, empagliflozin 25 mg tablet, empagliflozin 25 mg tablet, empagliflozin 25 mg tablet, empagliflozin 25 mg tablet, metFORMIN hydrochloride 750 mg tablet: modified release, metFORMIN hydrochloride 750 mg tablet: modified release, metFORMIN hydrochloride 750 mg tablet: modified release, metFORMIN hydrochloride 750 mg tablet: modified release, metFORMIN hydrochloride 750 mg tablet: modified release, atorvastatin 20 mg tablet, atorvastatin 20 mg tablet, atorvastatin 20 mg tablet, atorvastatin 20 mg tablet, atorvastatin 20 mg tablet, paraffin soft white ointment, tube, paraffin soft white ointment, tube, paraffin soft white ointment, tube, paraffin soft white ointment, tube, paraffin soft white ointment, tube,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atorvastatin 20 mg tablet, metFORMIN hydrochloride 750 mg tablet: modified release, atorvastatin 20 mg tablet, metFORMIN hydrochloride 750 mg tablet: modified release, atorvastatin 20 mg tablet, metFORMIN hydrochloride 750 mg tablet: modified release, atorvastatin 20 mg tablet, metFORMIN hydrochloride 750 mg tablet: modified release, atorvastatin 20 mg tablet, metFORMIN hydrochloride 750 mg tablet: modified release, SITagliptin 100 mg tablet, SITagliptin 100 mg tablet, SITagliptin 100 mg tablet, SITagliptin 100 mg tablet, SITagliptin 100 mg tablet, empagliflozin 25 mg tablet, SITagliptin 100 mg tablet, empagliflozin 25 mg tablet, SITagliptin 100 mg tablet, empagliflozin 25 mg tablet, SITagliptin 100 mg tablet, empagliflozin 25 mg tablet, SITagliptin 100 mg tablet, empagliflozin 25 mg tablet, SITagliptin 100 mg tablet, metFORMIN hydrochloride 750 mg tablet: modified release, atorvastatin 20 mg tablet, vitamin B complex (B1,B6,B12) 100,200,0.2 mg Film coated tablets [oral], metFORMIN hydrochloride 750 mg tablet: modified release, atorvastatin 20 mg tablet, vitamin B complex (B1,B6,B12) 100,200,0.2 mg Film coated tablets [oral], metFORMIN hydrochloride 750 mg tablet: modified release, atorvastatin 20 mg tablet, vitamin B complex (B1,B6,B12) 100,200,0.2 mg Film coated tablets [oral], metFORMIN hydrochloride 750 mg tablet: modified release, atorvastatin 20 mg tablet, vitamin B complex (B1,B6,B12) 100,200,0.2 mg Film coated tablets [oral], metFORMIN hydrochloride 750 mg tablet: modified release, atorvastatin 20 mg tablet, vitamin B complex (B1,B6,B12) 100,200,0.2 mg Film coated tablets [oral], paraffin soft white ointment, tube, paraffin soft white ointment, tube, paraffin soft white ointment, tube, paraffin soft white ointment, tube, paraffin soft white ointment, tube</t>
  </si>
  <si>
    <t>أنيسه محمد منصور الحربي</t>
  </si>
  <si>
    <t>paracetamol, diclofenac sodium, chlorzoxazone</t>
  </si>
  <si>
    <t>paracetamol 500 mg tablet, paracetamol 500 mg tablet, paracetamol 500 mg tablet, paracetamol 500 mg tablet, paracetamol 500 mg tablet, paracetamol 500 mg tablet, diclofenac sodium 1% (10 mg/g) gel, chlorzoxazone 250 mg + paracetamol 300 mg capsule, diclofenac sodium 1% (10 mg/g) gel, chlorzoxazone 250 mg + paracetamol 300 mg capsule, diclofenac sodium 1% (10 mg/g) gel, chlorzoxazone 250 mg + paracetamol 300 mg capsule, diclofenac sodium 1% (10 mg/g) gel, chlorzoxazone 250 mg + paracetamol 300 mg capsule, diclofenac sodium 1% (10 mg/g) gel, chlorzoxazone 250 mg + paracetamol 300 mg capsule, diclofenac sodium 1% (10 mg/g) gel, chlorzoxazone 250 mg + paracetamol 300 mg capsule, diclofenac sodium 1% (10 mg/g) gel, diclofenac sodium 1% (10 mg/g) gel, diclofenac sodium 1% (10 mg/g) gel, diclofenac sodium 1% (10 mg/g) gel, diclofenac sodium 1% (10 mg/g) gel, diclofenac sodium 1% (10 mg/g) gel, chlorzoxazone 250 mg + paracetamol 300 mg capsule, chlorzoxazone 250 mg + paracetamol 300 mg capsule, chlorzoxazone 250 mg + paracetamol 300 mg capsule, chlorzoxazone 250 mg + paracetamol 300 mg capsule, chlorzoxazone 250 mg + paracetamol 300 mg capsule, chlorzoxazone 250 mg + paracetamol 300 mg capsule, paracetamol 500 mg tablet, paracetamol 500 mg tablet, paracetamol 500 mg tablet, paracetamol 500 mg tablet, paracetamol 500 mg tablet, paracetamol 500 mg tablet</t>
  </si>
  <si>
    <t>نايف معيض فريحان الثبيتي</t>
  </si>
  <si>
    <t>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t>
  </si>
  <si>
    <t>مؤيد اسماعيل حسين فلمبان</t>
  </si>
  <si>
    <t>هيله معيش عبدالمعيش الحربي</t>
  </si>
  <si>
    <t>SITagliptin, colecalciferol, vitamin B complex (B, B</t>
  </si>
  <si>
    <t>SITagliptin 100 mg tablet, colecalciferol 50 000 international units tablet, vitamin B complex (B1,B6,B12) 100,200,0.2 mg Film coated tablets [oral], SITagliptin 100 mg tablet, colecalciferol 50 000 international units tablet, vitamin B complex (B1,B6,B12) 100,200,0.2 mg Film coated tablets [oral], SITagliptin 100 mg tablet, colecalciferol 50 000 international units tablet, vitamin B complex (B1,B6,B12) 100,200,0.2 mg Film coated tablets [oral], SITagliptin 100 mg tablet, colecalciferol 50 000 international units tablet, vitamin B complex (B1,B6,B12) 100,200,0.2 mg Film coated tablets [oral], SITagliptin 100 mg tablet, colecalciferol 50 000 international units tablet, vitamin B complex (B1,B6,B12) 100,200,0.2 mg Film coated tablets [oral], colecalciferol 50 000 international units tablet, colecalciferol 50 000 international units tablet, colecalciferol 50 000 international units tablet, colecalciferol 50 000 international units tablet, colecalciferol 50 000 international units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SITagliptin 100 mg tablet, SITagliptin 100 mg tablet, SITagliptin 100 mg tablet, SITagliptin 100 mg tablet, SITagliptin 100 mg tablet</t>
  </si>
  <si>
    <t>عبدالرحمن سعيد بن عفنان البلوي</t>
  </si>
  <si>
    <t>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t>
  </si>
  <si>
    <t>وصيفه سعيد عبدالله عبدالله</t>
  </si>
  <si>
    <t>amLODIPine, colecalciferol, metFORMIN hydrochloride, atorvastatin</t>
  </si>
  <si>
    <t>amLODIPine 10 mg capsule, colecalciferol 50 000 international units tablet, amLODIPine 10 mg capsule, colecalciferol 50 000 international units tablet, amLODIPine 10 mg capsule, colecalciferol 50 000 international units tablet, metFORMIN hydrochloride 500 mg tablet, atorvastatin 10 mg tablet, metFORMIN hydrochloride 500 mg tablet, atorvastatin 10 mg tablet, metFORMIN hydrochloride 500 mg tablet, atorvastatin 10 mg tablet, colecalciferol 50 000 international units tablet, colecalciferol 50 000 international units tablet, colecalciferol 50 000 international units tablet, atorvastatin 10 mg tablet, atorvastatin 10 mg tablet, atorvastatin 10 mg tablet, metFORMIN hydrochloride 500 mg tablet, amLODIPine 10 mg capsule, metFORMIN hydrochloride 500 mg tablet, amLODIPine 10 mg capsule, metFORMIN hydrochloride 500 mg tablet, amLODIPine 10 mg capsule, metFORMIN hydrochloride 500 mg tablet, atorvastatin 10 mg tablet, metFORMIN hydrochloride 500 mg tablet, atorvastatin 10 mg tablet, metFORMIN hydrochloride 500 mg tablet, atorvastatin 10 mg tablet, amLODIPine 10 mg capsule, amLODIPine 10 mg capsule, amLODIPine 10 mg capsule, colecalciferol 50 000 international units tablet, colecalciferol 50 000 international units tablet, colecalciferol 50 000 international units tablet</t>
  </si>
  <si>
    <t>خديجه عمر عبدالقادر العامودي</t>
  </si>
  <si>
    <t>NIFEdipine</t>
  </si>
  <si>
    <t>NIFEdipine 30 mg tablet: modified release, NIFEdipine 30 mg tablet: modified release, NIFEdipine 30 mg tablet: modified release, NIFEdipine 30 mg tablet: modified release, NIFEdipine 30 mg tablet: modified release, NIFEdipine 30 mg tablet: modified release</t>
  </si>
  <si>
    <t>حسنه عبدالكريم ابراهيم الشيخي</t>
  </si>
  <si>
    <t>vitamin B complex (B, B, losartan potassium, metFORMIN hydrochloride, paraffin soft white ointment, tube, atorvastatin, empagliflozin</t>
  </si>
  <si>
    <t>vitamin B complex (B1,B6,B12) 100,200,0.2 mg Film coated tablets [oral], vitamin B complex (B1,B6,B12) 100,200,0.2 mg Film coated tablets [oral], vitamin B complex (B1,B6,B12) 100,200,0.2 mg Film coated tablets [oral], vitamin B complex (B1,B6,B12) 100,200,0.2 mg Film coated tablets [oral], losartan potassium 50 mg tablet, metFORMIN hydrochloride 750 mg tablet: modified release, losartan potassium 50 mg tablet, metFORMIN hydrochloride 750 mg tablet: modified release, losartan potassium 50 mg tablet, metFORMIN hydrochloride 750 mg tablet: modified release, losartan potassium 50 mg tablet, metFORMIN hydrochloride 750 mg tablet: modified release, paraffin soft white ointment, tube, paraffin soft white ointment, tube, paraffin soft white ointment, tube, paraffin soft white ointment, tube, atorvastatin 10 mg tablet, empagliflozin 10 mg tablet, atorvastatin 10 mg tablet, empagliflozin 10 mg tablet, atorvastatin 10 mg tablet, empagliflozin 10 mg tablet, atorvastatin 10 mg tablet, empagliflozin 10 mg tablet, vitamin B complex (B1,B6,B12) 100,200,0.2 mg Film coated tablets [oral], losartan potassium 50 mg tablet, vitamin B complex (B1,B6,B12) 100,200,0.2 mg Film coated tablets [oral], losartan potassium 50 mg tablet, vitamin B complex (B1,B6,B12) 100,200,0.2 mg Film coated tablets [oral], losartan potassium 50 mg tablet, vitamin B complex (B1,B6,B12) 100,200,0.2 mg Film coated tablets [oral], losartan potassium 50 mg tablet, paraffin soft white ointment, tube, metFORMIN hydrochloride 750 mg tablet: modified release, paraffin soft white ointment, tube, metFORMIN hydrochloride 750 mg tablet: modified release, paraffin soft white ointment, tube, metFORMIN hydrochloride 750 mg tablet: modified release, paraffin soft white ointment, tube, metFORMIN hydrochloride 750 mg tablet: modified release, empagliflozin 10 mg tablet, empagliflozin 10 mg tablet, empagliflozin 10 mg tablet, empagliflozin 10 mg tablet, atorvastatin 10 mg tablet, atorvastatin 10 mg tablet, atorvastatin 10 mg tablet, atorvastatin 10 mg tablet, atorvastatin 10 mg tablet, atorvastatin 10 mg tablet, atorvastatin 10 mg tablet, atorvastatin 10 mg tablet, losartan potassium 50 mg tablet, losartan potassium 50 mg tablet, losartan potassium 50 mg tablet, losartan potassium 50 mg tablet, metFORMIN hydrochloride 750 mg tablet: modified release, empagliflozin 10 mg tablet, metFORMIN hydrochloride 750 mg tablet: modified release, empagliflozin 10 mg tablet, metFORMIN hydrochloride 750 mg tablet: modified release, empagliflozin 10 mg tablet, metFORMIN hydrochloride 750 mg tablet: modified release, empagliflozin 10 mg tablet, vitamin B complex (B1,B6,B12) 100,200,0.2 mg Film coated tablets [oral], paraffin soft white ointment, tube, vitamin B complex (B1,B6,B12) 100,200,0.2 mg Film coated tablets [oral], paraffin soft white ointment, tube, vitamin B complex (B1,B6,B12) 100,200,0.2 mg Film coated tablets [oral], paraffin soft white ointment, tube, vitamin B complex (B1,B6,B12) 100,200,0.2 mg Film coated tablets [oral], paraffin soft white ointment, tube</t>
  </si>
  <si>
    <t>رامي صالح علي خواجي</t>
  </si>
  <si>
    <t>موضي سعود بن سعيد الحربي</t>
  </si>
  <si>
    <t>empagliflozin, omeprazole, diclofenac sodium, Strips (Accu-Check), paracetamol, rosuvastatin</t>
  </si>
  <si>
    <t>empagliflozin 25 mg tablet, omeprazole 20 mg tablet: enteric coated, diclofenac sodium 1% (10 mg/g) gel, empagliflozin 25 mg tablet, omeprazole 20 mg tablet: enteric coated, diclofenac sodium 1% (10 mg/g) gel, empagliflozin 25 mg tablet, omeprazole 20 mg tablet: enteric coated, diclofenac sodium 1% (10 mg/g) gel, empagliflozin 25 mg tablet, omeprazole 20 mg tablet: enteric coated, diclofenac sodium 1% (10 mg/g) gel, empagliflozin 25 mg tablet, omeprazole 20 mg tablet: enteric coated, diclofenac sodium 1% (10 mg/g) gel, empagliflozin 25 mg tablet, omeprazole 20 mg tablet: enteric coated, diclofenac sodium 1% (10 mg/g) gel, Strips (Accu-Check) 1 box Strip [n/a], Strips (Accu-Check) 1 box Strip [n/a], Strips (Accu-Check) 1 box Strip [n/a], Strips (Accu-Check) 1 box Strip [n/a], Strips (Accu-Check) 1 box Strip [n/a], Strips (Accu-Check) 1 box Strip [n/a], paracetamol 500 mg tablet, rosuvastatin 20 mg tablet, paracetamol 500 mg tablet, rosuvastatin 20 mg tablet, paracetamol 500 mg tablet, rosuvastatin 20 mg tablet, paracetamol 500 mg tablet, rosuvastatin 20 mg tablet, paracetamol 500 mg tablet, rosuvastatin 20 mg tablet, paracetamol 500 mg tablet, rosuvastatin 20 mg tablet, diclofenac sodium 1% (10 mg/g) gel, Strips (Accu-Check) 1 box Strip [n/a], diclofenac sodium 1% (10 mg/g) gel, Strips (Accu-Check) 1 box Strip [n/a], diclofenac sodium 1% (10 mg/g) gel, Strips (Accu-Check) 1 box Strip [n/a], diclofenac sodium 1% (10 mg/g) gel, Strips (Accu-Check) 1 box Strip [n/a], diclofenac sodium 1% (10 mg/g) gel, Strips (Accu-Check) 1 box Strip [n/a], diclofenac sodium 1% (10 mg/g) gel, Strips (Accu-Check) 1 box Strip [n/a], paracetamol 500 mg tablet, empagliflozin 25 mg tablet, paracetamol 500 mg tablet, empagliflozin 25 mg tablet, paracetamol 500 mg tablet, empagliflozin 25 mg tablet, paracetamol 500 mg tablet, empagliflozin 25 mg tablet, paracetamol 500 mg tablet, empagliflozin 25 mg tablet, paracetamol 500 mg tablet, empagliflozin 25 mg tablet, omeprazole 20 mg tablet: enteric coated, rosuvastatin 20 mg tablet, omeprazole 20 mg tablet: enteric coated, rosuvastatin 20 mg tablet, omeprazole 20 mg tablet: enteric coated, rosuvastatin 20 mg tablet, omeprazole 20 mg tablet: enteric coated, rosuvastatin 20 mg tablet, omeprazole 20 mg tablet: enteric coated, rosuvastatin 20 mg tablet, omeprazole 20 mg tablet: enteric coated, rosuvastatin 20 mg tablet, rosuvastatin 20 mg tablet, paracetamol 500 mg tablet, rosuvastatin 20 mg tablet, paracetamol 500 mg tablet, rosuvastatin 20 mg tablet, paracetamol 500 mg tablet, rosuvastatin 20 mg tablet, paracetamol 500 mg tablet, rosuvastatin 20 mg tablet, paracetamol 500 mg tablet, rosuvastatin 20 mg tablet, paracetamol 500 mg tablet, omeprazole 20 mg tablet: enteric coated, omeprazole 20 mg tablet: enteric coated, omeprazole 20 mg tablet: enteric coated, omeprazole 20 mg tablet: enteric coated, omeprazole 20 mg tablet: enteric coated, omeprazole 20 mg tablet: enteric coated, Strips (Accu-Check) 1 box Strip [n/a], diclofenac sodium 1% (10 mg/g) gel, Strips (Accu-Check) 1 box Strip [n/a], diclofenac sodium 1% (10 mg/g) gel, Strips (Accu-Check) 1 box Strip [n/a], diclofenac sodium 1% (10 mg/g) gel, Strips (Accu-Check) 1 box Strip [n/a], diclofenac sodium 1% (10 mg/g) gel, Strips (Accu-Check) 1 box Strip [n/a], diclofenac sodium 1% (10 mg/g) gel, Strips (Accu-Check) 1 box Strip [n/a], diclofenac sodium 1% (10 mg/g) gel, empagliflozin 25 mg tablet, empagliflozin 25 mg tablet, empagliflozin 25 mg tablet, empagliflozin 25 mg tablet, empagliflozin 25 mg tablet, empagliflozin 25 mg tablet</t>
  </si>
  <si>
    <t>حسين بن دبيان بن تبينان المطيري</t>
  </si>
  <si>
    <t>empagliflozin, metFORMIN hydrochloride, vitamin B complex (B, B, gliclazide, SITagliptin</t>
  </si>
  <si>
    <t>empagliflozin 25 mg tablet, empagliflozin 25 mg tablet, empagliflozin 25 mg tablet, empagliflozin 25 mg tablet, empagliflozin 25 mg tablet, empagliflozin 25 mg tablet, metFORMIN hydrochloride 500 mg tablet, metFORMIN hydrochloride 500 mg tablet, metFORMIN hydrochloride 500 mg tablet, metFORMIN hydrochloride 500 mg tablet, metFORMIN hydrochloride 500 mg tablet, metFORMIN hydrochloride 500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gliclazide 60 mg tablet: modified release, vitamin B complex (B1,B6,B12) 100,200,0.2 mg Film coated tablets [oral], metFORMIN hydrochloride 500 mg tablet, gliclazide 60 mg tablet: modified release, vitamin B complex (B1,B6,B12) 100,200,0.2 mg Film coated tablets [oral], metFORMIN hydrochloride 500 mg tablet, gliclazide 60 mg tablet: modified release, vitamin B complex (B1,B6,B12) 100,200,0.2 mg Film coated tablets [oral], metFORMIN hydrochloride 500 mg tablet, gliclazide 60 mg tablet: modified release, vitamin B complex (B1,B6,B12) 100,200,0.2 mg Film coated tablets [oral], metFORMIN hydrochloride 500 mg tablet, gliclazide 60 mg tablet: modified release, vitamin B complex (B1,B6,B12) 100,200,0.2 mg Film coated tablets [oral], metFORMIN hydrochloride 500 mg tablet, gliclazide 60 mg tablet: modified release, empagliflozin 25 mg tablet, SITagliptin 100 mg tablet, empagliflozin 25 mg tablet, SITagliptin 100 mg tablet, empagliflozin 25 mg tablet, SITagliptin 100 mg tablet, empagliflozin 25 mg tablet, SITagliptin 100 mg tablet, empagliflozin 25 mg tablet, SITagliptin 100 mg tablet, empagliflozin 25 mg tablet, SITagliptin 100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gliclazide 60 mg tablet: modified release, SITagliptin 100 mg tablet, gliclazide 60 mg tablet: modified release, SITagliptin 100 mg tablet, gliclazide 60 mg tablet: modified release, SITagliptin 100 mg tablet, gliclazide 60 mg tablet: modified release, SITagliptin 100 mg tablet, gliclazide 60 mg tablet: modified release, SITagliptin 100 mg tablet, gliclazide 60 mg tablet: modified release, SITagliptin 100 mg tablet, empagliflozin 25 mg tablet, empagliflozin 25 mg tablet, empagliflozin 25 mg tablet, empagliflozin 25 mg tablet, empagliflozin 25 mg tablet, empagliflozin 25 mg tablet, empagliflozin 25 mg tablet, SITagliptin 100 mg tablet, empagliflozin 25 mg tablet, SITagliptin 100 mg tablet, empagliflozin 25 mg tablet, SITagliptin 100 mg tablet, empagliflozin 25 mg tablet, SITagliptin 100 mg tablet, empagliflozin 25 mg tablet, SITagliptin 100 mg tablet, empagliflozin 25 mg tablet, SITagliptin 100 mg tablet,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gliclazide 60 mg tablet: modified release, empagliflozin 25 mg tablet, empagliflozin 25 mg tablet, empagliflozin 25 mg tablet, empagliflozin 25 mg tablet, empagliflozin 25 mg tablet, empagliflozin 25 mg tablet</t>
  </si>
  <si>
    <t>اكرم سعد عرابي الحربي</t>
  </si>
  <si>
    <t>atorvastatin, indapamide, valsartan</t>
  </si>
  <si>
    <t>atorvastatin 20 mg tablet, atorvastatin 20 mg tablet, indapamide 1.5 mg tablet: modified release, indapamide 1.5 mg tablet: modified release, valsartan 80 mg tablet, valsartan 80 mg tablet, indapamide 1.5 mg tablet: modified release, indapamide 1.5 mg tablet: modified release, atorvastatin 20 mg tablet, atorvastatin 20 mg tablet, valsartan 80 mg tablet, valsartan 80 mg tablet, atorvastatin 20 mg tablet, atorvastatin 20 mg tablet, valsartan 80 mg tablet, valsartan 80 mg tablet, indapamide 1.5 mg tablet: modified release, indapamide 1.5 mg tablet: modified release</t>
  </si>
  <si>
    <t>ايمان يحي علي الحجازي</t>
  </si>
  <si>
    <t>atorvastatin, mebeverine hydrochloride, mometasone furoate, fusidic acid</t>
  </si>
  <si>
    <t>atorvastatin 10 mg tablet, atorvastatin 10 mg tablet, atorvastatin 10 mg tablet, atorvastatin 10 mg tablet, mebeverine hydrochloride 200 mg capsule: modified release, mebeverine hydrochloride 200 mg capsule: modified release, mebeverine hydrochloride 200 mg capsule: modified release, mebeverine hydrochloride 200 mg capsule: modified release, mometasone furoate 0.1% (1 mg/g) cream, fusidic acid 2% (20 mg/g) cream, mometasone furoate 0.1% (1 mg/g) cream, fusidic acid 2% (20 mg/g) cream, mometasone furoate 0.1% (1 mg/g) cream, fusidic acid 2% (20 mg/g) cream, mometasone furoate 0.1% (1 mg/g) cream, fusidic acid 2% (20 mg/g) cream, fusidic acid 2% (20 mg/g) cream, atorvastatin 10 mg tablet, mometasone furoate 0.1% (1 mg/g) cream, mebeverine hydrochloride 200 mg capsule: modified release, fusidic acid 2% (20 mg/g) cream, atorvastatin 10 mg tablet, mometasone furoate 0.1% (1 mg/g) cream, mebeverine hydrochloride 200 mg capsule: modified release, fusidic acid 2% (20 mg/g) cream, atorvastatin 10 mg tablet, mometasone furoate 0.1% (1 mg/g) cream, mebeverine hydrochloride 200 mg capsule: modified release, fusidic acid 2% (20 mg/g) cream, atorvastatin 10 mg tablet, mometasone furoate 0.1% (1 mg/g) cream, mebeverine hydrochloride 200 mg capsule: modified release, mometasone furoate 0.1% (1 mg/g) cream, mometasone furoate 0.1% (1 mg/g) cream, mometasone furoate 0.1% (1 mg/g) cream, mometasone furoate 0.1% (1 mg/g) cream, mebeverine hydrochloride 200 mg capsule: modified release, fusidic acid 2% (20 mg/g) cream, mebeverine hydrochloride 200 mg capsule: modified release, fusidic acid 2% (20 mg/g) cream, mebeverine hydrochloride 200 mg capsule: modified release, fusidic acid 2% (20 mg/g) cream, mebeverine hydrochloride 200 mg capsule: modified release, fusidic acid 2% (20 mg/g) cream, atorvastatin 10 mg tablet, atorvastatin 10 mg tablet, atorvastatin 10 mg tablet, atorvastatin 10 mg tablet</t>
  </si>
  <si>
    <t>مريم بنت سعيد بن على سيف</t>
  </si>
  <si>
    <t>paracetamol, montelukast, amoxicillin, dextromethorphan hydrobromide, cetirizine hydrochloride</t>
  </si>
  <si>
    <t>paracetamol 500 mg + codeine phosphate 8 mg + caffeine 30 mg tablet, montelukast 10 mg tablet, paracetamol 500 mg + codeine phosphate 8 mg + caffeine 30 mg tablet, montelukast 10 mg tablet, paracetamol 500 mg + codeine phosphate 8 mg + caffeine 30 mg tablet, montelukast 10 mg tablet, paracetamol 500 mg + codeine phosphate 8 mg + caffeine 30 mg tablet, montelukast 10 mg tablet, paracetamol 500 mg + codeine phosphate 8 mg + caffeine 30 mg tablet, montelukast 10 mg tablet, paracetamol 500 mg + codeine phosphate 8 mg + caffeine 30 mg tablet, montelukast 10 mg tablet, paracetamol 500 mg + codeine phosphate 8 mg + caffeine 30 mg tablet, montelukast 10 mg tablet, amoxicillin 500 mg + clavulanic acid 125 mg tablet, dextromethorphan hydrobromide 15 mg/5 mL oral liquid, cetirizine hydrochloride 10 mg tablet, amoxicillin 500 mg + clavulanic acid 125 mg tablet, dextromethorphan hydrobromide 15 mg/5 mL oral liquid, cetirizine hydrochloride 10 mg tablet, amoxicillin 500 mg + clavulanic acid 125 mg tablet, dextromethorphan hydrobromide 15 mg/5 mL oral liquid, cetirizine hydrochloride 10 mg tablet, amoxicillin 500 mg + clavulanic acid 125 mg tablet, dextromethorphan hydrobromide 15 mg/5 mL oral liquid, cetirizine hydrochloride 10 mg tablet, amoxicillin 500 mg + clavulanic acid 125 mg tablet, dextromethorphan hydrobromide 15 mg/5 mL oral liquid, cetirizine hydrochloride 10 mg tablet, amoxicillin 500 mg + clavulanic acid 125 mg tablet, dextromethorphan hydrobromide 15 mg/5 mL oral liquid, cetirizine hydrochloride 10 mg tablet, amoxicillin 500 mg + clavulanic acid 125 mg tablet, dextromethorphan hydrobromide 15 mg/5 mL oral liquid, cetirizine hydrochloride 10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cetirizine hydrochloride 10 mg tablet, cetirizine hydrochloride 10 mg tablet, cetirizine hydrochloride 10 mg tablet, cetirizine hydrochloride 10 mg tablet, cetirizine hydrochloride 10 mg tablet, cetirizine hydrochloride 10 mg tablet, cetirizine hydrochloride 10 mg tablet, montelukast 10 mg tablet, montelukast 10 mg tablet, montelukast 10 mg tablet, montelukast 10 mg tablet, montelukast 10 mg tablet, montelukast 10 mg tablet, montelukast 10 mg tablet, amoxicillin 500 mg + clavulanic acid 125 mg tablet, dextromethorphan hydrobromide 15 mg/5 mL oral liquid, amoxicillin 500 mg + clavulanic acid 125 mg tablet, dextromethorphan hydrobromide 15 mg/5 mL oral liquid, amoxicillin 500 mg + clavulanic acid 125 mg tablet, dextromethorphan hydrobromide 15 mg/5 mL oral liquid, amoxicillin 500 mg + clavulanic acid 125 mg tablet, dextromethorphan hydrobromide 15 mg/5 mL oral liquid, amoxicillin 500 mg + clavulanic acid 125 mg tablet, dextromethorphan hydrobromide 15 mg/5 mL oral liquid, amoxicillin 500 mg + clavulanic acid 125 mg tablet, dextromethorphan hydrobromide 15 mg/5 mL oral liquid, amoxicillin 500 mg + clavulanic acid 125 mg tablet,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montelukast 10 mg tablet, montelukast 10 mg tablet, montelukast 10 mg tablet, montelukast 10 mg tablet, montelukast 10 mg tablet, montelukast 10 mg tablet, montelukast 10 mg tablet, paracetamol 500 mg + codeine phosphate 8 mg + caffeine 30 mg tablet, amoxicillin 500 mg + clavulanic acid 125 mg tablet, cetirizine hydrochloride 10 mg tablet, paracetamol 500 mg + codeine phosphate 8 mg + caffeine 30 mg tablet, amoxicillin 500 mg + clavulanic acid 125 mg tablet, cetirizine hydrochloride 10 mg tablet, paracetamol 500 mg + codeine phosphate 8 mg + caffeine 30 mg tablet, amoxicillin 500 mg + clavulanic acid 125 mg tablet, cetirizine hydrochloride 10 mg tablet, paracetamol 500 mg + codeine phosphate 8 mg + caffeine 30 mg tablet, amoxicillin 500 mg + clavulanic acid 125 mg tablet, cetirizine hydrochloride 10 mg tablet, paracetamol 500 mg + codeine phosphate 8 mg + caffeine 30 mg tablet, amoxicillin 500 mg + clavulanic acid 125 mg tablet, cetirizine hydrochloride 10 mg tablet, paracetamol 500 mg + codeine phosphate 8 mg + caffeine 30 mg tablet, amoxicillin 500 mg + clavulanic acid 125 mg tablet, cetirizine hydrochloride 10 mg tablet, paracetamol 500 mg + codeine phosphate 8 mg + caffeine 30 mg tablet, amoxicillin 500 mg + clavulanic acid 125 mg tablet, cetirizine hydrochloride 10 mg tablet,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amoxicillin 500 mg + clavulanic acid 125 mg tablet, cetirizine hydrochloride 10 mg tablet, amoxicillin 500 mg + clavulanic acid 125 mg tablet, cetirizine hydrochloride 10 mg tablet, amoxicillin 500 mg + clavulanic acid 125 mg tablet, cetirizine hydrochloride 10 mg tablet, amoxicillin 500 mg + clavulanic acid 125 mg tablet, cetirizine hydrochloride 10 mg tablet, amoxicillin 500 mg + clavulanic acid 125 mg tablet, cetirizine hydrochloride 10 mg tablet, amoxicillin 500 mg + clavulanic acid 125 mg tablet, cetirizine hydrochloride 10 mg tablet, amoxicillin 500 mg + clavulanic acid 125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dextromethorphan hydrobromide 15 mg/5 mL oral liquid,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montelukast 10 mg tablet, amoxicillin 500 mg + clavulanic acid 125 mg tablet, montelukast 10 mg tablet, amoxicillin 500 mg + clavulanic acid 125 mg tablet, montelukast 10 mg tablet, amoxicillin 500 mg + clavulanic acid 125 mg tablet, montelukast 10 mg tablet, amoxicillin 500 mg + clavulanic acid 125 mg tablet, montelukast 10 mg tablet, amoxicillin 500 mg + clavulanic acid 125 mg tablet, montelukast 10 mg tablet, amoxicillin 500 mg + clavulanic acid 125 mg tablet, montelukast 10 mg tablet, amoxicillin 500 mg + clavulanic acid 125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 amoxicillin 500 mg + clavulanic acid 125 mg tablet</t>
  </si>
  <si>
    <t>تركى عبدالله بن عوض الحازمى</t>
  </si>
  <si>
    <t>atorvastatin 10 mg tablet, atorvastatin 10 mg tablet, atorvastatin 10 mg tablet, atorvastatin 10 mg tablet, atorvastatin 10 mg tablet, atorvastatin 10 mg tablet, atorvastatin 10 mg tablet, atorvastatin 10 mg tablet, atorvastatin 10 mg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atorvastatin 10 mg tablet, colecalciferol 50 000 international units tablet, atorvastatin 10 mg tablet, colecalciferol 50 000 international units tablet, atorvastatin 10 mg tablet, colecalciferol 50 000 international units tablet, atorvastatin 10 mg tablet, colecalciferol 50 000 international units tablet, atorvastatin 10 mg tablet, colecalciferol 50 000 international units tablet, atorvastatin 10 mg tablet, colecalciferol 50 000 international units tablet, atorvastatin 10 mg tablet, colecalciferol 50 000 international units tablet, atorvastatin 10 mg tablet, colecalciferol 50 000 international units tablet, atorvastatin 10 mg tablet, atorvastatin 10 mg tablet, atorvastatin 10 mg tablet, atorvastatin 10 mg tablet, atorvastatin 10 mg tablet, atorvastatin 10 mg tablet, atorvastatin 10 mg tablet, atorvastatin 10 mg tablet, atorvastatin 10 mg tablet, atorvastatin 10 mg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atorvastatin 10 mg tablet, atorvastatin 10 mg tablet, atorvastatin 10 mg tablet, atorvastatin 10 mg tablet, atorvastatin 10 mg tablet, atorvastatin 10 mg tablet, atorvastatin 10 mg tablet, atorvastatin 10 mg tablet, atorvastatin 10 mg tablet</t>
  </si>
  <si>
    <t>فاطمه بنت احمد بن شوعي أبوعلي</t>
  </si>
  <si>
    <t>فوزيه بنيه بن عبدالله المولد</t>
  </si>
  <si>
    <t>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t>
  </si>
  <si>
    <t>عائشه حسن احمد الحربي</t>
  </si>
  <si>
    <t>indapamide, omeprazole, atorvastatin, linagliptin, amLODIPine, valsartan, SITagliptin</t>
  </si>
  <si>
    <t>indapamide 1.5 mg tablet: modified release, indapamide 1.5 mg tablet: modified release, omeprazole 20 mg tablet: enteric coated, atorvastatin 10 mg tablet, omeprazole 20 mg tablet: enteric coated, atorvastatin 10 mg tablet, linagliptin 5 mg tablet, amLODIPine 10 mg capsule, valsartan 80 mg tablet, SITagliptin 100 mg tablet, linagliptin 5 mg tablet, amLODIPine 10 mg capsule, valsartan 80 mg tablet, SITagliptin 100 mg tablet, SITagliptin 100 mg tablet, linagliptin 5 mg tablet, SITagliptin 100 mg tablet, linagliptin 5 mg tablet, amLODIPine 10 mg capsule, atorvastatin 10 mg tablet, amLODIPine 10 mg capsule, atorvastatin 10 mg tablet, indapamide 1.5 mg tablet: modified release, omeprazole 20 mg tablet: enteric coated, indapamide 1.5 mg tablet: modified release, omeprazole 20 mg tablet: enteric coated, valsartan 80 mg tablet, valsartan 80 mg tablet</t>
  </si>
  <si>
    <t>رحاب احمد بن غنايم الصاعدي</t>
  </si>
  <si>
    <t>chlorzoxazone, ibuprofen, diclofenac sodium</t>
  </si>
  <si>
    <t>chlorzoxazone 250 mg + paracetamol 300 mg capsule, ibuprofen 400 mg tablet, diclofenac sodium 1% (10 mg/g) gel, chlorzoxazone 250 mg + paracetamol 300 mg capsule, ibuprofen 400 mg tablet, diclofenac sodium 1% (10 mg/g) gel, chlorzoxazone 250 mg + paracetamol 300 mg capsule, ibuprofen 400 mg tablet, diclofenac sodium 1% (10 mg/g) gel, chlorzoxazone 250 mg + paracetamol 300 mg capsule, ibuprofen 400 mg tablet, diclofenac sodium 1% (10 mg/g) gel, chlorzoxazone 250 mg + paracetamol 300 mg capsule, ibuprofen 400 mg tablet, diclofenac sodium 1% (10 mg/g) gel, chlorzoxazone 250 mg + paracetamol 300 mg capsule, ibuprofen 400 mg tablet, diclofenac sodium 1% (10 mg/g) gel, ibuprofen 400 mg tablet, ibuprofen 400 mg tablet, ibuprofen 400 mg tablet, chlorzoxazone 250 mg + paracetamol 300 mg capsule, diclofenac sodium 1% (10 mg/g) gel, chlorzoxazone 250 mg + paracetamol 300 mg capsule, diclofenac sodium 1% (10 mg/g) gel, chlorzoxazone 250 mg + paracetamol 300 mg capsule, diclofenac sodium 1% (10 mg/g) gel</t>
  </si>
  <si>
    <t>مشعل محمد الشمراني</t>
  </si>
  <si>
    <t>احمد ذائب بن خلف العتيبي</t>
  </si>
  <si>
    <t>ofloxacin, valsartan</t>
  </si>
  <si>
    <t>ofloxacin 0.3% (3 mg/mL) eye drops, ofloxacin 0.3% (3 mg/mL) eye drops, ofloxacin 0.3% (3 mg/mL) eye drops, ofloxacin 0.3% (3 mg/mL) eye drops, ofloxacin 0.3% (3 mg/mL) eye drops, ofloxacin 0.3% (3 mg/mL) eye drops, valsartan 80 mg tablet, valsartan 80 mg tablet, valsartan 80 mg tablet, valsartan 80 mg tablet, valsartan 80 mg tablet, valsartan 80 mg tablet, valsartan 80 mg tablet, valsartan 80 mg tablet, valsartan 80 mg tablet, valsartan 80 mg tablet, valsartan 80 mg tablet, valsartan 80 mg tablet, ofloxacin 0.3% (3 mg/mL) eye drops, ofloxacin 0.3% (3 mg/mL) eye drops, ofloxacin 0.3% (3 mg/mL) eye drops, ofloxacin 0.3% (3 mg/mL) eye drops, ofloxacin 0.3% (3 mg/mL) eye drops, ofloxacin 0.3% (3 mg/mL) eye drops, valsartan 80 mg tablet, valsartan 80 mg tablet, valsartan 80 mg tablet, valsartan 80 mg tablet, valsartan 80 mg tablet, valsartan 80 mg tablet, ofloxacin 0.3% (3 mg/mL) eye drops, ofloxacin 0.3% (3 mg/mL) eye drops, ofloxacin 0.3% (3 mg/mL) eye drops, ofloxacin 0.3% (3 mg/mL) eye drops, ofloxacin 0.3% (3 mg/mL) eye drops, ofloxacin 0.3% (3 mg/mL) eye drops, valsartan 80 mg tablet, ofloxacin 0.3% (3 mg/mL) eye drops, valsartan 80 mg tablet, ofloxacin 0.3% (3 mg/mL) eye drops, valsartan 80 mg tablet, ofloxacin 0.3% (3 mg/mL) eye drops, valsartan 80 mg tablet, ofloxacin 0.3% (3 mg/mL) eye drops, valsartan 80 mg tablet, ofloxacin 0.3% (3 mg/mL) eye drops, valsartan 80 mg tablet, ofloxacin 0.3% (3 mg/mL) eye drops, valsartan 80 mg tablet, valsartan 80 mg tablet, valsartan 80 mg tablet, valsartan 80 mg tablet, valsartan 80 mg tablet, valsartan 80 mg tablet, ofloxacin 0.3% (3 mg/mL) eye drops, ofloxacin 0.3% (3 mg/mL) eye drops, ofloxacin 0.3% (3 mg/mL) eye drops, ofloxacin 0.3% (3 mg/mL) eye drops, ofloxacin 0.3% (3 mg/mL) eye drops, ofloxacin 0.3% (3 mg/mL) eye drops, ofloxacin 0.3% (3 mg/mL) eye drops, valsartan 80 mg tablet, ofloxacin 0.3% (3 mg/mL) eye drops, valsartan 80 mg tablet, ofloxacin 0.3% (3 mg/mL) eye drops, valsartan 80 mg tablet, ofloxacin 0.3% (3 mg/mL) eye drops, valsartan 80 mg tablet, ofloxacin 0.3% (3 mg/mL) eye drops, valsartan 80 mg tablet, ofloxacin 0.3% (3 mg/mL) eye drops, valsartan 80 mg tablet, valsartan 80 mg tablet, valsartan 80 mg tablet, valsartan 80 mg tablet, valsartan 80 mg tablet, valsartan 80 mg tablet, valsartan 80 mg tablet, ofloxacin 0.3% (3 mg/mL) eye drops, ofloxacin 0.3% (3 mg/mL) eye drops, ofloxacin 0.3% (3 mg/mL) eye drops, ofloxacin 0.3% (3 mg/mL) eye drops, ofloxacin 0.3% (3 mg/mL) eye drops, ofloxacin 0.3% (3 mg/mL) eye drops</t>
  </si>
  <si>
    <t>فاطمه بنت عبدالعزيز بن يوسف ابوزيد</t>
  </si>
  <si>
    <t>empagliflozin, vitamin B complex (B, B, vitamins (A, C, D, colecalciferol, celecoxib</t>
  </si>
  <si>
    <t>empagliflozin 25 mg tablet, vitamin B complex (B1,B6,B12) 100,200,0.2 mg Film coated tablets [oral], vitamins (A, B1, B2, B3, C, D3) tablet, colecalciferol 50 000 international units tablet, empagliflozin 25 mg tablet, vitamin B complex (B1,B6,B12) 100,200,0.2 mg Film coated tablets [oral], vitamins (A, B1, B2, B3, C, D3) tablet, colecalciferol 50 000 international units tablet, empagliflozin 25 mg tablet, vitamin B complex (B1,B6,B12) 100,200,0.2 mg Film coated tablets [oral], vitamins (A, B1, B2, B3, C, D3) tablet, colecalciferol 50 000 international units tablet, empagliflozin 25 mg tablet, vitamin B complex (B1,B6,B12) 100,200,0.2 mg Film coated tablets [oral], vitamins (A, B1, B2, B3, C, D3) tablet, colecalciferol 50 000 international units tablet, empagliflozin 25 mg tablet, vitamin B complex (B1,B6,B12) 100,200,0.2 mg Film coated tablets [oral], vitamins (A, B1, B2, B3, C, D3) tablet, colecalciferol 50 000 international units tablet, empagliflozin 25 mg tablet, vitamin B complex (B1,B6,B12) 100,200,0.2 mg Film coated tablets [oral], vitamins (A, B1, B2, B3, C, D3) tablet, colecalciferol 50 000 international units tablet, empagliflozin 25 mg tablet, vitamin B complex (B1,B6,B12) 100,200,0.2 mg Film coated tablets [oral], vitamins (A, B1, B2, B3, C, D3) tablet, colecalciferol 50 000 international units tablet, empagliflozin 25 mg tablet, vitamin B complex (B1,B6,B12) 100,200,0.2 mg Film coated tablets [oral], vitamins (A, B1, B2, B3, C, D3) tablet, colecalciferol 50 000 international units tablet, empagliflozin 25 mg tablet, vitamin B complex (B1,B6,B12) 100,200,0.2 mg Film coated tablets [oral], vitamins (A, B1, B2, B3, C, D3) tablet, colecalciferol 50 000 international units tablet, celecoxib 200 mg capsule, celecoxib 200 mg capsule, celecoxib 200 mg capsule, celecoxib 200 mg capsule, celecoxib 200 mg capsule, celecoxib 200 mg capsule, celecoxib 200 mg capsule, celecoxib 200 mg capsule, celecoxib 200 mg capsule, colecalciferol 50 000 international units tablet, celecoxib 200 mg capsule, vitamin B complex (B1,B6,B12) 100,200,0.2 mg Film coated tablets [oral], vitamins (A, B1, B2, B3, C, D3) tablet, empagliflozin 25 mg tablet, colecalciferol 50 000 international units tablet, celecoxib 200 mg capsule, vitamin B complex (B1,B6,B12) 100,200,0.2 mg Film coated tablets [oral], vitamins (A, B1, B2, B3, C, D3) tablet, empagliflozin 25 mg tablet, colecalciferol 50 000 international units tablet, celecoxib 200 mg capsule, vitamin B complex (B1,B6,B12) 100,200,0.2 mg Film coated tablets [oral], vitamins (A, B1, B2, B3, C, D3) tablet, empagliflozin 25 mg tablet, colecalciferol 50 000 international units tablet, celecoxib 200 mg capsule, vitamin B complex (B1,B6,B12) 100,200,0.2 mg Film coated tablets [oral], vitamins (A, B1, B2, B3, C, D3) tablet, empagliflozin 25 mg tablet, colecalciferol 50 000 international units tablet, celecoxib 200 mg capsule, vitamin B complex (B1,B6,B12) 100,200,0.2 mg Film coated tablets [oral], vitamins (A, B1, B2, B3, C, D3) tablet, empagliflozin 25 mg tablet, colecalciferol 50 000 international units tablet, celecoxib 200 mg capsule, vitamin B complex (B1,B6,B12) 100,200,0.2 mg Film coated tablets [oral], vitamins (A, B1, B2, B3, C, D3) tablet, empagliflozin 25 mg tablet, colecalciferol 50 000 international units tablet, celecoxib 200 mg capsule, vitamin B complex (B1,B6,B12) 100,200,0.2 mg Film coated tablets [oral], vitamins (A, B1, B2, B3, C, D3) tablet, empagliflozin 25 mg tablet, colecalciferol 50 000 international units tablet, celecoxib 200 mg capsule, vitamin B complex (B1,B6,B12) 100,200,0.2 mg Film coated tablets [oral], vitamins (A, B1, B2, B3, C, D3) tablet, empagliflozin 25 mg tablet, colecalciferol 50 000 international units tablet, celecoxib 200 mg capsule, vitamin B complex (B1,B6,B12) 100,200,0.2 mg Film coated tablets [oral], vitamins (A, B1, B2, B3, C, D3) tablet, empagliflozin 25 mg tablet, empagliflozin 25 mg tablet, empagliflozin 25 mg tablet, empagliflozin 25 mg tablet, empagliflozin 25 mg tablet, empagliflozin 25 mg tablet, empagliflozin 25 mg tablet, empagliflozin 25 mg tablet, empagliflozin 25 mg tablet, empagliflozin 25 mg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celecoxib 200 mg capsule, vitamin B complex (B1,B6,B12) 100,200,0.2 mg Film coated tablets [oral], celecoxib 200 mg capsule, vitamin B complex (B1,B6,B12) 100,200,0.2 mg Film coated tablets [oral], celecoxib 200 mg capsule, vitamin B complex (B1,B6,B12) 100,200,0.2 mg Film coated tablets [oral], celecoxib 200 mg capsule, vitamin B complex (B1,B6,B12) 100,200,0.2 mg Film coated tablets [oral], celecoxib 200 mg capsule, vitamin B complex (B1,B6,B12) 100,200,0.2 mg Film coated tablets [oral], celecoxib 200 mg capsule, vitamin B complex (B1,B6,B12) 100,200,0.2 mg Film coated tablets [oral], celecoxib 200 mg capsule, vitamin B complex (B1,B6,B12) 100,200,0.2 mg Film coated tablets [oral], celecoxib 200 mg capsule, vitamin B complex (B1,B6,B12) 100,200,0.2 mg Film coated tablets [oral], celecoxib 200 mg capsule, vitamin B complex (B1,B6,B12) 100,200,0.2 mg Film coated tablets [oral], empagliflozin 25 mg tablet, empagliflozin 25 mg tablet, empagliflozin 25 mg tablet, empagliflozin 25 mg tablet, empagliflozin 25 mg tablet, empagliflozin 25 mg tablet, empagliflozin 25 mg tablet, empagliflozin 25 mg tablet, empagliflozin 25 mg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vitamin B complex (B1,B6,B12) 100,200,0.2 mg Film coated tablets [oral], vitamins (A, B1, B2, B3, C, D3) tablet, vitamin B complex (B1,B6,B12) 100,200,0.2 mg Film coated tablets [oral], vitamins (A, B1, B2, B3, C, D3) tablet, vitamin B complex (B1,B6,B12) 100,200,0.2 mg Film coated tablets [oral], vitamins (A, B1, B2, B3, C, D3) tablet, vitamin B complex (B1,B6,B12) 100,200,0.2 mg Film coated tablets [oral], vitamins (A, B1, B2, B3, C, D3) tablet, vitamin B complex (B1,B6,B12) 100,200,0.2 mg Film coated tablets [oral], vitamins (A, B1, B2, B3, C, D3) tablet, vitamin B complex (B1,B6,B12) 100,200,0.2 mg Film coated tablets [oral], vitamins (A, B1, B2, B3, C, D3) tablet, vitamin B complex (B1,B6,B12) 100,200,0.2 mg Film coated tablets [oral], vitamins (A, B1, B2, B3, C, D3) tablet, vitamin B complex (B1,B6,B12) 100,200,0.2 mg Film coated tablets [oral], vitamins (A, B1, B2, B3, C, D3) tablet, vitamin B complex (B1,B6,B12) 100,200,0.2 mg Film coated tablets [oral],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vitamins (A, B1, B2, B3, C, D3) tablet, vitamin B complex (B1,B6,B12) 100,200,0.2 mg Film coated tablets [oral], colecalciferol 50 000 international units tablet, vitamin B complex (B1,B6,B12) 100,200,0.2 mg Film coated tablets [oral], colecalciferol 50 000 international units tablet, vitamin B complex (B1,B6,B12) 100,200,0.2 mg Film coated tablets [oral], colecalciferol 50 000 international units tablet, vitamin B complex (B1,B6,B12) 100,200,0.2 mg Film coated tablets [oral], colecalciferol 50 000 international units tablet, vitamin B complex (B1,B6,B12) 100,200,0.2 mg Film coated tablets [oral], colecalciferol 50 000 international units tablet, vitamin B complex (B1,B6,B12) 100,200,0.2 mg Film coated tablets [oral], colecalciferol 50 000 international units tablet, vitamin B complex (B1,B6,B12) 100,200,0.2 mg Film coated tablets [oral], colecalciferol 50 000 international units tablet, vitamin B complex (B1,B6,B12) 100,200,0.2 mg Film coated tablets [oral], colecalciferol 50 000 international units tablet, vitamin B complex (B1,B6,B12) 100,200,0.2 mg Film coated tablets [oral], colecalciferol 50 000 international units tablet</t>
  </si>
  <si>
    <t>مها طلق سعد العصيمي</t>
  </si>
  <si>
    <t>betahistine dihydrochloride 16 mg tablet, betahistine dihydrochloride 16 mg tablet, betahistine dihydrochloride 16 mg tablet, betahistine dihydrochloride 16 mg tablet, betahistine dihydrochloride 16 mg tablet, betahistine dihydrochloride 16 mg tablet, betahistine dihydrochloride 16 mg tablet, betahistine dihydrochloride 16 mg tablet, betahistine dihydrochloride 16 mg tablet, betahistine dihydrochloride 16 mg tablet, betahistine dihydrochloride 16 mg tablet, betahistine dihydrochloride 16 mg tablet, betahistine dihydrochloride 16 mg tablet, betahistine dihydrochloride 16 mg tablet, betahistine dihydrochloride 16 mg tablet, betahistine dihydrochloride 16 mg tablet, betahistine dihydrochloride 16 mg tablet, betahistine dihydrochloride 16 mg tablet, betahistine dihydrochloride 16 mg tablet, betahistine dihydrochloride 16 mg tablet, betahistine dihydrochloride 16 mg tablet, betahistine dihydrochloride 16 mg tablet, betahistine dihydrochloride 16 mg tablet, betahistine dihydrochloride 16 mg tablet, betahistine dihydrochloride 16 mg tablet, betahistine dihydrochloride 16 mg tablet, betahistine dihydrochloride 16 mg tablet, betahistine dihydrochloride 16 mg tablet, betahistine dihydrochloride 16 mg tablet, betahistine dihydrochloride 16 mg tablet</t>
  </si>
  <si>
    <t>فاطمه ابراهيم محمد الحماد</t>
  </si>
  <si>
    <t>metFORMIN hydrochloride, carbomer, hydroCHLOROthiazide, valsartan</t>
  </si>
  <si>
    <t>metFORMIN hydrochloride 500 mg tablet, metFORMIN hydrochloride 500 mg tablet, carbomer 0.2% (2 mg/g) eye gel, hydroCHLOROthiazide 25 mg tablet: scored, carbomer 0.2% (2 mg/g) eye gel, hydroCHLOROthiazide 25 mg tablet: scored, valsartan 80 mg tablet, valsartan 80 mg tablet, hydroCHLOROthiazide 25 mg tablet: scored, hydroCHLOROthiazide 25 mg tablet: scored, carbomer 0.2% (2 mg/g) eye gel, valsartan 80 mg tablet, carbomer 0.2% (2 mg/g) eye gel, valsartan 80 mg tablet, metFORMIN hydrochloride 500 mg tablet, metFORMIN hydrochloride 500 mg tablet, hydroCHLOROthiazide 25 mg tablet: scored, hydroCHLOROthiazide 25 mg tablet: scored, carbomer 0.2% (2 mg/g) eye gel, carbomer 0.2% (2 mg/g) eye gel, valsartan 80 mg tablet, valsartan 80 mg tablet, metFORMIN hydrochloride 500 mg tablet, metFORMIN hydrochloride 500 mg tablet</t>
  </si>
  <si>
    <t>عائشه ضيف الله سويلم العتيبي</t>
  </si>
  <si>
    <t>rosuvastatin, levothyroxine sodium, metFORMIN hydrochloride</t>
  </si>
  <si>
    <t>rosuvastatin 20 mg tablet, rosuvastatin 20 mg tablet, rosuvastatin 20 mg tablet, rosuvastatin 20 mg tablet, rosuvastatin 20 mg tablet, rosuvastatin 20 mg tablet, levothyroxine sodium 50 microgram tablet, levothyroxine sodium 50 microgram tablet, levothyroxine sodium 50 microgram tablet, levothyroxine sodium 50 microgram tablet, levothyroxine sodium 50 microgram tablet, levothyroxine sodium 50 microgram tablet, metFORMIN hydrochloride 500 mg tablet, metFORMIN hydrochloride 500 mg tablet, metFORMIN hydrochloride 500 mg tablet, metFORMIN hydrochloride 500 mg tablet, metFORMIN hydrochloride 500 mg tablet, metFORMIN hydrochloride 500 mg tablet, levothyroxine sodium 50 microgram tablet, levothyroxine sodium 50 microgram tablet, levothyroxine sodium 50 microgram tablet, levothyroxine sodium 50 microgram tablet, levothyroxine sodium 50 microgram tablet, levothyroxine sodium 50 microgram tablet, rosuvastatin 20 mg tablet, metFORMIN hydrochloride 500 mg tablet, rosuvastatin 20 mg tablet, metFORMIN hydrochloride 500 mg tablet, rosuvastatin 20 mg tablet, metFORMIN hydrochloride 500 mg tablet, rosuvastatin 20 mg tablet, metFORMIN hydrochloride 500 mg tablet, rosuvastatin 20 mg tablet, metFORMIN hydrochloride 500 mg tablet, rosuvastatin 20 mg tablet, metFORMIN hydrochloride 500 mg tablet, rosuvastatin 20 mg tablet, rosuvastatin 20 mg tablet, rosuvastatin 20 mg tablet, rosuvastatin 20 mg tablet, rosuvastatin 20 mg tablet, rosuvastatin 20 mg tablet, levothyroxine sodium 50 microgram tablet, levothyroxine sodium 50 microgram tablet, levothyroxine sodium 50 microgram tablet, levothyroxine sodium 50 microgram tablet, levothyroxine sodium 50 microgram tablet, levothyroxine sodium 50 microgram tablet, metFORMIN hydrochloride 500 mg tablet, metFORMIN hydrochloride 500 mg tablet, metFORMIN hydrochloride 500 mg tablet, metFORMIN hydrochloride 500 mg tablet, metFORMIN hydrochloride 500 mg tablet, metFORMIN hydrochloride 500 mg tablet, levothyroxine sodium 50 microgram tablet, levothyroxine sodium 50 microgram tablet, levothyroxine sodium 50 microgram tablet, levothyroxine sodium 50 microgram tablet, levothyroxine sodium 50 microgram tablet, levothyroxine sodium 50 microgram tablet, metFORMIN hydrochloride 500 mg tablet, metFORMIN hydrochloride 500 mg tablet, metFORMIN hydrochloride 500 mg tablet, metFORMIN hydrochloride 500 mg tablet, metFORMIN hydrochloride 500 mg tablet, metFORMIN hydrochloride 500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levothyroxine sodium 50 microgram tablet, levothyroxine sodium 50 microgram tablet, levothyroxine sodium 50 microgram tablet, levothyroxine sodium 50 microgram tablet, levothyroxine sodium 50 microgram tablet, levothyroxine sodium 50 microgram tablet, metFORMIN hydrochloride 500 mg tablet, metFORMIN hydrochloride 500 mg tablet, metFORMIN hydrochloride 500 mg tablet, metFORMIN hydrochloride 500 mg tablet, metFORMIN hydrochloride 500 mg tablet, metFORMIN hydrochloride 500 mg tablet, rosuvastatin 20 mg tablet, rosuvastatin 20 mg tablet, rosuvastatin 20 mg tablet, rosuvastatin 20 mg tablet, rosuvastatin 20 mg tablet, rosuvastatin 20 mg tablet, metFORMIN hydrochloride 500 mg tablet, levothyroxine sodium 50 microgram tablet, metFORMIN hydrochloride 500 mg tablet, levothyroxine sodium 50 microgram tablet, metFORMIN hydrochloride 500 mg tablet, levothyroxine sodium 50 microgram tablet, metFORMIN hydrochloride 500 mg tablet, levothyroxine sodium 50 microgram tablet, metFORMIN hydrochloride 500 mg tablet, levothyroxine sodium 50 microgram tablet, metFORMIN hydrochloride 500 mg tablet, levothyroxine sodium 50 microgram tablet, rosuvastatin 20 mg tablet, rosuvastatin 20 mg tablet, rosuvastatin 20 mg tablet, rosuvastatin 20 mg tablet, rosuvastatin 20 mg tablet, rosuvastatin 20 mg tablet, levothyroxine sodium 50 microgram tablet, levothyroxine sodium 50 microgram tablet, levothyroxine sodium 50 microgram tablet, levothyroxine sodium 50 microgram tablet, levothyroxine sodium 50 microgram tablet, levothyroxine sodium 50 microgram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metFORMIN hydrochloride 500 mg tablet, levothyroxine sodium 50 microgram tablet, levothyroxine sodium 50 microgram tablet, levothyroxine sodium 50 microgram tablet, levothyroxine sodium 50 microgram tablet, levothyroxine sodium 50 microgram tablet, levothyroxine sodium 50 microgram tablet, rosuvastatin 20 mg tablet, rosuvastatin 20 mg tablet, rosuvastatin 20 mg tablet, rosuvastatin 20 mg tablet, rosuvastatin 20 mg tablet, rosuvastatin 20 mg tablet, metFORMIN hydrochloride 500 mg tablet, metFORMIN hydrochloride 500 mg tablet, metFORMIN hydrochloride 500 mg tablet, metFORMIN hydrochloride 500 mg tablet, metFORMIN hydrochloride 500 mg tablet, metFORMIN hydrochloride 500 mg tablet</t>
  </si>
  <si>
    <t>نور بنت فالح بن احمد المولد</t>
  </si>
  <si>
    <t>paracetamol, isosorbide dinitrate, gliclazide, metFORMIN hydrochloride, ferrous sulfate, carbomer, perindopril arginine, acetylsalicylic acid</t>
  </si>
  <si>
    <t>paracetamol 500 mg tablet, paracetamol 500 mg tablet, isosorbide dinitrate 20 mg capsule: modified release, gliclazide 60 mg tablet: modified release, isosorbide dinitrate 20 mg capsule: modified release, gliclazide 60 mg tablet: modified release, metFORMIN hydrochloride 500 mg tablet, metFORMIN hydrochloride 500 mg tablet, ferrous sulfate 150 mg + folic acid 500 microgram capsule: modified release, isosorbide dinitrate 20 mg capsule: modified release, ferrous sulfate 150 mg + folic acid 500 microgram capsule: modified release, isosorbide dinitrate 20 mg capsule: modified release, metFORMIN hydrochloride 500 mg tablet, gliclazide 60 mg tablet: modified release, metFORMIN hydrochloride 500 mg tablet, gliclazide 60 mg tablet: modified release, carbomer 0.2% (2 mg/g) eye gel, perindopril arginine 5 mg tablet, carbomer 0.2% (2 mg/g) eye gel, perindopril arginine 5 mg tablet, paracetamol 500 mg tablet, acetylsalicylic acid 100 mg tablet: enteric coated, paracetamol 500 mg tablet, acetylsalicylic acid 100 mg tablet: enteric coated, carbomer 0.2% (2 mg/g) eye gel, carbomer 0.2% (2 mg/g) eye gel, ferrous sulfate 150 mg + folic acid 500 microgram capsule: modified release, metFORMIN hydrochloride 500 mg tablet, isosorbide dinitrate 20 mg capsule: modified release, paracetamol 500 mg tablet, acetylsalicylic acid 100 mg tablet: enteric coated, perindopril arginine 5 mg tablet, gliclazide 60 mg tablet: modified release, ferrous sulfate 150 mg + folic acid 500 microgram capsule: modified release, metFORMIN hydrochloride 500 mg tablet, isosorbide dinitrate 20 mg capsule: modified release, paracetamol 500 mg tablet, acetylsalicylic acid 100 mg tablet: enteric coated, perindopril arginine 5 mg tablet, gliclazide 60 mg tablet: modified release, acetylsalicylic acid 100 mg tablet: enteric coated, acetylsalicylic acid 100 mg tablet: enteric coated, isosorbide dinitrate 20 mg capsule: modified release, isosorbide dinitrate 20 mg capsule: modified release, perindopril arginine 5 mg tablet, metFORMIN hydrochloride 500 mg tablet, ferrous sulfate 150 mg + folic acid 500 microgram capsule: modified release, carbomer 0.2% (2 mg/g) eye gel, paracetamol 500 mg tablet, perindopril arginine 5 mg tablet, metFORMIN hydrochloride 500 mg tablet, ferrous sulfate 150 mg + folic acid 500 microgram capsule: modified release, carbomer 0.2% (2 mg/g) eye gel, paracetamol 500 mg tablet, gliclazide 60 mg tablet: modified release, gliclazide 60 mg tablet: modified release, isosorbide dinitrate 20 mg capsule: modified release, isosorbide dinitrate 20 mg capsule: modified release, paracetamol 500 mg tablet, paracetamol 500 mg tablet</t>
  </si>
  <si>
    <t>مريم محمد محمود احمد</t>
  </si>
  <si>
    <t>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 ferrous sulfate 150 mg + folic acid 500 microgram capsule: modified release</t>
  </si>
  <si>
    <t>أروى علي صالح الغامدي</t>
  </si>
  <si>
    <t>جابر يحي يحي جبلي</t>
  </si>
  <si>
    <t>perindopril arginine 5 mg tablet, perindopril arginine 5 mg tablet, perindopril arginine 5 mg tablet, perindopril arginine 5 mg tablet, perindopril arginine 5 mg tablet, perindopril arginine 5 mg tablet, perindopril arginine 5 mg tablet, perindopril arginine 5 mg tablet, perindopril arginine 5 mg tablet</t>
  </si>
  <si>
    <t>عبدالرحمن سعد عبدالرحمن الزهراني</t>
  </si>
  <si>
    <t>بدريه مبارك سعيد باخشوين</t>
  </si>
  <si>
    <t>فائزه قاسم عبدالباقي باغر</t>
  </si>
  <si>
    <t>perindopril arginine, colecalciferol, empagliflozin, vitamin B complex (B, B, metFORMIN hydrochloride, atorvastatin, omeprazole, Strips (Accu-Check), Insulin Pen Needle</t>
  </si>
  <si>
    <t>perindopril arginine 5 mg tablet, colecalciferol 5000 international units Capsules [oral], empagliflozin 10 mg tablet, perindopril arginine 5 mg tablet, colecalciferol 5000 international units Capsules [oral], empagliflozin 10 mg tablet, vitamin B complex (B1,B6,B12) 100,200,0.2 mg Film coated tablets [oral], metFORMIN hydrochloride 500 mg tablet, vitamin B complex (B1,B6,B12) 100,200,0.2 mg Film coated tablets [oral], metFORMIN hydrochloride 500 mg tablet, atorvastatin 10 mg tablet, omeprazole 20 mg tablet: enteric coated, Strips (Accu-Check) 1 box Strip [n/a], Insulin Pen Needle 4mm Needle [sc], atorvastatin 10 mg tablet, omeprazole 20 mg tablet: enteric coated, Strips (Accu-Check) 1 box Strip [n/a], Insulin Pen Needle 4mm Needle [sc], Lancets (Accu-Check) 1 box Lancets [n/a], insulin aspart 100 international units/mL injection, 3 mL prefilled pen, Lancets (Accu-Check) 1 box Lancets [n/a], insulin aspart 100 international units/mL injection, 3 mL prefilled pen, acetylsalicylic acid 100 mg tablet: enteric coated, acetylsalicylic acid 100 mg tablet: enteric coated, insulin glargine (lantus) 100 international units/mL injection, 3 mL prefilled pen, insulin glargine (lantus) 100 international units/mL injection, 3 mL prefilled pen, Insulin Pen Needle 4mm Needle [sc], Insulin Pen Needle 4mm Needle [sc], omeprazole 20 mg tablet: enteric coated, acetylsalicylic acid 100 mg tablet: enteric coated, empagliflozin 10 mg tablet, omeprazole 20 mg tablet: enteric coated, acetylsalicylic acid 100 mg tablet: enteric coated, empagliflozin 10 mg tablet, Strips (Accu-Check) 1 box Strip [n/a], vitamin B complex (B1,B6,B12) 100,200,0.2 mg Film coated tablets [oral], atorvastatin 10 mg tablet, Strips (Accu-Check) 1 box Strip [n/a], vitamin B complex (B1,B6,B12) 100,200,0.2 mg Film coated tablets [oral], atorvastatin 10 mg tablet, metFORMIN hydrochloride 500 mg tablet, colecalciferol 5000 international units Capsules [oral], Lancets (Accu-Check) 1 box Lancets [n/a], metFORMIN hydrochloride 500 mg tablet, colecalciferol 5000 international units Capsules [oral], Lancets (Accu-Check) 1 box Lancets [n/a], insulin glargine (lantus) 100 international units/mL injection, 3 mL prefilled pen, insulin aspart 100 international units/mL injection, 3 mL prefilled pen, perindopril arginine 5 mg tablet, insulin glargine (lantus) 100 international units/mL injection, 3 mL prefilled pen, insulin aspart 100 international units/mL injection, 3 mL prefilled pen, perindopril arginine 5 mg tablet</t>
  </si>
  <si>
    <t>حسام جميل خنكار</t>
  </si>
  <si>
    <t>سلطان حسن سعيد الزهراني</t>
  </si>
  <si>
    <t>ibuprofen 400 mg tablet, ibuprofen 400 mg tablet, ibuprofen 400 mg tablet, amoxicillin 500 mg capsule, amoxicillin 500 mg capsule, amoxicillin 500 mg capsule, ibuprofen 400 mg tablet, ibuprofen 400 mg tablet, ibuprofen 400 mg tablet, amoxicillin 500 mg capsule, amoxicillin 500 mg capsule, amoxicillin 500 mg capsule</t>
  </si>
  <si>
    <t>صالح علي صالح الغامدي</t>
  </si>
  <si>
    <t>موزه عون الله صميع السلمي</t>
  </si>
  <si>
    <t>Lancets (Accu-Check), Strips (Accu-Check), Glucometer Device (Accu-Chek), empagliflozin, atorvastatin, SITagliptin, metFORMIN hydrochloride</t>
  </si>
  <si>
    <t>Lancets (Accu-Check) 1 box Lancets [n/a], Strips (Accu-Check) 1 box Strip [n/a], Glucometer Device (Accu-Chek) 1 device Device [n/a], Lancets (Accu-Check) 1 box Lancets [n/a], Strips (Accu-Check) 1 box Strip [n/a], Glucometer Device (Accu-Chek) 1 device Device [n/a], Lancets (Accu-Check) 1 box Lancets [n/a], Strips (Accu-Check) 1 box Strip [n/a], Glucometer Device (Accu-Chek) 1 device Device [n/a], empagliflozin 10 mg tablet, empagliflozin 10 mg tablet, empagliflozin 10 mg tablet, atorvastatin 20 mg tablet, atorvastatin 20 mg tablet, atorvastatin 20 mg tablet, SITagliptin 100 mg tablet, metFORMIN hydrochloride 500 mg tablet, SITagliptin 100 mg tablet, metFORMIN hydrochloride 500 mg tablet, SITagliptin 100 mg tablet, metFORMIN hydrochloride 500 mg tablet</t>
  </si>
  <si>
    <t>محمد بن ناصر بن ناصر بن عضرس</t>
  </si>
  <si>
    <t>bisacodyl, empagliflozin, vitamin B complex (B, B, metFORMIN hydrochloride</t>
  </si>
  <si>
    <t>bisacodyl 5 mg tablet: enteric-coated, bisacodyl 5 mg tablet: enteric-coated, bisacodyl 5 mg tablet: enteric-coated, bisacodyl 5 mg tablet: enteric-coated, empagliflozin 25 mg tablet, vitamin B complex (B1,B6,B12) 100,200,0.2 mg Film coated tablets [oral], empagliflozin 25 mg tablet, vitamin B complex (B1,B6,B12) 100,200,0.2 mg Film coated tablets [oral], empagliflozin 25 mg tablet, vitamin B complex (B1,B6,B12) 100,200,0.2 mg Film coated tablets [oral], empagliflozin 25 mg tablet, vitamin B complex (B1,B6,B12) 100,200,0.2 mg Film coated tablets [oral], metFORMIN hydrochloride 750 mg tablet: modified release, metFORMIN hydrochloride 750 mg tablet: modified release, metFORMIN hydrochloride 750 mg tablet: modified release, metFORMIN hydrochloride 750 mg tablet: modified release, empagliflozin 25 mg tablet, empagliflozin 25 mg tablet, empagliflozin 25 mg tablet, empagliflozin 25 mg tablet, vitamin B complex (B1,B6,B12) 100,200,0.2 mg Film coated tablets [oral], vitamin B complex (B1,B6,B12) 100,200,0.2 mg Film coated tablets [oral], vitamin B complex (B1,B6,B12) 100,200,0.2 mg Film coated tablets [oral], vitamin B complex (B1,B6,B12) 100,200,0.2 mg Film coated tablets [oral], metFORMIN hydrochloride 750 mg tablet: modified release, bisacodyl 5 mg tablet: enteric-coated, metFORMIN hydrochloride 750 mg tablet: modified release, bisacodyl 5 mg tablet: enteric-coated, metFORMIN hydrochloride 750 mg tablet: modified release, bisacodyl 5 mg tablet: enteric-coated, metFORMIN hydrochloride 750 mg tablet: modified release, bisacodyl 5 mg tablet: enteric-coated, bisacodyl 5 mg tablet: enteric-coated, bisacodyl 5 mg tablet: enteric-coated, bisacodyl 5 mg tablet: enteric-coated, bisacodyl 5 mg tablet: enteric-coated, empagliflozin 25 mg tablet, metFORMIN hydrochloride 750 mg tablet: modified release, empagliflozin 25 mg tablet, metFORMIN hydrochloride 750 mg tablet: modified release, empagliflozin 25 mg tablet, metFORMIN hydrochloride 750 mg tablet: modified release, empagliflozin 25 mg tablet, metFORMIN hydrochloride 750 mg tablet: modified release, vitamin B complex (B1,B6,B12) 100,200,0.2 mg Film coated tablets [oral], vitamin B complex (B1,B6,B12) 100,200,0.2 mg Film coated tablets [oral], vitamin B complex (B1,B6,B12) 100,200,0.2 mg Film coated tablets [oral], vitamin B complex (B1,B6,B12) 100,200,0.2 mg Film coated tablets [oral]</t>
  </si>
  <si>
    <t>افنان صالح عاشور</t>
  </si>
  <si>
    <t>empagliflozin 10 mg tablet, empagliflozin 10 mg tablet, empagliflozin 10 mg tablet, empagliflozin 10 mg tablet</t>
  </si>
  <si>
    <t>روان حامد الغامدي</t>
  </si>
  <si>
    <t>محمد يوسف ناهس اللهيبي</t>
  </si>
  <si>
    <t>insulin aspart, Lancets (Accu-Check), Strips (Accu-Check), vitamins (A, B, C, D, vitamin B complex (B, insulin glargine, Insulin Pen Needle</t>
  </si>
  <si>
    <t>insulin aspart 100 international units/mL injection, 3 mL prefilled pen, Lancets (Accu-Check) 1 box Lancets [n/a], insulin aspart 100 international units/mL injection, 3 mL prefilled pen, Lancets (Accu-Check) 1 box Lancets [n/a], insulin aspart 100 international units/mL injection, 3 mL prefilled pen, Lancets (Accu-Check) 1 box Lancets [n/a], Strips (Accu-Check) 1 box Strip [n/a], vitamins (A, B1, B2, B3, C, D3) tablet, Strips (Accu-Check) 1 box Strip [n/a], vitamins (A, B1, B2, B3, C, D3) tablet, Strips (Accu-Check) 1 box Strip [n/a], vitamins (A, B1, B2, B3, C, D3) tablet, vitamin B complex (B1,B6,B12) 100,100,0.15 mg Film coated tablets [oral], vitamin B complex (B1,B6,B12) 100,100,0.15 mg Film coated tablets [oral], vitamin B complex (B1,B6,B12) 100,100,0.15 mg Film coated tablets [oral],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Insulin Pen Needle 4mm Needle [sc], insulin aspart 100 international units/mL injection, 3 mL prefilled pen, vitamins (A, B1, B2, B3, C, D3) tablet, insulin aspart 100 international units/mL injection, 3 mL prefilled pen, vitamins (A, B1, B2, B3, C, D3) tablet, insulin aspart 100 international units/mL injection, 3 mL prefilled pen, vitamins (A, B1, B2, B3, C, D3) tablet, Insulin Pen Needle 4mm Needle [sc], Insulin Pen Needle 4mm Needle [sc], Insulin Pen Needle 4mm Needle [sc], Strips (Accu-Check) 1 box Strip [n/a], Strips (Accu-Check) 1 box Strip [n/a], Strips (Accu-Check) 1 box Strip [n/a], Lancets (Accu-Check) 1 box Lancets [n/a], insulin glargine 300 international units/mL injection, 1.5 mL prefilled pen, Lancets (Accu-Check) 1 box Lancets [n/a], insulin glargine 300 international units/mL injection, 1.5 mL prefilled pen, Lancets (Accu-Check) 1 box Lancets [n/a], insulin glargine 300 international units/mL injection, 1.5 mL prefilled pen, vitamin B complex (B1,B6,B12) 100,100,0.15 mg Film coated tablets [oral], vitamin B complex (B1,B6,B12) 100,100,0.15 mg Film coated tablets [oral], vitamin B complex (B1,B6,B12) 100,100,0.15 mg Film coated tablets [oral]</t>
  </si>
  <si>
    <t>ايمان علي محمد الكعيد</t>
  </si>
  <si>
    <t>levothyroxine sodium, atorvastatin, calcium carbonate</t>
  </si>
  <si>
    <t>levothyroxine sodium 25 microgram tablet, levothyroxine sodium 25 microgram tablet, levothyroxine sodium 25 microgram tablet, levothyroxine sodium 50 microgram tablet, atorvastatin 20 mg tablet, levothyroxine sodium 50 microgram tablet, atorvastatin 20 mg tablet, levothyroxine sodium 50 microgram tablet, atorvastatin 20 mg tablet, calcium carbonate 600 mg - colecalciferol 200 international units Film coated tablets [oral], atorvastatin 20 mg tablet, levothyroxine sodium 25 microgram tablet, calcium carbonate 600 mg - colecalciferol 200 international units Film coated tablets [oral], atorvastatin 20 mg tablet, levothyroxine sodium 25 microgram tablet, calcium carbonate 600 mg - colecalciferol 200 international units Film coated tablets [oral], atorvastatin 20 mg tablet, levothyroxine sodium 25 microgram tablet, levothyroxine sodium 50 microgram tablet, levothyroxine sodium 50 microgram tablet, levothyroxine sodium 50 microgram tablet, calcium carbonate 600 mg - colecalciferol 200 international units Film coated tablets [oral], calcium carbonate 600 mg - colecalciferol 200 international units Film coated tablets [oral], calcium carbonate 600 mg - colecalciferol 200 international units Film coated tablets [oral], atorvastatin 20 mg tablet, atorvastatin 20 mg tablet, atorvastatin 20 mg tablet, levothyroxine sodium 25 microgram tablet, calcium carbonate 600 mg - colecalciferol 200 international units Film coated tablets [oral], levothyroxine sodium 25 microgram tablet, calcium carbonate 600 mg - colecalciferol 200 international units Film coated tablets [oral], levothyroxine sodium 25 microgram tablet, calcium carbonate 600 mg - colecalciferol 200 international units Film coated tablets [oral], levothyroxine sodium 50 microgram tablet, levothyroxine sodium 50 microgram tablet, levothyroxine sodium 50 microgram tablet</t>
  </si>
  <si>
    <t>Dyslipidemia, Thyroid, Vitamins/Supplements</t>
  </si>
  <si>
    <t>فاطمه بنت احمد بن عبدالله ولدعبدالله</t>
  </si>
  <si>
    <t>paracetamol, fluticasone propionate, sodium chloride, cetirizine hydrochloride</t>
  </si>
  <si>
    <t>paracetamol 500 mg tablet, paracetamol 500 mg tablet, paracetamol 500 mg tablet, paracetamol 500 mg tablet, paracetamol 500 mg tablet, paracetamol 500 mg tablet, fluticasone propionate 0.05% nasal spray, fluticasone propionate 0.05% nasal spray, fluticasone propionate 0.05% nasal spray, fluticasone propionate 0.05% nasal spray, fluticasone propionate 0.05% nasal spray, fluticasone propionate 0.05% nasal spray, sodium chloride 0.9% (9 mg/mL) nasal spray, cetirizine hydrochloride 10 mg tablet, sodium chloride 0.9% (9 mg/mL) nasal spray, cetirizine hydrochloride 10 mg tablet, sodium chloride 0.9% (9 mg/mL) nasal spray, cetirizine hydrochloride 10 mg tablet, sodium chloride 0.9% (9 mg/mL) nasal spray, cetirizine hydrochloride 10 mg tablet, sodium chloride 0.9% (9 mg/mL) nasal spray, cetirizine hydrochloride 10 mg tablet, sodium chloride 0.9% (9 mg/mL) nasal spray, cetirizine hydrochloride 10 mg tablet, cetirizine hydrochloride 10 mg tablet, fluticasone propionate 0.05% nasal spray, cetirizine hydrochloride 10 mg tablet, fluticasone propionate 0.05% nasal spray, cetirizine hydrochloride 10 mg tablet, fluticasone propionate 0.05% nasal spray, cetirizine hydrochloride 10 mg tablet, fluticasone propionate 0.05% nasal spray, cetirizine hydrochloride 10 mg tablet, fluticasone propionate 0.05% nasal spray, cetirizine hydrochloride 10 mg tablet, fluticasone propionate 0.05% nasal spray, paracetamol 500 mg tablet, 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 sodium chloride 0.9% (9 mg/mL) nasal spray, sodium chloride 0.9% (9 mg/mL) nasal spray, sodium chloride 0.9% (9 mg/mL) nasal spray, sodium chloride 0.9% (9 mg/mL) nasal spray, sodium chloride 0.9% (9 mg/mL) nasal spray, sodium chloride 0.9% (9 mg/mL) nasal spray, cetirizine hydrochloride 10 mg tablet, cetirizine hydrochloride 10 mg tablet, cetirizine hydrochloride 10 mg tablet, cetirizine hydrochloride 10 mg tablet, cetirizine hydrochloride 10 mg tablet, cetirizine hydrochloride 10 mg tablet, paracetamol 500 mg tablet, fluticasone propionate 0.05% nasal spray, paracetamol 500 mg tablet, fluticasone propionate 0.05% nasal spray, paracetamol 500 mg tablet, fluticasone propionate 0.05% nasal spray, paracetamol 500 mg tablet, fluticasone propionate 0.05% nasal spray, paracetamol 500 mg tablet, fluticasone propionate 0.05% nasal spray, paracetamol 500 mg tablet, fluticasone propionate 0.05% nasal spray</t>
  </si>
  <si>
    <t>عماد محمد ساعد الاحمدي</t>
  </si>
  <si>
    <t>paracetamol 500 mg tablet, paracetamol 500 mg tablet, paracetamol 500 mg tablet, paracetamol 500 mg tablet</t>
  </si>
  <si>
    <t>سمير عطيه محمد الثقفي</t>
  </si>
  <si>
    <t>insulin aspart, insulin glargine, atorvastatin</t>
  </si>
  <si>
    <t>insulin aspart 100 international units/mL injection, 3 mL prefilled pen, insulin aspart 100 international units/mL injection, 3 mL prefilled pen, insulin aspart 100 international units/mL injection, 3 mL prefilled pen, insulin glargine 300 international units/mL injection, 1.5 mL prefilled pen, insulin glargine 300 international units/mL injection, 1.5 mL prefilled pen, insulin glargine 300 international units/mL injection, 1.5 mL prefilled pen, atorvastatin 10 mg tablet, atorvastatin 10 mg tablet, atorvastatin 10 mg tablet, insulin aspart 100 international units/mL injection, 3 mL prefilled pen, insulin aspart 100 international units/mL injection, 3 mL prefilled pen, insulin aspart 100 international units/mL injection, 3 mL prefilled pen, atorvastatin 10 mg tablet, atorvastatin 10 mg tablet, atorvastatin 10 mg tablet, atorvastatin 10 mg tablet, atorvastatin 10 mg tablet, atorvastatin 10 mg tablet, insulin aspart 100 international units/mL injection, 3 mL prefilled pen, insulin aspart 100 international units/mL injection, 3 mL prefilled pen, insulin aspart 100 international units/mL injection, 3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aspart 100 international units/mL injection, 3 mL prefilled pen, atorvastatin 10 mg tablet, insulin aspart 100 international units/mL injection, 3 mL prefilled pen, atorvastatin 10 mg tablet, insulin aspart 100 international units/mL injection, 3 mL prefilled pen, atorvastatin 10 mg tablet, insulin aspart 100 international units/mL injection, 3 mL prefilled pen, insulin aspart 100 international units/mL injection, 3 mL prefilled pen, insulin aspart 100 international units/mL injection, 3 mL prefilled pen, insulin glargine 300 international units/mL injection, 1.5 mL prefilled pen, atorvastatin 10 mg tablet, insulin glargine 300 international units/mL injection, 1.5 mL prefilled pen, atorvastatin 10 mg tablet, insulin glargine 300 international units/mL injection, 1.5 mL prefilled pen, atorvastatin 10 mg tablet</t>
  </si>
  <si>
    <t>ميار مازن سمباوه</t>
  </si>
  <si>
    <t>افنان محمد ساندو مال</t>
  </si>
  <si>
    <t>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 atorvastatin 10 mg tablet</t>
  </si>
  <si>
    <t>فارس رازق مرزوق البجالي</t>
  </si>
  <si>
    <t>colecalciferol, vitamin B complex (B, B, SITagliptin, metFORMIN hydrochloride, ibuprofen</t>
  </si>
  <si>
    <t>colecalciferol 50 000 international units tablet, vitamin B complex (B1,B6,B12) 100,200,0.2 mg Film coated tablets [oral], colecalciferol 50 000 international units tablet, vitamin B complex (B1,B6,B12) 100,200,0.2 mg Film coated tablets [oral], colecalciferol 50 000 international units tablet, vitamin B complex (B1,B6,B12) 100,200,0.2 mg Film coated tablets [oral], colecalciferol 50 000 international units tablet, vitamin B complex (B1,B6,B12) 100,200,0.2 mg Film coated tablets [oral], colecalciferol 50 000 international units tablet, vitamin B complex (B1,B6,B12) 100,200,0.2 mg Film coated tablets [oral], colecalciferol 50 000 international units tablet, vitamin B complex (B1,B6,B12) 100,200,0.2 mg Film coated tablets [oral], SITagliptin 100 mg tablet, SITagliptin 100 mg tablet, SITagliptin 100 mg tablet, SITagliptin 100 mg tablet, SITagliptin 100 mg tablet, SITagliptin 100 mg tablet, metFORMIN hydrochloride 750 mg tablet: modified release, ibuprofen 400 mg tablet, metFORMIN hydrochloride 750 mg tablet: modified release, ibuprofen 400 mg tablet, metFORMIN hydrochloride 750 mg tablet: modified release, ibuprofen 400 mg tablet, metFORMIN hydrochloride 750 mg tablet: modified release, ibuprofen 400 mg tablet, metFORMIN hydrochloride 750 mg tablet: modified release, ibuprofen 400 mg tablet, metFORMIN hydrochloride 750 mg tablet: modified release, ibuprofen 400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SITagliptin 100 mg tablet, ibuprofen 400 mg tablet, SITagliptin 100 mg tablet, ibuprofen 400 mg tablet, SITagliptin 100 mg tablet, ibuprofen 400 mg tablet, SITagliptin 100 mg tablet, ibuprofen 400 mg tablet, SITagliptin 100 mg tablet, ibuprofen 400 mg tablet, SITagliptin 100 mg tablet, ibuprofen 400 mg tablet,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t>
  </si>
  <si>
    <t>سعود أسامه نوري ابوالسعود</t>
  </si>
  <si>
    <t>vitamins (A, B, C, D, insulin glargine (lantus), insulin aspart, vitamin B complex (B, colecalciferol</t>
  </si>
  <si>
    <t>vitamins (A, B1, B2, B3, C, D3) tablet, insulin glargine (lantus) 100 international units/mL injection, 3 mL prefilled pen, vitamins (A, B1, B2, B3, C, D3) tablet, insulin glargine (lantus) 100 international units/mL injection, 3 mL prefilled pen, insulin aspart 100 international units/mL injection, 3 mL prefilled pen, vitamin B complex (B1,B6,B12) 100,200,0.2 mg Film coated tablets [oral], insulin aspart 100 international units/mL injection, 3 mL prefilled pen, vitamin B complex (B1,B6,B12) 100,200,0.2 mg Film coated tablets [oral], colecalciferol 50 000 international units tablet, colecalciferol 50 000 international units tablet, colecalciferol 50 000 international units tablet, colecalciferol 50 000 international units tablet, vitamins (A, B1, B2, B3, C, D3) tablet, vitamins (A, B1, B2, B3, C, D3) tablet, insulin glargine (lantus) 100 international units/mL injection, 3 mL prefilled pen, insulin glargine (lantus) 100 international units/mL injection, 3 mL prefilled pen, insulin aspart 100 international units/mL injection, 3 mL prefilled pen, insulin aspart 100 international units/mL injection, 3 mL prefilled pen, vitamin B complex (B1,B6,B12) 100,200,0.2 mg Film coated tablets [oral], vitamin B complex (B1,B6,B12) 100,200,0.2 mg Film coated tablets [oral], vitamins (A, B1, B2, B3, C, D3) tablet, vitamins (A, B1, B2, B3, C, D3) tablet, insulin aspart 100 international units/mL injection, 3 mL prefilled pen, insulin aspart 100 international units/mL injection, 3 mL prefilled pen, insulin glargine (lantus) 100 international units/mL injection, 3 mL prefilled pen, colecalciferol 50 000 international units tablet, vitamin B complex (B1,B6,B12) 100,200,0.2 mg Film coated tablets [oral], insulin glargine (lantus) 100 international units/mL injection, 3 mL prefilled pen, colecalciferol 50 000 international units tablet, vitamin B complex (B1,B6,B12) 100,200,0.2 mg Film coated tablets [oral]</t>
  </si>
  <si>
    <t>انعام بنت طه بن محمد فرج</t>
  </si>
  <si>
    <t>نوره بنت مرزوق بن عبدالمحسن البلوي</t>
  </si>
  <si>
    <t>vitamin B complex (B, B, metFORMIN hydrochloride, levothyroxine sodium, atorvastatin, clopidogrel, valsartan</t>
  </si>
  <si>
    <t>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metFORMIN hydrochloride 500 mg tablet, metFORMIN hydrochloride 500 mg tablet, metFORMIN hydrochloride 500 mg tablet, levothyroxine sodium 25 microgram tablet, atorvastatin 10 mg tablet, levothyroxine sodium 25 microgram tablet, atorvastatin 10 mg tablet, levothyroxine sodium 25 microgram tablet, atorvastatin 10 mg tablet, levothyroxine sodium 25 microgram tablet, atorvastatin 10 mg tablet, atorvastatin 10 mg tablet, atorvastatin 10 mg tablet, atorvastatin 10 mg tablet, atorvastatin 10 mg tablet, metFORMIN hydrochloride 500 mg tablet, metFORMIN hydrochloride 500 mg tablet, metFORMIN hydrochloride 500 mg tablet, metFORMIN hydrochloride 500 mg tablet, clopidogrel 75 mg tablet, clopidogrel 75 mg tablet, clopidogrel 75 mg tablet, clopidogrel 75 mg tablet, valsartan 80 mg tablet, valsartan 80 mg tablet, valsartan 80 mg tablet, valsartan 80 mg tablet, vitamin B complex (B1,B6,B12) 100,200,0.2 mg Film coated tablets [oral], levothyroxine sodium 25 microgram tablet, vitamin B complex (B1,B6,B12) 100,200,0.2 mg Film coated tablets [oral], levothyroxine sodium 25 microgram tablet, vitamin B complex (B1,B6,B12) 100,200,0.2 mg Film coated tablets [oral], levothyroxine sodium 25 microgram tablet, vitamin B complex (B1,B6,B12) 100,200,0.2 mg Film coated tablets [oral], levothyroxine sodium 25 microgram tablet, atorvastatin 10 mg tablet, atorvastatin 10 mg tablet, atorvastatin 10 mg tablet, atorvastatin 10 mg tablet, metFORMIN hydrochloride 500 mg tablet, metFORMIN hydrochloride 500 mg tablet, metFORMIN hydrochloride 500 mg tablet, metFORMIN hydrochloride 500 mg tablet, vitamin B complex (B1,B6,B12) 100,200,0.2 mg Film coated tablets [oral], vitamin B complex (B1,B6,B12) 100,200,0.2 mg Film coated tablets [oral], vitamin B complex (B1,B6,B12) 100,200,0.2 mg Film coated tablets [oral], vitamin B complex (B1,B6,B12) 100,200,0.2 mg Film coated tablets [oral], clopidogrel 75 mg tablet, levothyroxine sodium 25 microgram tablet, clopidogrel 75 mg tablet, levothyroxine sodium 25 microgram tablet, clopidogrel 75 mg tablet, levothyroxine sodium 25 microgram tablet, clopidogrel 75 mg tablet, levothyroxine sodium 25 microgram tablet, valsartan 80 mg tablet, valsartan 80 mg tablet, valsartan 80 mg tablet, valsartan 80 mg tablet, clopidogrel 75 mg tablet, clopidogrel 75 mg tablet, clopidogrel 75 mg tablet, clopidogrel 75 mg tablet, valsartan 80 mg tablet, valsartan 80 mg tablet, valsartan 80 mg tablet, valsartan 80 mg tablet</t>
  </si>
  <si>
    <t>سعده سلمان عيسى ماصلي</t>
  </si>
  <si>
    <t>Lancets (Accu-Check), losartan potassium, mebeverine hydrochloride, metFORMIN hydrochloride, omeprazole, levothyroxine sodium, atorvastatin, vitamin B complex (B, B, Strips (Accu-Check)</t>
  </si>
  <si>
    <t>Lancets (Accu-Check) 1 box Lancets [n/a], Lancets (Accu-Check) 1 box Lancets [n/a], Lancets (Accu-Check) 1 box Lancets [n/a], losartan potassium 50 mg tablet, mebeverine hydrochloride 200 mg capsule: modified release, metFORMIN hydrochloride 750 mg tablet: modified release, losartan potassium 50 mg tablet, mebeverine hydrochloride 200 mg capsule: modified release, metFORMIN hydrochloride 750 mg tablet: modified release, losartan potassium 50 mg tablet, mebeverine hydrochloride 200 mg capsule: modified release, metFORMIN hydrochloride 750 mg tablet: modified release, omeprazole 20 mg tablet: enteric coated, levothyroxine sodium 25 microgram tablet, omeprazole 20 mg tablet: enteric coated, levothyroxine sodium 25 microgram tablet, omeprazole 20 mg tablet: enteric coated, levothyroxine sodium 25 microgram tablet, atorvastatin 20 mg tablet, vitamin B complex (B1,B6,B12) 100,200,0.2 mg Film coated tablets [oral], Strips (Accu-Check) 1 box Strip [n/a], atorvastatin 20 mg tablet, vitamin B complex (B1,B6,B12) 100,200,0.2 mg Film coated tablets [oral], Strips (Accu-Check) 1 box Strip [n/a], atorvastatin 20 mg tablet, vitamin B complex (B1,B6,B12) 100,200,0.2 mg Film coated tablets [oral], Strips (Accu-Check) 1 box Strip [n/a], omeprazole 20 mg tablet: enteric coated, Strips (Accu-Check) 1 box Strip [n/a], atorvastatin 20 mg tablet, metFORMIN hydrochloride 750 mg tablet: modified release, omeprazole 20 mg tablet: enteric coated, Strips (Accu-Check) 1 box Strip [n/a], atorvastatin 20 mg tablet, metFORMIN hydrochloride 750 mg tablet: modified release, omeprazole 20 mg tablet: enteric coated, Strips (Accu-Check) 1 box Strip [n/a], atorvastatin 20 mg tablet, metFORMIN hydrochloride 750 mg tablet: modified release, mebeverine hydrochloride 200 mg capsule: modified release, losartan potassium 50 mg tablet, levothyroxine sodium 25 microgram tablet, Lancets (Accu-Check) 1 box Lancets [n/a], vitamin B complex (B1,B6,B12) 100,200,0.2 mg Film coated tablets [oral], mebeverine hydrochloride 200 mg capsule: modified release, losartan potassium 50 mg tablet, levothyroxine sodium 25 microgram tablet, Lancets (Accu-Check) 1 box Lancets [n/a], vitamin B complex (B1,B6,B12) 100,200,0.2 mg Film coated tablets [oral], mebeverine hydrochloride 200 mg capsule: modified release, losartan potassium 50 mg tablet, levothyroxine sodium 25 microgram tablet, Lancets (Accu-Check) 1 box Lancets [n/a], vitamin B complex (B1,B6,B12) 100,200,0.2 mg Film coated tablets [oral]</t>
  </si>
  <si>
    <t>هدى محمد حسن بالبيد</t>
  </si>
  <si>
    <t>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t>
  </si>
  <si>
    <t>علي علي يحيى قحل</t>
  </si>
  <si>
    <t>metFORMIN hydrochloride, empagliflozin, SITagliptin</t>
  </si>
  <si>
    <t>metFORMIN hydrochloride 500 mg tablet, empagliflozin 10 mg tablet, SITagliptin 100 mg tablet, metFORMIN hydrochloride 500 mg tablet, empagliflozin 10 mg tablet, SITagliptin 100 mg tablet, metFORMIN hydrochloride 500 mg tablet, empagliflozin 10 mg tablet, SITagliptin 100 mg tablet, empagliflozin 10 mg tablet, empagliflozin 10 mg tablet, empagliflozin 10 mg tablet, SITagliptin 100 mg tablet, SITagliptin 100 mg tablet, SITagliptin 100 mg tablet, metFORMIN hydrochloride 500 mg tablet, metFORMIN hydrochloride 500 mg tablet, metFORMIN hydrochloride 500 mg tablet, empagliflozin 10 mg tablet, empagliflozin 10 mg tablet, empagliflozin 10 mg tablet, metFORMIN hydrochloride 500 mg tablet, SITagliptin 100 mg tablet, metFORMIN hydrochloride 500 mg tablet, SITagliptin 100 mg tablet, metFORMIN hydrochloride 500 mg tablet, SITagliptin 100 mg tablet, metFORMIN hydrochloride 500 mg tablet, SITagliptin 100 mg tablet, metFORMIN hydrochloride 500 mg tablet, SITagliptin 100 mg tablet, metFORMIN hydrochloride 500 mg tablet, SITagliptin 100 mg tablet, empagliflozin 10 mg tablet, empagliflozin 10 mg tablet, empagliflozin 10 mg tablet, SITagliptin 100 mg tablet, SITagliptin 100 mg tablet, SITagliptin 100 mg tablet, metFORMIN hydrochloride 500 mg tablet, empagliflozin 10 mg tablet, metFORMIN hydrochloride 500 mg tablet, empagliflozin 10 mg tablet, metFORMIN hydrochloride 500 mg tablet, empagliflozin 10 mg tablet, SITagliptin 100 mg tablet, empagliflozin 10 mg tablet, SITagliptin 100 mg tablet, empagliflozin 10 mg tablet, SITagliptin 100 mg tablet, empagliflozin 10 mg tablet, metFORMIN hydrochloride 500 mg tablet, metFORMIN hydrochloride 500 mg tablet, metFORMIN hydrochloride 500 mg tablet</t>
  </si>
  <si>
    <t>حسين احمد حسين باناجه</t>
  </si>
  <si>
    <t>ferrous sulfate, atorvastatin</t>
  </si>
  <si>
    <t>ferrous sulfate 190 mg Tablets [oral], ferrous sulfate 190 mg Tablets [oral], atorvastatin 10 mg tablet, atorvastatin 10 mg tablet, atorvastatin 10 mg tablet, atorvastatin 10 mg tablet, ferrous sulfate 190 mg Tablets [oral], ferrous sulfate 190 mg Tablets [oral]</t>
  </si>
  <si>
    <t>فاطمه علي بن محمد المنتشري</t>
  </si>
  <si>
    <t>colecalciferol, amLODIPine</t>
  </si>
  <si>
    <t>colecalciferol 50 000 international units tablet, colecalciferol 50 000 international units tablet, amLODIPine 5 mg tablet, amLODIPine 5 mg tablet, colecalciferol 50 000 international units tablet, amLODIPine 5 mg tablet, colecalciferol 50 000 international units tablet, amLODIPine 5 mg tablet, amLODIPine 5 mg tablet, amLODIPine 5 mg tablet, colecalciferol 50 000 international units tablet, colecalciferol 50 000 international units tablet, colecalciferol 50 000 international units tablet, amLODIPine 5 mg tablet, colecalciferol 50 000 international units tablet, amLODIPine 5 mg tablet, colecalciferol 50 000 international units tablet, colecalciferol 50 000 international units tablet</t>
  </si>
  <si>
    <t>منيره مهدي مفرج السبيعي</t>
  </si>
  <si>
    <t>cetirizine hydrochloride, paracetamol, mometasone furoate, sodium chloride</t>
  </si>
  <si>
    <t>cetirizine hydrochloride 10 mg tablet, cetirizine hydrochloride 10 mg tablet, cetirizine hydrochloride 10 mg tablet, paracetamol 500 mg tablet, paracetamol 500 mg tablet, paracetamol 500 mg tablet, mometasone furoate 0.05% nasal spray, mometasone furoate 0.05% nasal spray, mometasone furoate 0.05% nasal spray, sodium chloride 0.9% (9 mg/mL) nasal spray, sodium chloride 0.9% (9 mg/mL) nasal spray, sodium chloride 0.9% (9 mg/mL) nasal spray</t>
  </si>
  <si>
    <t>ام هاني محمدعلي محمدسعيد كراني</t>
  </si>
  <si>
    <t>paracetamol, dextromethorphan hydrobromide</t>
  </si>
  <si>
    <t>paracetamol 500 mg tablet, dextromethorphan hydrobromide 15 mg/5 mL oral liquid, paracetamol 500 mg tablet, dextromethorphan hydrobromide 15 mg/5 mL oral liquid, paracetamol 500 mg tablet, dextromethorphan hydrobromide 15 mg/5 mL oral liquid, paracetamol 500 mg tablet, dextromethorphan hydrobromide 15 mg/5 mL oral liquid, dextromethorphan hydrobromide 15 mg/5 mL oral liquid, dextromethorphan hydrobromide 15 mg/5 mL oral liquid, dextromethorphan hydrobromide 15 mg/5 mL oral liquid, dextromethorphan hydrobromide 15 mg/5 mL oral liquid, paracetamol 500 mg tablet, paracetamol 500 mg tablet, paracetamol 500 mg tablet, paracetamol 500 mg tablet, paracetamol 500 mg tablet, paracetamol 500 mg tablet, paracetamol 500 mg tablet, paracetamol 500 mg tablet, dextromethorphan hydrobromide 15 mg/5 mL oral liquid, dextromethorphan hydrobromide 15 mg/5 mL oral liquid, dextromethorphan hydrobromide 15 mg/5 mL oral liquid, dextromethorphan hydrobromide 15 mg/5 mL oral liquid</t>
  </si>
  <si>
    <t>مريم عبدالله عطيه الزهراني</t>
  </si>
  <si>
    <t>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 rosuvastatin 20 mg tablet</t>
  </si>
  <si>
    <t>خديجه حمود منصور دبوان</t>
  </si>
  <si>
    <t>gliclazide, atorvastatin, levothyroxine sodium, metFORMIN hydrochloride, vitamin B complex (B, B</t>
  </si>
  <si>
    <t>gliclazide 30 mg tablet: modified release, atorvastatin 10 mg tablet, levothyroxine sodium 50 microgram tablet, gliclazide 30 mg tablet: modified release, atorvastatin 10 mg tablet, levothyroxine sodium 50 microgram tablet, gliclazide 30 mg tablet: modified release, atorvastatin 10 mg tablet, levothyroxine sodium 50 microgram tablet, gliclazide 30 mg tablet: modified release, atorvastatin 10 mg tablet, levothyroxine sodium 50 microgram tablet,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atorvastatin 10 mg tablet, atorvastatin 10 mg tablet, atorvastatin 10 mg tablet, atorvastatin 10 mg tablet, gliclazide 30 mg tablet: modified release, gliclazide 30 mg tablet: modified release, gliclazide 30 mg tablet: modified release, gliclazide 30 mg tablet: modified release,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levothyroxine sodium 50 microgram tablet, levothyroxine sodium 50 microgram tablet, levothyroxine sodium 50 microgram tablet, levothyroxine sodium 50 microgram tablet, atorvastatin 10 mg tablet, atorvastatin 10 mg tablet, atorvastatin 10 mg tablet, atorvastatin 10 mg tablet, gliclazide 30 mg tablet: modified release, gliclazide 30 mg tablet: modified release, gliclazide 30 mg tablet: modified release, gliclazide 30 mg tablet: modified release, vitamin B complex (B1,B6,B12) 100,200,0.2 mg Film coated tablets [oral], metFORMIN hydrochloride 500 mg tablet, levothyroxine sodium 50 microgram tablet, vitamin B complex (B1,B6,B12) 100,200,0.2 mg Film coated tablets [oral], metFORMIN hydrochloride 500 mg tablet, levothyroxine sodium 50 microgram tablet, vitamin B complex (B1,B6,B12) 100,200,0.2 mg Film coated tablets [oral], metFORMIN hydrochloride 500 mg tablet, levothyroxine sodium 50 microgram tablet, vitamin B complex (B1,B6,B12) 100,200,0.2 mg Film coated tablets [oral], metFORMIN hydrochloride 500 mg tablet, levothyroxine sodium 50 microgram tablet, levothyroxine sodium 50 microgram tablet, levothyroxine sodium 50 microgram tablet, levothyroxine sodium 50 microgram tablet, levothyroxine sodium 50 microgram tablet, atorvastatin 10 mg tablet, vitamin B complex (B1,B6,B12) 100,200,0.2 mg Film coated tablets [oral], gliclazide 30 mg tablet: modified release, metFORMIN hydrochloride 500 mg tablet, atorvastatin 10 mg tablet, vitamin B complex (B1,B6,B12) 100,200,0.2 mg Film coated tablets [oral], gliclazide 30 mg tablet: modified release, metFORMIN hydrochloride 500 mg tablet, atorvastatin 10 mg tablet, vitamin B complex (B1,B6,B12) 100,200,0.2 mg Film coated tablets [oral], gliclazide 30 mg tablet: modified release, metFORMIN hydrochloride 500 mg tablet, atorvastatin 10 mg tablet, vitamin B complex (B1,B6,B12) 100,200,0.2 mg Film coated tablets [oral], gliclazide 30 mg tablet: modified release, metFORMIN hydrochloride 500 mg tablet, levothyroxine sodium 50 microgram tablet, levothyroxine sodium 50 microgram tablet, levothyroxine sodium 50 microgram tablet, levothyroxine sodium 50 microgram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levothyroxine sodium 50 microgram tablet, vitamin B complex (B1,B6,B12) 100,200,0.2 mg Film coated tablets [oral], levothyroxine sodium 50 microgram tablet, vitamin B complex (B1,B6,B12) 100,200,0.2 mg Film coated tablets [oral], levothyroxine sodium 50 microgram tablet, vitamin B complex (B1,B6,B12) 100,200,0.2 mg Film coated tablets [oral], levothyroxine sodium 50 microgram tablet</t>
  </si>
  <si>
    <t>حنان علي بن هادي ال رشيد</t>
  </si>
  <si>
    <t>levothyroxine sodium 50 microgram tablet, levothyroxine sodium 50 microgram tablet, levothyroxine sodium 50 microgram tablet, vitamins (A, B1, B2, B3, C, D3) tablet, vitamins (A, B1, B2, B3, C, D3) tablet, vitamins (A, B1, B2, B3, C, D3) tablet, levothyroxine sodium 50 microgram tablet, levothyroxine sodium 50 microgram tablet, levothyroxine sodium 50 microgram tablet, vitamins (A, B1, B2, B3, C, D3) tablet, vitamins (A, B1, B2, B3, C, D3) tablet, vitamins (A, B1, B2, B3, C, D3) tablet, levothyroxine sodium 50 microgram tablet, levothyroxine sodium 50 microgram tablet, levothyroxine sodium 50 microgram tablet, vitamins (A, B1, B2, B3, C, D3) tablet, vitamins (A, B1, B2, B3, C, D3) tablet, vitamins (A, B1, B2, B3, C, D3) tablet</t>
  </si>
  <si>
    <t>نسرين حسن محمد القرني</t>
  </si>
  <si>
    <t>Lancets (Accu-Check) 1 box Lancets [n/a], Lancets (Accu-Check) 1 box Lancets [n/a], Lancets (Accu-Check) 1 box Lancets [n/a], Lancets (Accu-Check) 1 box Lancets [n/a], Lancets (Accu-Check) 1 box Lancets [n/a], Lancets (Accu-Check) 1 box Lancets [n/a], Lancets (Accu-Check) 1 box Lancets [n/a], Lancets (Accu-Check) 1 box Lancets [n/a], Strips (Accu-Check) 1 box Strip [n/a], Lancets (Accu-Check) 1 box Lancets [n/a], Strips (Accu-Check) 1 box Strip [n/a], Lancets (Accu-Check) 1 box Lancets [n/a], Strips (Accu-Check) 1 box Strip [n/a], Lancets (Accu-Check) 1 box Lancets [n/a], Strips (Accu-Check) 1 box Strip [n/a], Lancets (Accu-Check) 1 box Lancets [n/a], Strips (Accu-Check) 1 box Strip [n/a], Lancets (Accu-Check) 1 box Lancets [n/a], Strips (Accu-Check) 1 box Strip [n/a], Lancets (Accu-Check) 1 box Lancets [n/a], Strips (Accu-Check) 1 box Strip [n/a], Lancets (Accu-Check) 1 box Lancets [n/a], Strips (Accu-Check) 1 box Strip [n/a], Lancets (Accu-Check) 1 box Lancets [n/a], Strips (Accu-Check) 1 box Strip [n/a], Lancets (Accu-Check) 1 box Lancets [n/a], Strips (Accu-Check) 1 box Strip [n/a], Lancets (Accu-Check) 1 box Lancets [n/a], Strips (Accu-Check) 1 box Strip [n/a], Lancets (Accu-Check) 1 box Lancets [n/a], Strips (Accu-Check) 1 box Strip [n/a], Lancets (Accu-Check) 1 box Lancets [n/a], Strips (Accu-Check) 1 box Strip [n/a], Lancets (Accu-Check) 1 box Lancets [n/a], Strips (Accu-Check) 1 box Strip [n/a], Strips (Accu-Check) 1 box Strip [n/a], Strips (Accu-Check) 1 box Strip [n/a], Strips (Accu-Check) 1 box Strip [n/a], Strips (Accu-Check) 1 box Strip [n/a], Strips (Accu-Check) 1 box Strip [n/a], Strips (Accu-Check) 1 box Strip [n/a], Strips (Accu-Check) 1 box Strip [n/a]</t>
  </si>
  <si>
    <t>يحيى غبيش محمد المجرشي</t>
  </si>
  <si>
    <t>colecalciferol 50 000 international units tablet, rosuvastatin 10 mg tablet, colecalciferol 50 000 international units tablet, rosuvastatin 10 mg tablet, colecalciferol 50 000 international units tablet, rosuvastatin 10 mg tablet, colecalciferol 50 000 international units tablet, rosuvastatin 10 mg tablet, colecalciferol 50 000 international units tablet, rosuvastatin 10 mg tablet, colecalciferol 50 000 international units tablet, rosuvastatin 10 mg tablet, colecalciferol 50 000 international units tablet, rosuvastatin 10 mg tablet, colecalciferol 50 000 international units tablet, rosuvastatin 10 mg tablet, colecalciferol 50 000 international units tablet, rosuvastatin 10 mg tablet, rosuvastatin 10 mg tablet, rosuvastatin 10 mg tablet, rosuvastatin 10 mg tablet, colecalciferol 50 000 international units tablet, colecalciferol 50 000 international units tablet, colecalciferol 50 000 international units tablet, rosuvastatin 10 mg tablet, rosuvastatin 10 mg tablet, rosuvastatin 10 mg tablet</t>
  </si>
  <si>
    <t>ريحانه عمر احمد الصلبي</t>
  </si>
  <si>
    <t>amoxicillin, fusidic acid</t>
  </si>
  <si>
    <t>amoxicillin 500 mg + clavulanic acid 125 mg tablet, amoxicillin 500 mg + clavulanic acid 125 mg tablet, amoxicillin 500 mg + clavulanic acid 125 mg tablet, amoxicillin 500 mg + clavulanic acid 125 mg tablet, fusidic acid 2% (20 mg/g) cream, fusidic acid 2% (20 mg/g) cream, fusidic acid 2% (20 mg/g) cream, fusidic acid 2% (20 mg/g) cream, fusidic acid 2% (20 mg/g) cream, fusidic acid 2% (20 mg/g) cream, fusidic acid 2% (20 mg/g) cream, fusidic acid 2% (20 mg/g) cream, amoxicillin 500 mg + clavulanic acid 125 mg tablet, amoxicillin 500 mg + clavulanic acid 125 mg tablet, amoxicillin 500 mg + clavulanic acid 125 mg tablet, amoxicillin 500 mg + clavulanic acid 125 mg tablet, fusidic acid 2% (20 mg/g) cream, fusidic acid 2% (20 mg/g) cream, fusidic acid 2% (20 mg/g) cream, fusidic acid 2% (20 mg/g) cream, amoxicillin 500 mg + clavulanic acid 125 mg tablet, amoxicillin 500 mg + clavulanic acid 125 mg tablet, amoxicillin 500 mg + clavulanic acid 125 mg tablet, amoxicillin 500 mg + clavulanic acid 125 mg tablet</t>
  </si>
  <si>
    <t>هاجر بنت رضوان ابن عمر معدن</t>
  </si>
  <si>
    <t>vitamins (A, B, C, D, ferrous sulfate</t>
  </si>
  <si>
    <t>vitamins (A, B1, B2, B3, C, D3) tablet, vitamins (A, B1, B2, B3, C, D3) tablet, vitamins (A, B1, B2, B3, C, D3) tablet, vitamins (A, B1, B2, B3, C, D3) tablet, vitamins (A, B1, B2, B3, C, D3) tablet, vitamins (A, B1, B2, B3, C, D3) tablet, vitamins (A, B1, B2, B3, C, D3) tablet, vitamins (A, B1, B2, B3, C, D3) tablet,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vitamins (A, B1, B2, B3, C, D3) tablet, vitamins (A, B1, B2, B3, C, D3) tablet, vitamins (A, B1, B2, B3, C, D3) tablet, vitamins (A, B1, B2, B3, C, D3) tablet, vitamins (A, B1, B2, B3, C, D3) tablet, vitamins (A, B1, B2, B3, C, D3) tablet, vitamins (A, B1, B2, B3, C, D3) tablet, vitamins (A, B1, B2, B3, C, D3) tablet,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 vitamins (A, B1, B2, B3, C, D3) tablet, ferrous sulfate 190 mg Tablets [oral], vitamins (A, B1, B2, B3, C, D3) tablet, ferrous sulfate 190 mg Tablets [oral], vitamins (A, B1, B2, B3, C, D3) tablet, ferrous sulfate 190 mg Tablets [oral], vitamins (A, B1, B2, B3, C, D3) tablet, ferrous sulfate 190 mg Tablets [oral], vitamins (A, B1, B2, B3, C, D3) tablet, ferrous sulfate 190 mg Tablets [oral], vitamins (A, B1, B2, B3, C, D3) tablet, ferrous sulfate 190 mg Tablets [oral], vitamins (A, B1, B2, B3, C, D3) tablet, ferrous sulfate 190 mg Tablets [oral], vitamins (A, B1, B2, B3, C, D3) tablet, ferrous sulfate 190 mg Tablets [oral], vitamins (A, B1, B2, B3, C, D3) tablet, vitamins (A, B1, B2, B3, C, D3) tablet, vitamins (A, B1, B2, B3, C, D3) tablet, vitamins (A, B1, B2, B3, C, D3) tablet, vitamins (A, B1, B2, B3, C, D3) tablet, vitamins (A, B1, B2, B3, C, D3) tablet, vitamins (A, B1, B2, B3, C, D3) tablet, vitamins (A, B1, B2, B3, C, D3) tablet, ferrous sulfate 190 mg Tablets [oral], ferrous sulfate 190 mg Tablets [oral], ferrous sulfate 190 mg Tablets [oral], ferrous sulfate 190 mg Tablets [oral], ferrous sulfate 190 mg Tablets [oral], ferrous sulfate 190 mg Tablets [oral], ferrous sulfate 190 mg Tablets [oral], ferrous sulfate 190 mg Tablets [oral]</t>
  </si>
  <si>
    <t>يوسف محمد بن عايض السواط</t>
  </si>
  <si>
    <t>SITagliptin, vitamin B complex (B, B, atorvastatin</t>
  </si>
  <si>
    <t>SITagliptin 100 mg tablet, SITagliptin 100 mg tablet, SITagliptin 100 mg tablet, SITagliptin 100 mg tablet, SITagliptin 100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atorvastatin 20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SITagliptin 100 mg tablet, SITagliptin 100 mg tablet, SITagliptin 100 mg tablet, SITagliptin 100 mg tablet, SITagliptin 100 mg tablet, atorvastatin 20 mg tablet, SITagliptin 100 mg tablet, atorvastatin 20 mg tablet, SITagliptin 100 mg tablet, atorvastatin 20 mg tablet, SITagliptin 100 mg tablet, atorvastatin 20 mg tablet, SITagliptin 100 mg tablet, atorvastatin 20 mg tablet, SITagliptin 100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atorvastatin 20 mg tablet, atorvastatin 20 mg tablet, atorvastatin 20 mg tablet, atorvastatin 20 mg tablet, atorvastatin 20 mg tablet</t>
  </si>
  <si>
    <t>سلطان سعد محمد القرني</t>
  </si>
  <si>
    <t>ابتسام بنت عبدالله بن مبارك الجعيدي</t>
  </si>
  <si>
    <t>paraffin soft white ointment, tube, cetirizine hydrochloride, mometasone furoate, Lancets (Accu-Check), Strips (Accu-Check)</t>
  </si>
  <si>
    <t>paraffin soft white ointment, tube, paraffin soft white ointment, tube, paraffin soft white ointment, tube, cetirizine hydrochloride 10 mg tablet, cetirizine hydrochloride 10 mg tablet, cetirizine hydrochloride 10 mg tablet, mometasone furoate 0.1% (1 mg/g) cream, mometasone furoate 0.1% (1 mg/g) cream, mometasone furoate 0.1% (1 mg/g) cream, Lancets (Accu-Check) 1 box Lancets [n/a], Strips (Accu-Check) 1 box Strip [n/a], Lancets (Accu-Check) 1 box Lancets [n/a], Strips (Accu-Check) 1 box Strip [n/a], Lancets (Accu-Check) 1 box Lancets [n/a], Strips (Accu-Check) 1 box Strip [n/a]</t>
  </si>
  <si>
    <t>آمنه محمد احمد مسعود</t>
  </si>
  <si>
    <t>terbinafine hydrochloride, fusidic acid, paracetamol, diclofenac sodium</t>
  </si>
  <si>
    <t>terbinafine hydrochloride 1% (10 mg/g) cream, fusidic acid 2% (20 mg/g) cream, terbinafine hydrochloride 1% (10 mg/g) cream, fusidic acid 2% (20 mg/g) cream, terbinafine hydrochloride 1% (10 mg/g) cream, fusidic acid 2% (20 mg/g) cream, terbinafine hydrochloride 1% (10 mg/g) cream, fusidic acid 2% (20 mg/g) cream, paracetamol 500 mg tablet, diclofenac sodium 1% (10 mg/g) gel, paracetamol 500 mg tablet, diclofenac sodium 1% (10 mg/g) gel, paracetamol 500 mg tablet, diclofenac sodium 1% (10 mg/g) gel, paracetamol 500 mg tablet, diclofenac sodium 1% (10 mg/g) gel, diclofenac sodium 1% (10 mg/g) gel, diclofenac sodium 1% (10 mg/g) gel, diclofenac sodium 1% (10 mg/g) gel, diclofenac sodium 1% (10 mg/g) gel, fusidic acid 2% (20 mg/g) cream, terbinafine hydrochloride 1% (10 mg/g) cream, paracetamol 500 mg tablet, fusidic acid 2% (20 mg/g) cream, terbinafine hydrochloride 1% (10 mg/g) cream, paracetamol 500 mg tablet, fusidic acid 2% (20 mg/g) cream, terbinafine hydrochloride 1% (10 mg/g) cream, paracetamol 500 mg tablet, fusidic acid 2% (20 mg/g) cream, terbinafine hydrochloride 1% (10 mg/g) cream, paracetamol 500 mg tablet</t>
  </si>
  <si>
    <t>نور سعد ناجي الحربي</t>
  </si>
  <si>
    <t>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t>
  </si>
  <si>
    <t>غفران عيد سلامه القايدي</t>
  </si>
  <si>
    <t>حميده بنت محمد بن جابر الجهني</t>
  </si>
  <si>
    <t>celecoxib 200 mg capsule, celecoxib 200 mg capsule, celecoxib 200 mg capsule, celecoxib 200 mg capsule, diclofenac sodium 1% (10 mg/g) gel, diclofenac sodium 1% (10 mg/g) gel, diclofenac sodium 1% (10 mg/g) gel, diclofenac sodium 1% (10 mg/g) gel, celecoxib 200 mg capsule, celecoxib 200 mg capsule, celecoxib 200 mg capsule, celecoxib 200 mg capsule, diclofenac sodium 1% (10 mg/g) gel, diclofenac sodium 1% (10 mg/g) gel, diclofenac sodium 1% (10 mg/g) gel, diclofenac sodium 1% (10 mg/g) gel</t>
  </si>
  <si>
    <t>احمد محمد علي بن حاجب</t>
  </si>
  <si>
    <t>fluconazole</t>
  </si>
  <si>
    <t>fluconazole 150 mg capsule, fluconazole 150 mg capsule, fluconazole 150 mg capsule, fluconazole 150 mg capsule, fluconazole 150 mg capsule, fluconazole 150 mg capsule, fluconazole 150 mg capsule, fluconazole 150 mg capsule, fluconazole 150 mg capsule, fluconazole 150 mg capsule, fluconazole 150 mg capsule, fluconazole 150 mg capsule, fluconazole 150 mg capsule, fluconazole 150 mg capsule, fluconazole 150 mg capsule, fluconazole 150 mg capsule, fluconazole 150 mg capsule, fluconazole 150 mg capsule, fluconazole 150 mg capsule, fluconazole 150 mg capsule, fluconazole 150 mg capsule, fluconazole 150 mg capsule, fluconazole 150 mg capsule, fluconazole 150 mg capsule, fluconazole 150 mg capsule</t>
  </si>
  <si>
    <t>يوسف بادي خلف العتيبي</t>
  </si>
  <si>
    <t>paracetamol, cetirizine hydrochloride, sodium chloride</t>
  </si>
  <si>
    <t>paracetamol 500 mg tablet, paracetamol 500 mg tablet, paracetamol 500 mg tablet, paracetamol 500 mg tablet, paracetamol 500 mg tablet, paracetamol 500 mg tablet, paracetamol 500 mg tablet, paracetamol 500 mg tablet, cetirizine hydrochloride 10 mg tablet, sodium chloride 0.9% (9 mg/mL) nasal spray, cetirizine hydrochloride 10 mg tablet, sodium chloride 0.9% (9 mg/mL) nasal spray, cetirizine hydrochloride 10 mg tablet, sodium chloride 0.9% (9 mg/mL) nasal spray, cetirizine hydrochloride 10 mg tablet, sodium chloride 0.9% (9 mg/mL) nasal spray, cetirizine hydrochloride 10 mg tablet, sodium chloride 0.9% (9 mg/mL) nasal spray, cetirizine hydrochloride 10 mg tablet, sodium chloride 0.9% (9 mg/mL) nasal spray, cetirizine hydrochloride 10 mg tablet, sodium chloride 0.9% (9 mg/mL) nasal spray, cetirizine hydrochloride 10 mg tablet, sodium chloride 0.9% (9 mg/mL) nasal spray,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paracetamol 500 mg tablet, paracetamol 500 mg tablet, paracetamol 500 mg tablet, paracetamol 500 mg tablet, paracetamol 500 mg tablet, paracetamol 500 mg tablet, paracetamol 500 mg tablet, paracetamol 500 mg tablet, sodium chloride 0.9% (9 mg/mL) nasal spray, sodium chloride 0.9% (9 mg/mL) nasal spray, sodium chloride 0.9% (9 mg/mL) nasal spray, sodium chloride 0.9% (9 mg/mL) nasal spray, sodium chloride 0.9% (9 mg/mL) nasal spray, sodium chloride 0.9% (9 mg/mL) nasal spray, sodium chloride 0.9% (9 mg/mL) nasal spray, sodium chloride 0.9% (9 mg/mL) nasal spray</t>
  </si>
  <si>
    <t>هدى سلمان سالم الحربي</t>
  </si>
  <si>
    <t>sodium chloride 0.9% (9 mg/mL) nasal spray, paracetamol 500 mg tablet, sodium chloride 0.9% (9 mg/mL) nasal spray, paracetamol 500 mg tablet, sodium chloride 0.9% (9 mg/mL) nasal spray, paracetamol 500 mg tablet, cetirizine hydrochloride 10 mg tablet, cetirizine hydrochloride 10 mg tablet, cetirizine hydrochloride 10 mg tablet, paracetamol 500 mg tablet, sodium chloride 0.9% (9 mg/mL) nasal spray, cetirizine hydrochloride 10 mg tablet, paracetamol 500 mg tablet, sodium chloride 0.9% (9 mg/mL) nasal spray, cetirizine hydrochloride 10 mg tablet, paracetamol 500 mg tablet, sodium chloride 0.9% (9 mg/mL) nasal spray, cetirizine hydrochloride 10 mg tablet, cetirizine hydrochloride 10 mg tablet, cetirizine hydrochloride 10 mg tablet, cetirizine hydrochloride 10 mg tablet, paracetamol 500 mg tablet, paracetamol 500 mg tablet, paracetamol 500 mg tablet, sodium chloride 0.9% (9 mg/mL) nasal spray, sodium chloride 0.9% (9 mg/mL) nasal spray, sodium chloride 0.9% (9 mg/mL) nasal spray</t>
  </si>
  <si>
    <t>أنهار محمد فهيد الشريف</t>
  </si>
  <si>
    <t>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 amLODIPine 5 mg tablet</t>
  </si>
  <si>
    <t>عبدالرحيم عامر عمر الحربي</t>
  </si>
  <si>
    <t>colecalciferol, empagliflozin, vitamin B complex (B, B, metFORMIN hydrochloride</t>
  </si>
  <si>
    <t>colecalciferol 50 000 international units tablet, empagliflozin 10 mg tablet, vitamin B complex (B1,B6,B12) 100,100,0.15 mg Film coated tablets [oral], metFORMIN hydrochloride 500 mg tablet, colecalciferol 50 000 international units tablet, empagliflozin 10 mg tablet, vitamin B complex (B1,B6,B12) 100,100,0.15 mg Film coated tablets [oral], metFORMIN hydrochloride 500 mg tablet, colecalciferol 50 000 international units tablet, empagliflozin 10 mg tablet, vitamin B complex (B1,B6,B12) 100,100,0.15 mg Film coated tablets [oral], metFORMIN hydrochloride 500 mg tablet, vitamin B complex (B1,B6,B12) 100,100,0.15 mg Film coated tablets [oral], vitamin B complex (B1,B6,B12) 100,100,0.15 mg Film coated tablets [oral], vitamin B complex (B1,B6,B12) 100,100,0.15 mg Film coated tablets [oral], empagliflozin 10 mg tablet, metFORMIN hydrochloride 500 mg tablet, empagliflozin 10 mg tablet, metFORMIN hydrochloride 500 mg tablet, empagliflozin 10 mg tablet, metFORMIN hydrochloride 500 mg tablet, colecalciferol 50 000 international units tablet, colecalciferol 50 000 international units tablet, colecalciferol 50 000 international units tablet, colecalciferol 50 000 international units tablet, empagliflozin 10 mg tablet, colecalciferol 50 000 international units tablet, empagliflozin 10 mg tablet, colecalciferol 50 000 international units tablet, empagliflozin 10 mg tablet, metFORMIN hydrochloride 500 mg tablet, metFORMIN hydrochloride 500 mg tablet, metFORMIN hydrochloride 500 mg tablet, vitamin B complex (B1,B6,B12) 100,100,0.15 mg Film coated tablets [oral], vitamin B complex (B1,B6,B12) 100,100,0.15 mg Film coated tablets [oral], vitamin B complex (B1,B6,B12) 100,100,0.15 mg Film coated tablets [oral]</t>
  </si>
  <si>
    <t>ثامر محمد بن مسفر الغامدي</t>
  </si>
  <si>
    <t>paracetamol 500 mg + codeine phosphate 8 mg + caffeine 30 mg tablet, paracetamol 500 mg + codeine phosphate 8 mg + caffeine 30 mg tablet, paracetamol 500 mg + codeine phosphate 8 mg + caffeine 30 mg tablet, cetirizine hydrochloride 10 mg tablet, cetirizine hydrochloride 10 mg tablet, cetirizine hydrochloride 10 mg tablet, sodium chloride 0.9% (9 mg/mL) nasal spray, sodium chloride 0.9% (9 mg/mL) nasal spray, sodium chloride 0.9% (9 mg/mL) nasal spray, cetirizine hydrochloride 10 mg tablet, cetirizine hydrochloride 10 mg tablet, cetirizine hydrochloride 10 mg tablet, sodium chloride 0.9% (9 mg/mL) nasal spray, sodium chloride 0.9% (9 mg/mL) nasal spray, sodium chloride 0.9% (9 mg/mL) nasal spray, paracetamol 500 mg + codeine phosphate 8 mg + caffeine 30 mg tablet, paracetamol 500 mg + codeine phosphate 8 mg + caffeine 30 mg tablet, paracetamol 500 mg + codeine phosphate 8 mg + caffeine 30 mg tablet, sodium chloride 0.9% (9 mg/mL) nasal spray, sodium chloride 0.9% (9 mg/mL) nasal spray, sodium chloride 0.9% (9 mg/mL) nasal spray, cetirizine hydrochloride 10 mg tablet, cetirizine hydrochloride 10 mg tablet, cetirizine hydrochloride 10 mg tablet, paracetamol 500 mg + codeine phosphate 8 mg + caffeine 30 mg tablet, paracetamol 500 mg + codeine phosphate 8 mg + caffeine 30 mg tablet, paracetamol 500 mg + codeine phosphate 8 mg + caffeine 30 mg tablet</t>
  </si>
  <si>
    <t>حموده بنت عبيد خادم</t>
  </si>
  <si>
    <t>اميره بنت عبدالحميد ابن شايف سيف</t>
  </si>
  <si>
    <t>carbomer 0.2% (2 mg/g) eye gel, carbomer 0.2% (2 mg/g) eye gel, carbomer 0.2% (2 mg/g) eye gel, carbomer 0.2% (2 mg/g) eye gel, carbomer 0.2% (2 mg/g) eye gel, carbomer 0.2% (2 mg/g) eye gel, carbomer 0.2% (2 mg/g) eye gel, carbomer 0.2% (2 mg/g) eye gel, carbomer 0.2% (2 mg/g) eye gel</t>
  </si>
  <si>
    <t>جميله بنت مهيوب ابن حمود عبدالله</t>
  </si>
  <si>
    <t>carbomer, amLODIPine, valsartan, vitamins (A, B, C, D</t>
  </si>
  <si>
    <t>carbomer 0.2% (2 mg/g) eye gel, carbomer 0.2% (2 mg/g) eye gel, amLODIPine 5 mg tablet, amLODIPine 5 mg tablet, valsartan 80 mg tablet, valsartan 80 mg tablet, vitamins (A, B1, B2, B3, C, D3) tablet, vitamins (A, B1, B2, B3, C, D3) tablet, carbomer 0.2% (2 mg/g) eye gel, carbomer 0.2% (2 mg/g) eye gel, vitamins (A, B1, B2, B3, C, D3) tablet, valsartan 80 mg tablet, vitamins (A, B1, B2, B3, C, D3) tablet, valsartan 80 mg tablet, amLODIPine 5 mg tablet, amLODIPine 5 mg tablet, vitamins (A, B1, B2, B3, C, D3) tablet, vitamins (A, B1, B2, B3, C, D3) tablet, amLODIPine 5 mg tablet, valsartan 80 mg tablet, carbomer 0.2% (2 mg/g) eye gel, amLODIPine 5 mg tablet, valsartan 80 mg tablet, carbomer 0.2% (2 mg/g) eye gel</t>
  </si>
  <si>
    <t>زين بنت محمد ابن احمد التميمي</t>
  </si>
  <si>
    <t>Lancets (Accu-Check), amLODIPine, Glucometer Device (Accu-Chek), Strips (Accu-Check), vitamin B complex (B, B, atorvastatin, acetylsalicylic acid, metFORMIN hydrochloride, clopidogrel</t>
  </si>
  <si>
    <t>Lancets (Accu-Check) 1 box Lancets [n/a], Lancets (Accu-Check) 1 box Lancets [n/a], Lancets (Accu-Check) 1 box Lancets [n/a], amLODIPine 5 mg tablet, amLODIPine 5 mg tablet, amLODIPine 5 mg tablet, Glucometer Device (Accu-Chek) 1 device Device [n/a], Strips (Accu-Check) 1 box Strip [n/a], Glucometer Device (Accu-Chek) 1 device Device [n/a], Strips (Accu-Check) 1 box Strip [n/a], Glucometer Device (Accu-Chek) 1 device Device [n/a], Strips (Accu-Check) 1 box Strip [n/a], vitamin B complex (B1,B6,B12) 100,200,0.2 mg Film coated tablets [oral], atorvastatin 10 mg tablet, acetylsalicylic acid 100 mg tablet: enteric coated, metFORMIN hydrochloride 500 mg tablet, clopidogrel 75 mg tablet, vitamin B complex (B1,B6,B12) 100,200,0.2 mg Film coated tablets [oral], atorvastatin 10 mg tablet, acetylsalicylic acid 100 mg tablet: enteric coated, metFORMIN hydrochloride 500 mg tablet, clopidogrel 75 mg tablet, vitamin B complex (B1,B6,B12) 100,200,0.2 mg Film coated tablets [oral], atorvastatin 10 mg tablet, acetylsalicylic acid 100 mg tablet: enteric coated, metFORMIN hydrochloride 500 mg tablet, clopidogrel 75 mg tablet, gliclazide 30 mg tablet: modified release, gliclazide 30 mg tablet: modified release, gliclazide 30 mg tablet: modified release, vitamin B complex (B1,B6,B12) 100,200,0.2 mg Film coated tablets [oral], vitamin B complex (B1,B6,B12) 100,200,0.2 mg Film coated tablets [oral], vitamin B complex (B1,B6,B12) 100,200,0.2 mg Film coated tablets [oral], Lancets (Accu-Check) 1 box Lancets [n/a], Lancets (Accu-Check) 1 box Lancets [n/a], Lancets (Accu-Check) 1 box Lancets [n/a], metFORMIN hydrochloride 500 mg tablet, atorvastatin 10 mg tablet, clopidogrel 75 mg tablet, metFORMIN hydrochloride 500 mg tablet, atorvastatin 10 mg tablet, clopidogrel 75 mg tablet, metFORMIN hydrochloride 500 mg tablet, atorvastatin 10 mg tablet, clopidogrel 75 mg tablet, Glucometer Device (Accu-Chek) 1 device Device [n/a], gliclazide 30 mg tablet: modified release, amLODIPine 5 mg tablet, Glucometer Device (Accu-Chek) 1 device Device [n/a], gliclazide 30 mg tablet: modified release, amLODIPine 5 mg tablet, Glucometer Device (Accu-Chek) 1 device Device [n/a], gliclazide 30 mg tablet: modified release, amLODIPine 5 mg tablet, Strips (Accu-Check) 1 box Strip [n/a], acetylsalicylic acid 100 mg tablet: enteric coated, Strips (Accu-Check) 1 box Strip [n/a], acetylsalicylic acid 100 mg tablet: enteric coated, Strips (Accu-Check) 1 box Strip [n/a], acetylsalicylic acid 100 mg tablet: enteric coated, amLODIPine 5 mg tablet, amLODIPine 5 mg tablet, amLODIPine 5 mg tablet, vitamin B complex (B1,B6,B12) 100,200,0.2 mg Film coated tablets [oral], Strips (Accu-Check) 1 box Strip [n/a], vitamin B complex (B1,B6,B12) 100,200,0.2 mg Film coated tablets [oral], Strips (Accu-Check) 1 box Strip [n/a], vitamin B complex (B1,B6,B12) 100,200,0.2 mg Film coated tablets [oral], Strips (Accu-Check) 1 box Strip [n/a], Lancets (Accu-Check) 1 box Lancets [n/a], clopidogrel 75 mg tablet, Lancets (Accu-Check) 1 box Lancets [n/a], clopidogrel 75 mg tablet, Lancets (Accu-Check) 1 box Lancets [n/a], clopidogrel 75 mg tablet</t>
  </si>
  <si>
    <t>محمد يوسف بن عبدالمحسن الغنام</t>
  </si>
  <si>
    <t>paracetamol, ibuprofen, amLODIPine</t>
  </si>
  <si>
    <t>paracetamol 500 mg + codeine phosphate 8 mg + caffeine 30 mg tablet, paracetamol 500 mg + codeine phosphate 8 mg + caffeine 30 mg tablet, paracetamol 500 mg + codeine phosphate 8 mg + caffeine 30 mg tablet, paracetamol 500 mg + codeine phosphate 8 mg + caffeine 30 mg tablet, ibuprofen 400 mg tablet, ibuprofen 400 mg tablet, ibuprofen 400 mg tablet, ibuprofen 400 mg tablet, amLODIPine 5 mg tablet, amLODIPine 5 mg tablet, amLODIPine 5 mg tablet, amLODIPine 5 mg tablet, paracetamol 500 mg + codeine phosphate 8 mg + caffeine 30 mg tablet, paracetamol 500 mg + codeine phosphate 8 mg + caffeine 30 mg tablet, paracetamol 500 mg + codeine phosphate 8 mg + caffeine 30 mg tablet, paracetamol 500 mg + codeine phosphate 8 mg + caffeine 30 mg tablet, ibuprofen 400 mg tablet, ibuprofen 400 mg tablet, ibuprofen 400 mg tablet, ibuprofen 400 mg tablet, amLODIPine 5 mg tablet, amLODIPine 5 mg tablet, amLODIPine 5 mg tablet, amLODIPine 5 mg tablet, paracetamol 500 mg + codeine phosphate 8 mg + caffeine 30 mg tablet, paracetamol 500 mg + codeine phosphate 8 mg + caffeine 30 mg tablet, paracetamol 500 mg + codeine phosphate 8 mg + caffeine 30 mg tablet, paracetamol 500 mg + codeine phosphate 8 mg + caffeine 30 mg tablet, ibuprofen 400 mg tablet, ibuprofen 400 mg tablet, ibuprofen 400 mg tablet, ibuprofen 400 mg tablet, amLODIPine 5 mg tablet, amLODIPine 5 mg tablet, amLODIPine 5 mg tablet, amLODIPine 5 mg tablet</t>
  </si>
  <si>
    <t>ورده مطلق بن نجم الصالحي</t>
  </si>
  <si>
    <t>diclofenac sodium 1% (10 mg/g) gel, diclofenac sodium 1% (10 mg/g) gel, diclofenac sodium 1% (10 mg/g) gel, paracetamol 500 mg tablet, paracetamol 500 mg tablet, paracetamol 500 mg tablet, paracetamol 500 mg tablet, paracetamol 500 mg tablet, paracetamol 500 mg tablet, diclofenac sodium 1% (10 mg/g) gel, diclofenac sodium 1% (10 mg/g) gel, diclofenac sodium 1% (10 mg/g) gel, diclofenac sodium 1% (10 mg/g) gel, diclofenac sodium 1% (10 mg/g) gel, diclofenac sodium 1% (10 mg/g) gel, paracetamol 500 mg tablet, paracetamol 500 mg tablet, paracetamol 500 mg tablet</t>
  </si>
  <si>
    <t>مرام احمد بن حاسن الغامدي</t>
  </si>
  <si>
    <t>budesonide, vitamin B complex (B, B, salbutamol, metFORMIN hydrochloride</t>
  </si>
  <si>
    <t>budesonide 160 microgram/actuation + formoterol fumarate dihydrate 4.5 microgram/actuation inhalation: powder for, vitamin B complex (B1,B6,B12) 100,200,0.2 mg Film coated tablets [oral], budesonide 160 microgram/actuation + formoterol fumarate dihydrate 4.5 microgram/actuation inhalation: powder for, vitamin B complex (B1,B6,B12) 100,200,0.2 mg Film coated tablets [oral], budesonide 160 microgram/actuation + formoterol fumarate dihydrate 4.5 microgram/actuation inhalation: powder for, vitamin B complex (B1,B6,B12) 100,200,0.2 mg Film coated tablets [oral], salbutamol 100 microgram/actuation inhaler, metFORMIN hydrochloride 500 mg tablet, salbutamol 100 microgram/actuation inhaler, metFORMIN hydrochloride 500 mg tablet, salbutamol 100 microgram/actuation inhaler, metFORMIN hydrochloride 500 mg tablet, metFORMIN hydrochloride 500 mg tablet, metFORMIN hydrochloride 500 mg tablet, metFORMIN hydrochloride 500 mg tablet, budesonide 160 microgram/actuation + formoterol fumarate dihydrate 4.5 microgram/actuation inhalation: powder for, salbutamol 100 microgram/actuation inhaler, budesonide 160 microgram/actuation + formoterol fumarate dihydrate 4.5 microgram/actuation inhalation: powder for, salbutamol 100 microgram/actuation inhaler, budesonide 160 microgram/actuation + formoterol fumarate dihydrate 4.5 microgram/actuation inhalation: powder for, salbutamol 100 microgram/actuation inhaler, vitamin B complex (B1,B6,B12) 100,200,0.2 mg Film coated tablets [oral], vitamin B complex (B1,B6,B12) 100,200,0.2 mg Film coated tablets [oral], vitamin B complex (B1,B6,B12) 100,200,0.2 mg Film coated tablets [oral]</t>
  </si>
  <si>
    <t>عبدالله بن احمد بن حسن الغامدي</t>
  </si>
  <si>
    <t>metFORMIN hydrochloride, SITagliptin, empagliflozin</t>
  </si>
  <si>
    <t>metFORMIN hydrochloride 750 mg tablet: modified release, SITagliptin 100 mg tablet, metFORMIN hydrochloride 750 mg tablet: modified release, SITagliptin 100 mg tablet, metFORMIN hydrochloride 750 mg tablet: modified release, SITagliptin 100 mg tablet, metFORMIN hydrochloride 750 mg tablet: modified release, SITagliptin 100 mg tablet, metFORMIN hydrochloride 750 mg tablet: modified release, SITagliptin 100 mg tablet, metFORMIN hydrochloride 750 mg tablet: modified release, metFORMIN hydrochloride 750 mg tablet: modified release, metFORMIN hydrochloride 750 mg tablet: modified release, metFORMIN hydrochloride 750 mg tablet: modified release, metFORMIN hydrochloride 750 mg tablet: modified release, SITagliptin 100 mg tablet, SITagliptin 100 mg tablet, SITagliptin 100 mg tablet, SITagliptin 100 mg tablet, SITagliptin 100 mg tablet, empagliflozin 25 mg tablet, empagliflozin 25 mg tablet, empagliflozin 25 mg tablet, empagliflozin 25 mg tablet, empagliflozin 25 mg tablet, metFORMIN hydrochloride 750 mg tablet: modified release, metFORMIN hydrochloride 750 mg tablet: modified release, metFORMIN hydrochloride 750 mg tablet: modified release, metFORMIN hydrochloride 750 mg tablet: modified release, metFORMIN hydrochloride 750 mg tablet: modified release, SITagliptin 100 mg tablet, SITagliptin 100 mg tablet, SITagliptin 100 mg tablet, SITagliptin 100 mg tablet, SITagliptin 100 mg tablet, empagliflozin 25 mg tablet, empagliflozin 25 mg tablet, empagliflozin 25 mg tablet, empagliflozin 25 mg tablet, empagliflozin 25 mg tablet, SITagliptin 100 mg tablet, SITagliptin 100 mg tablet, SITagliptin 100 mg tablet, SITagliptin 100 mg tablet, SITagliptin 100 mg tablet, empagliflozin 25 mg tablet, empagliflozin 25 mg tablet, empagliflozin 25 mg tablet, empagliflozin 25 mg tablet, empagliflozin 25 mg tablet, metFORMIN hydrochloride 750 mg tablet: modified release, metFORMIN hydrochloride 750 mg tablet: modified release, metFORMIN hydrochloride 750 mg tablet: modified release, metFORMIN hydrochloride 750 mg tablet: modified release, metFORMIN hydrochloride 750 mg tablet: modified release</t>
  </si>
  <si>
    <t>نايف سعد عبدالرحمن الشهراني</t>
  </si>
  <si>
    <t>خالد عبدالله عبيد الزبيدي</t>
  </si>
  <si>
    <t>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 budesonide 160 microgram/actuation + formoterol fumarate dihydrate 4.5 microgram/actuation inhalation: powder for</t>
  </si>
  <si>
    <t>هنده بنت علي معروف</t>
  </si>
  <si>
    <t>عزه بنت يوسف ابن عبدالله امان</t>
  </si>
  <si>
    <t>atorvastatin, amLODIPine, colecalciferol, vitamin B complex (B, B, levothyroxine sodium</t>
  </si>
  <si>
    <t>atorvastatin 10 mg tablet, atorvastatin 10 mg tablet, atorvastatin 10 mg tablet, amLODIPine 5 mg tablet, amLODIPine 5 mg tablet, amLODIPine 5 mg tablet, colecalciferol 50 000 international units tablet, colecalciferol 50 000 international units tablet, colecalciferol 50 000 international units tablet, vitamin B complex (B1,B6,B12) 100,200,0.2 mg Film coated tablets [oral], levothyroxine sodium 25 microgram tablet, vitamin B complex (B1,B6,B12) 100,200,0.2 mg Film coated tablets [oral], levothyroxine sodium 25 microgram tablet, vitamin B complex (B1,B6,B12) 100,200,0.2 mg Film coated tablets [oral], levothyroxine sodium 25 microgram tablet, atorvastatin 10 mg tablet, atorvastatin 10 mg tablet, atorvastatin 10 mg tablet, amLODIPine 5 mg tablet, amLODIPine 5 mg tablet, amLODIPine 5 mg tablet, colecalciferol 50 000 international units tablet, colecalciferol 50 000 international units tablet, colecalciferol 50 000 international units tablet, levothyroxine sodium 25 microgram tablet, vitamin B complex (B1,B6,B12) 100,200,0.2 mg Film coated tablets [oral], levothyroxine sodium 25 microgram tablet, vitamin B complex (B1,B6,B12) 100,200,0.2 mg Film coated tablets [oral], levothyroxine sodium 25 microgram tablet, vitamin B complex (B1,B6,B12) 100,200,0.2 mg Film coated tablets [oral]</t>
  </si>
  <si>
    <t>حميده بنت صديق ابن محمود حسن</t>
  </si>
  <si>
    <t>celecoxib, diclofenac sodium, baclofen</t>
  </si>
  <si>
    <t>celecoxib 200 mg capsule, celecoxib 200 mg capsule, celecoxib 200 mg capsule, celecoxib 200 mg capsule, celecoxib 200 mg capsule, celecoxib 200 mg capsule, celecoxib 200 mg capsule, celecoxib 200 mg capsule, celecoxib 200 mg capsule, celecoxib 200 mg capsule,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baclofen 10 mg tablet, baclofen 10 mg tablet, baclofen 10 mg tablet, baclofen 10 mg tablet, baclofen 10 mg tablet, baclofen 10 mg tablet, baclofen 10 mg tablet, baclofen 10 mg tablet, baclofen 10 mg tablet, baclofen 10 mg tablet, celecoxib 200 mg capsule, celecoxib 200 mg capsule, celecoxib 200 mg capsule, celecoxib 200 mg capsule, celecoxib 200 mg capsule, celecoxib 200 mg capsule, celecoxib 200 mg capsule, celecoxib 200 mg capsule, celecoxib 200 mg capsule, celecoxib 200 mg capsule, diclofenac sodium 1% (10 mg/g) gel, baclofen 10 mg tablet, diclofenac sodium 1% (10 mg/g) gel, baclofen 10 mg tablet, diclofenac sodium 1% (10 mg/g) gel, baclofen 10 mg tablet, diclofenac sodium 1% (10 mg/g) gel, baclofen 10 mg tablet, diclofenac sodium 1% (10 mg/g) gel, baclofen 10 mg tablet, diclofenac sodium 1% (10 mg/g) gel, baclofen 10 mg tablet, diclofenac sodium 1% (10 mg/g) gel, baclofen 10 mg tablet, diclofenac sodium 1% (10 mg/g) gel, baclofen 10 mg tablet, diclofenac sodium 1% (10 mg/g) gel, baclofen 10 mg tablet, diclofenac sodium 1% (10 mg/g) gel, baclofen 10 mg tablet, celecoxib 200 mg capsule, celecoxib 200 mg capsule, celecoxib 200 mg capsule, celecoxib 200 mg capsule, celecoxib 200 mg capsule, celecoxib 200 mg capsule, celecoxib 200 mg capsule, celecoxib 200 mg capsule, celecoxib 200 mg capsule, celecoxib 200 mg capsule, baclofen 10 mg tablet, baclofen 10 mg tablet, baclofen 10 mg tablet, baclofen 10 mg tablet, baclofen 10 mg tablet, baclofen 10 mg tablet, baclofen 10 mg tablet, baclofen 10 mg tablet, baclofen 10 mg tablet, baclofen 10 mg tablet,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t>
  </si>
  <si>
    <t>سلمان صالح جابر السواط</t>
  </si>
  <si>
    <t>Strips (Accu-Check), Lancets (Accu-Check), SITagliptin, metFORMIN hydrochloride, vitamin B complex (B, B, empagliflozin, Glucometer Device (Accu-Chek)</t>
  </si>
  <si>
    <t>Strips (Accu-Check) 1 box Strip [n/a], Strips (Accu-Check) 1 box Strip [n/a], Strips (Accu-Check) 1 box Strip [n/a], Lancets (Accu-Check) 1 box Lancets [n/a], Lancets (Accu-Check) 1 box Lancets [n/a], Lancets (Accu-Check) 1 box Lancets [n/a], SITagliptin 100 mg tablet, SITagliptin 100 mg tablet, SITagliptin 100 mg tablet, metFORMIN hydrochloride 750 mg tablet: modified release, metFORMIN hydrochloride 750 mg tablet: modified release, metFORMIN hydrochloride 750 mg tablet: modified release, vitamin B complex (B1,B6,B12) 100,200,0.2 mg Film coated tablets [oral], empagliflozin 10 mg tablet, Glucometer Device (Accu-Chek) 1 device Device [n/a], vitamin B complex (B1,B6,B12) 100,200,0.2 mg Film coated tablets [oral], empagliflozin 10 mg tablet, Glucometer Device (Accu-Chek) 1 device Device [n/a], vitamin B complex (B1,B6,B12) 100,200,0.2 mg Film coated tablets [oral], empagliflozin 10 mg tablet, Glucometer Device (Accu-Chek) 1 device Device [n/a], Lancets (Accu-Check) 1 box Lancets [n/a], Lancets (Accu-Check) 1 box Lancets [n/a], Lancets (Accu-Check) 1 box Lancets [n/a], vitamin B complex (B1,B6,B12) 100,200,0.2 mg Film coated tablets [oral], SITagliptin 100 mg tablet, vitamin B complex (B1,B6,B12) 100,200,0.2 mg Film coated tablets [oral], SITagliptin 100 mg tablet, vitamin B complex (B1,B6,B12) 100,200,0.2 mg Film coated tablets [oral], SITagliptin 100 mg tablet, metFORMIN hydrochloride 750 mg tablet: modified release, Glucometer Device (Accu-Chek) 1 device Device [n/a], metFORMIN hydrochloride 750 mg tablet: modified release, Glucometer Device (Accu-Chek) 1 device Device [n/a], metFORMIN hydrochloride 750 mg tablet: modified release, Glucometer Device (Accu-Chek) 1 device Device [n/a], Strips (Accu-Check) 1 box Strip [n/a], empagliflozin 10 mg tablet, Strips (Accu-Check) 1 box Strip [n/a], empagliflozin 10 mg tablet, Strips (Accu-Check) 1 box Strip [n/a], empagliflozin 10 mg tablet</t>
  </si>
  <si>
    <t>العنود عبدالخالق محمد الثميري</t>
  </si>
  <si>
    <t>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t>
  </si>
  <si>
    <t>عبدالرحمن ابن سالم ابن فالح السلمي</t>
  </si>
  <si>
    <t>vitamins (A, B, C, D, tamsulosin hydrochloride</t>
  </si>
  <si>
    <t>vitamins (A, B1, B2, B3, C, D3) tablet, vitamins (A, B1, B2, B3, C, D3) tablet, vitamins (A, B1, B2, B3, C, D3) tablet, vitamins (A, B1, B2, B3, C, D3) tablet, tamsulosin hydrochloride 400 microgram tablet: modified release, tamsulosin hydrochloride 400 microgram tablet: modified release, tamsulosin hydrochloride 400 microgram tablet: modified release, tamsulosin hydrochloride 400 microgram tablet: modified release, tamsulosin hydrochloride 400 microgram tablet: modified release, tamsulosin hydrochloride 400 microgram tablet: modified release, tamsulosin hydrochloride 400 microgram tablet: modified release, tamsulosin hydrochloride 400 microgram tablet: modified release, vitamins (A, B1, B2, B3, C, D3) tablet, vitamins (A, B1, B2, B3, C, D3) tablet, vitamins (A, B1, B2, B3, C, D3) tablet, vitamins (A, B1, B2, B3, C, D3) tablet, tamsulosin hydrochloride 400 microgram tablet: modified release, tamsulosin hydrochloride 400 microgram tablet: modified release, tamsulosin hydrochloride 400 microgram tablet: modified release, tamsulosin hydrochloride 400 microgram tablet: modified release, vitamins (A, B1, B2, B3, C, D3) tablet, vitamins (A, B1, B2, B3, C, D3) tablet, vitamins (A, B1, B2, B3, C, D3) tablet, vitamins (A, B1, B2, B3, C, D3) tablet</t>
  </si>
  <si>
    <t>روان يحيى علي الزهراني</t>
  </si>
  <si>
    <t>محمد عبدالظاهر علي عبدالودود</t>
  </si>
  <si>
    <t>Strips (Accu-Check), potassium chloride, metFORMIN hydrochloride, empagliflozin, SITagliptin, vitamin B complex (B, B, rosuvastatin, Lancets (Accu-Check)</t>
  </si>
  <si>
    <t>Strips (Accu-Check) 1 box Strip [n/a], potassium chloride 0.0466 g - sodium chloride 0.3508 g - macrogol 13.125 g - sodium hydrogen carbonate 0.1786 g Powder for solution [oral], Strips (Accu-Check) 1 box Strip [n/a], potassium chloride 0.0466 g - sodium chloride 0.3508 g - macrogol 13.125 g - sodium hydrogen carbonate 0.1786 g Powder for solution [oral], Strips (Accu-Check) 1 box Strip [n/a], potassium chloride 0.0466 g - sodium chloride 0.3508 g - macrogol 13.125 g - sodium hydrogen carbonate 0.1786 g Powder for solution [oral], metFORMIN hydrochloride 500 mg tablet, empagliflozin 25 mg tablet, metFORMIN hydrochloride 500 mg tablet, empagliflozin 25 mg tablet, metFORMIN hydrochloride 500 mg tablet, empagliflozin 25 mg tablet, SITagliptin 100 mg tablet, vitamin B complex (B1,B6,B12) 100,200,0.2 mg Film coated tablets [oral], rosuvastatin 20 mg tablet, Lancets (Accu-Check) 1 box Lancets [n/a], SITagliptin 100 mg tablet, vitamin B complex (B1,B6,B12) 100,200,0.2 mg Film coated tablets [oral], rosuvastatin 20 mg tablet, Lancets (Accu-Check) 1 box Lancets [n/a], SITagliptin 100 mg tablet, vitamin B complex (B1,B6,B12) 100,200,0.2 mg Film coated tablets [oral], rosuvastatin 20 mg tablet, Lancets (Accu-Check) 1 box Lancets [n/a], rosuvastatin 20 mg tablet, Strips (Accu-Check) 1 box Strip [n/a], Lancets (Accu-Check) 1 box Lancets [n/a], SITagliptin 100 mg tablet, rosuvastatin 20 mg tablet, Strips (Accu-Check) 1 box Strip [n/a], Lancets (Accu-Check) 1 box Lancets [n/a], SITagliptin 100 mg tablet, rosuvastatin 20 mg tablet, Strips (Accu-Check) 1 box Strip [n/a], Lancets (Accu-Check) 1 box Lancets [n/a], SITagliptin 100 mg tablet, empagliflozin 25 mg tablet, vitamin B complex (B1,B6,B12) 100,200,0.2 mg Film coated tablets [oral], empagliflozin 25 mg tablet, vitamin B complex (B1,B6,B12) 100,200,0.2 mg Film coated tablets [oral], empagliflozin 25 mg tablet, vitamin B complex (B1,B6,B12) 100,200,0.2 mg Film coated tablets [oral], potassium chloride 0.0466 g - sodium chloride 0.3508 g - macrogol 13.125 g - sodium hydrogen carbonate 0.1786 g Powder for solution [oral], metFORMIN hydrochloride 500 mg tablet, potassium chloride 0.0466 g - sodium chloride 0.3508 g - macrogol 13.125 g - sodium hydrogen carbonate 0.1786 g Powder for solution [oral], metFORMIN hydrochloride 500 mg tablet, potassium chloride 0.0466 g - sodium chloride 0.3508 g - macrogol 13.125 g - sodium hydrogen carbonate 0.1786 g Powder for solution [oral], metFORMIN hydrochloride 500 mg tablet, vitamin B complex (B1,B6,B12) 100,200,0.2 mg Film coated tablets [oral], empagliflozin 25 mg tablet, vitamin B complex (B1,B6,B12) 100,200,0.2 mg Film coated tablets [oral], empagliflozin 25 mg tablet, vitamin B complex (B1,B6,B12) 100,200,0.2 mg Film coated tablets [oral], empagliflozin 25 mg tablet, Strips (Accu-Check) 1 box Strip [n/a], Strips (Accu-Check) 1 box Strip [n/a], Strips (Accu-Check) 1 box Strip [n/a], SITagliptin 100 mg tablet, rosuvastatin 20 mg tablet, potassium chloride 0.0466 g - sodium chloride 0.3508 g - macrogol 13.125 g - sodium hydrogen carbonate 0.1786 g Powder for solution [oral], Lancets (Accu-Check) 1 box Lancets [n/a], SITagliptin 100 mg tablet, rosuvastatin 20 mg tablet, potassium chloride 0.0466 g - sodium chloride 0.3508 g - macrogol 13.125 g - sodium hydrogen carbonate 0.1786 g Powder for solution [oral], Lancets (Accu-Check) 1 box Lancets [n/a], SITagliptin 100 mg tablet, rosuvastatin 20 mg tablet, potassium chloride 0.0466 g - sodium chloride 0.3508 g - macrogol 13.125 g - sodium hydrogen carbonate 0.1786 g Powder for solution [oral], Lancets (Accu-Check) 1 box Lancets [n/a], metFORMIN hydrochloride 500 mg tablet, metFORMIN hydrochloride 500 mg tablet, metFORMIN hydrochloride 500 mg tablet, Strips (Accu-Check) 1 box Strip [n/a], Strips (Accu-Check) 1 box Strip [n/a], Strips (Accu-Check) 1 box Strip [n/a], SITagliptin 100 mg tablet, SITagliptin 100 mg tablet, SITagliptin 100 mg tablet, rosuvastatin 20 mg tablet, rosuvastatin 20 mg tablet, rosuvastatin 20 mg tablet, rosuvastatin 20 mg tablet, empagliflozin 25 mg tablet, rosuvastatin 20 mg tablet, empagliflozin 25 mg tablet, rosuvastatin 20 mg tablet, empagliflozin 25 mg tablet, potassium chloride 0.0466 g - sodium chloride 0.3508 g - macrogol 13.125 g - sodium hydrogen carbonate 0.1786 g Powder for solution [oral], vitamin B complex (B1,B6,B12) 100,200,0.2 mg Film coated tablets [oral], SITagliptin 100 mg tablet, potassium chloride 0.0466 g - sodium chloride 0.3508 g - macrogol 13.125 g - sodium hydrogen carbonate 0.1786 g Powder for solution [oral], vitamin B complex (B1,B6,B12) 100,200,0.2 mg Film coated tablets [oral], SITagliptin 100 mg tablet, potassium chloride 0.0466 g - sodium chloride 0.3508 g - macrogol 13.125 g - sodium hydrogen carbonate 0.1786 g Powder for solution [oral], vitamin B complex (B1,B6,B12) 100,200,0.2 mg Film coated tablets [oral], SITagliptin 100 mg tablet</t>
  </si>
  <si>
    <t>عزه علي شري البيشي</t>
  </si>
  <si>
    <t>ferrous sulfate, rosuvastatin</t>
  </si>
  <si>
    <t>ferrous sulfate 190 mg Tablets [oral], rosuvastatin 20 mg tablet, ferrous sulfate 190 mg Tablets [oral], rosuvastatin 20 mg tablet, ferrous sulfate 190 mg Tablets [oral], rosuvastatin 20 mg tablet, ferrous sulfate 190 mg Tablets [oral], rosuvastatin 20 mg tablet</t>
  </si>
  <si>
    <t>تسنيم علي عبدالله الغامدي</t>
  </si>
  <si>
    <t>insulin lispro, insulin glargine (lantus), Insulin Pen Needle</t>
  </si>
  <si>
    <t>insulin lispro 100 international units/mL injection, 3 mL prefilled pen, insulin glargine (lantus) 100 international units/mL injection, 3 mL prefilled pen, insulin lispro 100 international units/mL injection, 3 mL prefilled pen, insulin glargine (lantus) 100 international units/mL injection, 3 mL prefilled pen, insulin lispro 100 international units/mL injection, 3 mL prefilled pen, insulin glargine (lantus) 100 international units/mL injection, 3 mL prefilled pen, Insulin Pen Needle 4mm Needle [sc], Insulin Pen Needle 4mm Needle [sc], Insulin Pen Needle 4mm Needle [sc], insulin glargine (lantus) 100 international units/mL injection, 3 mL prefilled pen, insulin lispro 100 international units/mL injection, 3 mL prefilled pen, insulin glargine (lantus) 100 international units/mL injection, 3 mL prefilled pen, insulin lispro 100 international units/mL injection, 3 mL prefilled pen, insulin glargine (lantus) 100 international units/mL injection, 3 mL prefilled pen, insulin lispro 100 international units/mL injection, 3 mL prefilled pen, Insulin Pen Needle 4mm Needle [sc], Insulin Pen Needle 4mm Needle [sc], Insulin Pen Needle 4mm Needle [sc]</t>
  </si>
  <si>
    <t>نعيمه بنت حسن بن احمد العطاس</t>
  </si>
  <si>
    <t>levothyroxine sodium 25 microgram tablet, levothyroxine sodium 25 microgram tablet, levothyroxine sodium 25 microgram tablet, levothyroxine sodium 25 microgram tablet, levothyroxine sodium 25 microgram tablet, levothyroxine sodium 25 microgram tablet, levothyroxine sodium 25 microgram tablet, levothyroxine sodium 25 microgram tablet, levothyroxine sodium 25 microgram tablet</t>
  </si>
  <si>
    <t>رضا حمدي احمد محمد</t>
  </si>
  <si>
    <t>سعديه سعيد هنيدي الخميسي</t>
  </si>
  <si>
    <t>Lancets (Accu-Check) 1 box Lancets [n/a], Glucometer Device (Accu-Chek) 1 device Device [n/a], Strips (Accu-Check) 1 box Strip [n/a], Lancets (Accu-Check) 1 box Lancets [n/a], Glucometer Device (Accu-Chek) 1 device Device [n/a], Strips (Accu-Check) 1 box Strip [n/a], Lancets (Accu-Check) 1 box Lancets [n/a], Glucometer Device (Accu-Chek) 1 device Device [n/a], Strips (Accu-Check) 1 box Strip [n/a], Glucometer Device (Accu-Chek) 1 device Device [n/a], Glucometer Device (Accu-Chek) 1 device Device [n/a], Glucometer Device (Accu-Chek) 1 device Device [n/a], Strips (Accu-Check) 1 box Strip [n/a], Strips (Accu-Check) 1 box Strip [n/a], Strips (Accu-Check) 1 box Strip [n/a], Lancets (Accu-Check) 1 box Lancets [n/a], Lancets (Accu-Check) 1 box Lancets [n/a], Lancets (Accu-Check) 1 box Lancets [n/a]</t>
  </si>
  <si>
    <t>بشرى محمد حميد الجدعاني</t>
  </si>
  <si>
    <t>empagliflozin, escitalopram, metFORMIN hydrochloride</t>
  </si>
  <si>
    <t>empagliflozin 10 mg tablet, escitalopram 10 mg tablet, empagliflozin 10 mg tablet, escitalopram 10 mg tablet, empagliflozin 10 mg tablet, escitalopram 10 mg tablet, empagliflozin 10 mg tablet, escitalopram 10 mg tablet, empagliflozin 10 mg tablet, escitalopram 10 mg tablet, empagliflozin 10 mg tablet, escitalopram 10 mg tablet, metFORMIN hydrochloride 500 mg tablet, metFORMIN hydrochloride 500 mg tablet, metFORMIN hydrochloride 500 mg tablet, metFORMIN hydrochloride 500 mg tablet, metFORMIN hydrochloride 500 mg tablet, metFORMIN hydrochloride 500 mg tablet, empagliflozin 10 mg tablet, escitalopram 10 mg tablet, metFORMIN hydrochloride 500 mg tablet, empagliflozin 10 mg tablet, escitalopram 10 mg tablet, metFORMIN hydrochloride 500 mg tablet, empagliflozin 10 mg tablet, escitalopram 10 mg tablet, metFORMIN hydrochloride 500 mg tablet, empagliflozin 10 mg tablet, escitalopram 10 mg tablet, metFORMIN hydrochloride 500 mg tablet, empagliflozin 10 mg tablet, escitalopram 10 mg tablet, metFORMIN hydrochloride 500 mg tablet, empagliflozin 10 mg tablet, escitalopram 10 mg tablet, metFORMIN hydrochloride 500 mg tablet, escitalopram 10 mg tablet, metFORMIN hydrochloride 500 mg tablet, empagliflozin 10 mg tablet, escitalopram 10 mg tablet, metFORMIN hydrochloride 500 mg tablet, empagliflozin 10 mg tablet, escitalopram 10 mg tablet, metFORMIN hydrochloride 500 mg tablet, empagliflozin 10 mg tablet, escitalopram 10 mg tablet, metFORMIN hydrochloride 500 mg tablet, empagliflozin 10 mg tablet, escitalopram 10 mg tablet, metFORMIN hydrochloride 500 mg tablet, empagliflozin 10 mg tablet, escitalopram 10 mg tablet, metFORMIN hydrochloride 500 mg tablet, empagliflozin 10 mg tablet, escitalopram 10 mg tablet, metFORMIN hydrochloride 500 mg tablet, empagliflozin 10 mg tablet, escitalopram 10 mg tablet, metFORMIN hydrochloride 500 mg tablet, empagliflozin 10 mg tablet, escitalopram 10 mg tablet, metFORMIN hydrochloride 500 mg tablet, empagliflozin 10 mg tablet, escitalopram 10 mg tablet, metFORMIN hydrochloride 500 mg tablet, empagliflozin 10 mg tablet, escitalopram 10 mg tablet, metFORMIN hydrochloride 500 mg tablet, empagliflozin 10 mg tablet, escitalopram 10 mg tablet, metFORMIN hydrochloride 500 mg tablet, empagliflozin 10 mg tablet, escitalopram 10 mg tablet, escitalopram 10 mg tablet, escitalopram 10 mg tablet, escitalopram 10 mg tablet, escitalopram 10 mg tablet, escitalopram 10 mg tablet, empagliflozin 10 mg tablet, empagliflozin 10 mg tablet, empagliflozin 10 mg tablet, empagliflozin 10 mg tablet, empagliflozin 10 mg tablet, empagliflozin 10 mg tablet, metFORMIN hydrochloride 500 mg tablet, metFORMIN hydrochloride 500 mg tablet, metFORMIN hydrochloride 500 mg tablet, metFORMIN hydrochloride 500 mg tablet, metFORMIN hydrochloride 500 mg tablet, metFORMIN hydrochloride 500 mg tablet</t>
  </si>
  <si>
    <t>اميره غازي محمد القرني</t>
  </si>
  <si>
    <t>paracetamol, ibuprofen</t>
  </si>
  <si>
    <t>paracetamol 500 mg tablet, paracetamol 500 mg tablet, ibuprofen 400 mg tablet, ibuprofen 400 mg tablet, paracetamol 500 mg tablet, paracetamol 500 mg tablet, ibuprofen 400 mg tablet, ibuprofen 400 mg tablet</t>
  </si>
  <si>
    <t>حياة عبدالرحمن بن عبدالقادر خوقير</t>
  </si>
  <si>
    <t>naphazoline nitrate</t>
  </si>
  <si>
    <t>naphazoline nitrate 0.1% (1 mg/mL) eye drops, naphazoline nitrate 0.1% (1 mg/mL) eye drops, naphazoline nitrate 0.1% (1 mg/mL) eye drops, naphazoline nitrate 0.1% (1 mg/mL) eye drops, naphazoline nitrate 0.1% (1 mg/mL) eye drops, naphazoline nitrate 0.1% (1 mg/mL) eye drops, naphazoline nitrate 0.1% (1 mg/mL) eye drops, naphazoline nitrate 0.1% (1 mg/mL) eye drops, naphazoline nitrate 0.1% (1 mg/mL) eye drops, naphazoline nitrate 0.1% (1 mg/mL) eye drops, naphazoline nitrate 0.1% (1 mg/mL) eye drops, naphazoline nitrate 0.1% (1 mg/mL) eye drops, naphazoline nitrate 0.1% (1 mg/mL) eye drops, naphazoline nitrate 0.1% (1 mg/mL) eye drops, naphazoline nitrate 0.1% (1 mg/mL) eye drops</t>
  </si>
  <si>
    <t>عبدالرحمن محمد عبدالله الحربي</t>
  </si>
  <si>
    <t>ibuprofen 400 mg tablet, ibuprofen 400 mg tablet, ibuprofen 400 mg tablet, ibuprofen 400 mg tablet</t>
  </si>
  <si>
    <t>معيش بن عبدالمعيش بن عواض الحربي</t>
  </si>
  <si>
    <t>omeprazole, tamsulosin hydrochloride, metFORMIN hydrochloride, vitamin B complex (B, B, valsartan, amLODIPine, atorvastatin, acetylsalicylic acid</t>
  </si>
  <si>
    <t>omeprazole 20 mg tablet: enteric coated, tamsulosin hydrochloride 400 microgram tablet: modified release, omeprazole 20 mg tablet: enteric coated, tamsulosin hydrochloride 400 microgram tablet: modified release, metFORMIN hydrochloride 500 mg tablet, metFORMIN hydrochloride 500 mg tablet, vitamin B complex (B1,B6,B12) 100,200,0.2 mg Film coated tablets [oral], valsartan 80 mg tablet, amLODIPine 10 mg capsule, atorvastatin 10 mg tablet, vitamin B complex (B1,B6,B12) 100,200,0.2 mg Film coated tablets [oral], valsartan 80 mg tablet, amLODIPine 10 mg capsule, atorvastatin 10 mg tablet, acetylsalicylic acid 100 mg tablet: enteric coated, acetylsalicylic acid 100 mg tablet: enteric coated, tamsulosin hydrochloride 400 microgram tablet: modified release, amLODIPine 10 mg capsule, metFORMIN hydrochloride 500 mg tablet, tamsulosin hydrochloride 400 microgram tablet: modified release, amLODIPine 10 mg capsule, metFORMIN hydrochloride 500 mg tablet, omeprazole 20 mg tablet: enteric coated, omeprazole 20 mg tablet: enteric coated, acetylsalicylic acid 100 mg tablet: enteric coated, vitamin B complex (B1,B6,B12) 100,200,0.2 mg Film coated tablets [oral], acetylsalicylic acid 100 mg tablet: enteric coated, vitamin B complex (B1,B6,B12) 100,200,0.2 mg Film coated tablets [oral], valsartan 80 mg tablet, atorvastatin 10 mg tablet, valsartan 80 mg tablet, atorvastatin 10 mg tablet</t>
  </si>
  <si>
    <t>سطام محمد صالح المطيري</t>
  </si>
  <si>
    <t>SITagliptin, glimepiride, metFORMIN hydrochloride</t>
  </si>
  <si>
    <t>SITagliptin 100 mg tablet, SITagliptin 100 mg tablet, SITagliptin 100 mg tablet, SITagliptin 100 mg tablet, glimepiride 2 mg tablet, glimepiride 2 mg tablet, glimepiride 2 mg tablet, glimepiride 2 mg tablet, metFORMIN hydrochloride 750 mg tablet: modified release, metFORMIN hydrochloride 750 mg tablet: modified release, metFORMIN hydrochloride 750 mg tablet: modified release, metFORMIN hydrochloride 750 mg tablet: modified release, SITagliptin 100 mg tablet, SITagliptin 100 mg tablet, SITagliptin 100 mg tablet, SITagliptin 100 mg tablet, metFORMIN hydrochloride 750 mg tablet: modified release, metFORMIN hydrochloride 750 mg tablet: modified release, metFORMIN hydrochloride 750 mg tablet: modified release, metFORMIN hydrochloride 750 mg tablet: modified release, glimepiride 2 mg tablet, glimepiride 2 mg tablet, glimepiride 2 mg tablet, glimepiride 2 mg tablet</t>
  </si>
  <si>
    <t>ماجد بن سعد بن عامر الشهري</t>
  </si>
  <si>
    <t>سلطانه فهد عبيد السالمي</t>
  </si>
  <si>
    <t>حمود عبدالله جازع الشهري</t>
  </si>
  <si>
    <t>Glucometer Device (Accu-Chek) 1 device Device [n/a], Glucometer Device (Accu-Chek) 1 device Device [n/a], Lancets (Accu-Check) 1 box Lancets [n/a], Strips (Accu-Check) 1 box Strip [n/a], Lancets (Accu-Check) 1 box Lancets [n/a], Strips (Accu-Check) 1 box Strip [n/a], Strips (Accu-Check) 1 box Strip [n/a], Strips (Accu-Check) 1 box Strip [n/a], Glucometer Device (Accu-Chek) 1 device Device [n/a], Glucometer Device (Accu-Chek) 1 device Device [n/a], Lancets (Accu-Check) 1 box Lancets [n/a], Lancets (Accu-Check) 1 box Lancets [n/a], Glucometer Device (Accu-Chek) 1 device Device [n/a], Glucometer Device (Accu-Chek) 1 device Device [n/a], Strips (Accu-Check) 1 box Strip [n/a], Strips (Accu-Check) 1 box Strip [n/a], Glucometer Device (Accu-Chek) 1 device Device [n/a], Strips (Accu-Check) 1 box Strip [n/a], Glucometer Device (Accu-Chek) 1 device Device [n/a], Strips (Accu-Check) 1 box Strip [n/a], Lancets (Accu-Check) 1 box Lancets [n/a], Lancets (Accu-Check) 1 box Lancets [n/a], Lancets (Accu-Check) 1 box Lancets [n/a], Lancets (Accu-Check) 1 box Lancets [n/a], Glucometer Device (Accu-Chek) 1 device Device [n/a], Glucometer Device (Accu-Chek) 1 device Device [n/a], Strips (Accu-Check) 1 box Strip [n/a], Strips (Accu-Check) 1 box Strip [n/a]</t>
  </si>
  <si>
    <t>سعود مسند مبارك المطيري</t>
  </si>
  <si>
    <t>عبدالرحمن عياش بن مخيضر الخميسي</t>
  </si>
  <si>
    <t>sodium chloride, insulin aspart, Insulin Pen Needle, cetirizine hydrochloride</t>
  </si>
  <si>
    <t>sodium chloride 0.9% (9 mg/mL) nasal spray, insulin aspart 30 international units/mL + insulin aspart protamine 70 international units/mL injection, 3 mL prefilled pen, Insulin Pen Needle 4mm Needle [sc], cetirizine hydrochloride 10 mg tablet, sodium chloride 0.9% (9 mg/mL) nasal spray, insulin aspart 30 international units/mL + insulin aspart protamine 70 international units/mL injection, 3 mL prefilled pen, Insulin Pen Needle 4mm Needle [sc], cetirizine hydrochloride 10 mg tablet, sodium chloride 0.9% (9 mg/mL) nasal spray, insulin aspart 30 international units/mL + insulin aspart protamine 70 international units/mL injection, 3 mL prefilled pen, Insulin Pen Needle 4mm Needle [sc], cetirizine hydrochloride 10 mg tablet, sodium chloride 0.9% (9 mg/mL) nasal spray, insulin aspart 30 international units/mL + insulin aspart protamine 70 international units/mL injection, 3 mL prefilled pen, Insulin Pen Needle 4mm Needle [sc], cetirizine hydrochloride 10 mg tablet, sodium chloride 0.9% (9 mg/mL) nasal spray, insulin aspart 30 international units/mL + insulin aspart protamine 70 international units/mL injection, 3 mL prefilled pen, Insulin Pen Needle 4mm Needle [sc], cetirizine hydrochloride 10 mg tablet, cetirizine hydrochloride 10 mg tablet, insulin aspart 30 international units/mL + insulin aspart protamine 70 international units/mL injection, 3 mL prefilled pen, cetirizine hydrochloride 10 mg tablet, insulin aspart 30 international units/mL + insulin aspart protamine 70 international units/mL injection, 3 mL prefilled pen, cetirizine hydrochloride 10 mg tablet, insulin aspart 30 international units/mL + insulin aspart protamine 70 international units/mL injection, 3 mL prefilled pen, cetirizine hydrochloride 10 mg tablet, insulin aspart 30 international units/mL + insulin aspart protamine 70 international units/mL injection, 3 mL prefilled pen, cetirizine hydrochloride 10 mg tablet, insulin aspart 30 international units/mL + insulin aspart protamine 70 international units/mL injection, 3 mL prefilled pen, sodium chloride 0.9% (9 mg/mL) nasal spray, sodium chloride 0.9% (9 mg/mL) nasal spray, sodium chloride 0.9% (9 mg/mL) nasal spray, sodium chloride 0.9% (9 mg/mL) nasal spray, sodium chloride 0.9% (9 mg/mL) nasal spray, Insulin Pen Needle 4mm Needle [sc], Insulin Pen Needle 4mm Needle [sc], Insulin Pen Needle 4mm Needle [sc], Insulin Pen Needle 4mm Needle [sc], Insulin Pen Needle 4mm Needle [sc]</t>
  </si>
  <si>
    <t>محمد سعيد بن علي الغامدي</t>
  </si>
  <si>
    <t>نوف عبدالعزيز بن غازي المحمدي</t>
  </si>
  <si>
    <t>بدور محمد عبدالقادر امبا</t>
  </si>
  <si>
    <t>paracetamol 500 mg tablet, paracetamol 500 mg tablet, paracetamol 500 mg tablet, paracetamol 500 mg tablet, paracetamol 500 mg tablet, paracetamol 500 mg tablet, cetirizine hydrochloride 10 mg tablet, cetirizine hydrochloride 10 mg tablet, cetirizine hydrochloride 10 mg tablet, cetirizine hydrochloride 10 mg tablet, cetirizine hydrochloride 10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paracetamol 500 mg tablet, paracetamol 500 mg tablet, paracetamol 500 mg tablet, paracetamol 500 mg tablet, paracetamol 500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paracetamol 500 mg tablet, paracetamol 500 mg tablet, paracetamol 500 mg tablet, paracetamol 500 mg tablet, paracetamol 500 mg tablet, paracetamol 500 mg tablet, cetirizine hydrochloride 10 mg tablet, cetirizine hydrochloride 10 mg tablet, cetirizine hydrochloride 10 mg tablet, cetirizine hydrochloride 10 mg tablet, cetirizine hydrochloride 10 mg tablet, cetirizine hydrochloride 10 mg tablet, paracetamol 500 mg tablet, paracetamol 500 mg tablet, paracetamol 500 mg tablet, paracetamol 500 mg tablet, paracetamol 500 mg tablet, paracetamol 500 mg tablet</t>
  </si>
  <si>
    <t>انتصار بنت محروس بن محمد عيد</t>
  </si>
  <si>
    <t>mometasone furoate, diclofenac sodium</t>
  </si>
  <si>
    <t>mometasone furoate 0.1% (1 mg/g) cream, mometasone furoate 0.1% (1 mg/g) cream, diclofenac sodium 1% (10 mg/g) gel, diclofenac sodium 1% (10 mg/g) gel, mometasone furoate 0.1% (1 mg/g) cream, mometasone furoate 0.1% (1 mg/g) cream, diclofenac sodium 1% (10 mg/g) gel, diclofenac sodium 1% (10 mg/g) gel, diclofenac sodium 1% (10 mg/g) gel, diclofenac sodium 1% (10 mg/g) gel, mometasone furoate 0.1% (1 mg/g) cream, mometasone furoate 0.1% (1 mg/g) cream</t>
  </si>
  <si>
    <t>نامي رعد نامي الشريف</t>
  </si>
  <si>
    <t>empagliflozin, atorvastatin, clopidogrel, valsartan</t>
  </si>
  <si>
    <t>empagliflozin 25 mg tablet, empagliflozin 25 mg tablet, empagliflozin 25 mg tablet, empagliflozin 25 mg tablet, atorvastatin 10 mg tablet, clopidogrel 75 mg tablet, atorvastatin 10 mg tablet, clopidogrel 75 mg tablet, atorvastatin 10 mg tablet, clopidogrel 75 mg tablet, atorvastatin 10 mg tablet, clopidogrel 75 mg tablet, valsartan 80 mg tablet, valsartan 80 mg tablet, valsartan 80 mg tablet, valsartan 80 mg tablet, empagliflozin 25 mg tablet, valsartan 80 mg tablet, empagliflozin 25 mg tablet, valsartan 80 mg tablet, empagliflozin 25 mg tablet, valsartan 80 mg tablet, empagliflozin 25 mg tablet, valsartan 80 mg tablet, clopidogrel 75 mg tablet, atorvastatin 10 mg tablet, clopidogrel 75 mg tablet, atorvastatin 10 mg tablet, clopidogrel 75 mg tablet, atorvastatin 10 mg tablet, clopidogrel 75 mg tablet, atorvastatin 10 mg tablet, empagliflozin 25 mg tablet, valsartan 80 mg tablet, empagliflozin 25 mg tablet, valsartan 80 mg tablet, empagliflozin 25 mg tablet, valsartan 80 mg tablet, empagliflozin 25 mg tablet, valsartan 80 mg tablet, clopidogrel 75 mg tablet, clopidogrel 75 mg tablet, clopidogrel 75 mg tablet, clopidogrel 75 mg tablet, atorvastatin 10 mg tablet, atorvastatin 10 mg tablet, atorvastatin 10 mg tablet, atorvastatin 10 mg tablet, atorvastatin 10 mg tablet, atorvastatin 10 mg tablet, atorvastatin 10 mg tablet, atorvastatin 10 mg tablet, empagliflozin 25 mg tablet, valsartan 80 mg tablet, empagliflozin 25 mg tablet, valsartan 80 mg tablet, empagliflozin 25 mg tablet, valsartan 80 mg tablet, empagliflozin 25 mg tablet, valsartan 80 mg tablet, clopidogrel 75 mg tablet, clopidogrel 75 mg tablet, clopidogrel 75 mg tablet, clopidogrel 75 mg tablet, valsartan 80 mg tablet, valsartan 80 mg tablet, valsartan 80 mg tablet, valsartan 80 mg tablet, clopidogrel 75 mg tablet, valsartan 80 mg tablet, clopidogrel 75 mg tablet, valsartan 80 mg tablet, clopidogrel 75 mg tablet, valsartan 80 mg tablet, clopidogrel 75 mg tablet, valsartan 80 mg tablet, atorvastatin 10 mg tablet, empagliflozin 25 mg tablet, atorvastatin 10 mg tablet, empagliflozin 25 mg tablet, atorvastatin 10 mg tablet, empagliflozin 25 mg tablet, atorvastatin 10 mg tablet, empagliflozin 25 mg tablet, clopidogrel 75 mg tablet, valsartan 80 mg tablet, clopidogrel 75 mg tablet, valsartan 80 mg tablet, clopidogrel 75 mg tablet, valsartan 80 mg tablet, clopidogrel 75 mg tablet, valsartan 80 mg tablet, empagliflozin 25 mg tablet, empagliflozin 25 mg tablet, empagliflozin 25 mg tablet, empagliflozin 25 mg tablet, atorvastatin 10 mg tablet, atorvastatin 10 mg tablet, atorvastatin 10 mg tablet, atorvastatin 10 mg tablet, atorvastatin 10 mg tablet, clopidogrel 75 mg tablet, empagliflozin 25 mg tablet, atorvastatin 10 mg tablet, clopidogrel 75 mg tablet, empagliflozin 25 mg tablet, atorvastatin 10 mg tablet, clopidogrel 75 mg tablet, empagliflozin 25 mg tablet, atorvastatin 10 mg tablet, clopidogrel 75 mg tablet, empagliflozin 25 mg tablet</t>
  </si>
  <si>
    <t>ofloxacin</t>
  </si>
  <si>
    <t>ofloxacin 0.3% (3 mg/mL) eye drops, ofloxacin 0.3% (3 mg/mL) eye drops, ofloxacin 0.3% (3 mg/mL) eye drops, ofloxacin 0.3% (3 mg/mL) eye drops, ofloxacin 0.3% (3 mg/mL) eye drops, ofloxacin 0.3% (3 mg/mL) eye drops</t>
  </si>
  <si>
    <t>ربا احمد جابر عسيري</t>
  </si>
  <si>
    <t>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 atorvastatin 20 mg tablet</t>
  </si>
  <si>
    <t>عزه بنت صالح بن عبدالرحيم الغامدي</t>
  </si>
  <si>
    <t>valsartan, insulin aspart, vitamin B complex (B, B, bisoprolol fumarate, Insulin Pen Needle, acetylsalicylic acid, atorvastatin</t>
  </si>
  <si>
    <t>valsartan 80 mg tablet, valsartan 80 mg tablet, valsartan 80 mg tablet, insulin aspart 100 international units/mL injection, 3 mL prefilled pen, vitamin B complex (B1,B6,B12) 100,200,0.2 mg Film coated tablets [oral], insulin aspart 100 international units/mL injection, 3 mL prefilled pen, vitamin B complex (B1,B6,B12) 100,200,0.2 mg Film coated tablets [oral], insulin aspart 100 international units/mL injection, 3 mL prefilled pen, vitamin B complex (B1,B6,B12) 100,200,0.2 mg Film coated tablets [oral], bisoprolol fumarate 5 mg tablet, Insulin Pen Needle 4mm Needle [sc], bisoprolol fumarate 5 mg tablet, Insulin Pen Needle 4mm Needle [sc], bisoprolol fumarate 5 mg tablet, Insulin Pen Needle 4mm Needle [sc], Insulin Pen Needle 4mm Needle [sc], acetylsalicylic acid 100 mg tablet: enteric coated, insulin aspart 100 international units/mL injection, 3 mL prefilled pen, Insulin Pen Needle 4mm Needle [sc], acetylsalicylic acid 100 mg tablet: enteric coated, insulin aspart 100 international units/mL injection, 3 mL prefilled pen, Insulin Pen Needle 4mm Needle [sc], acetylsalicylic acid 100 mg tablet: enteric coated, insulin aspart 100 international units/mL injection, 3 mL prefilled pen, vitamin B complex (B1,B6,B12) 100,200,0.2 mg Film coated tablets [oral], valsartan 80 mg tablet, vitamin B complex (B1,B6,B12) 100,200,0.2 mg Film coated tablets [oral], valsartan 80 mg tablet, vitamin B complex (B1,B6,B12) 100,200,0.2 mg Film coated tablets [oral], valsartan 80 mg tablet, atorvastatin 20 mg tablet, atorvastatin 20 mg tablet, atorvastatin 20 mg tablet, bisoprolol fumarate 5 mg tablet, bisoprolol fumarate 5 mg tablet, bisoprolol fumarate 5 mg tablet, Insulin Pen Needle 4mm Needle [sc], Insulin Pen Needle 4mm Needle [sc], Insulin Pen Needle 4mm Needle [sc], acetylsalicylic acid 100 mg tablet: enteric coated, insulin aspart 100 international units/mL injection, 3 mL prefilled pen, acetylsalicylic acid 100 mg tablet: enteric coated, insulin aspart 100 international units/mL injection, 3 mL prefilled pen, acetylsalicylic acid 100 mg tablet: enteric coated, insulin aspart 100 international units/mL injection, 3 mL prefilled pen, vitamin B complex (B1,B6,B12) 100,200,0.2 mg Film coated tablets [oral], valsartan 80 mg tablet, vitamin B complex (B1,B6,B12) 100,200,0.2 mg Film coated tablets [oral], valsartan 80 mg tablet, vitamin B complex (B1,B6,B12) 100,200,0.2 mg Film coated tablets [oral], valsartan 80 mg tablet, atorvastatin 20 mg tablet, atorvastatin 20 mg tablet, atorvastatin 20 mg tablet, bisoprolol fumarate 5 mg tablet, bisoprolol fumarate 5 mg tablet, bisoprolol fumarate 5 mg tablet, bisoprolol fumarate 5 mg tablet, Insulin Pen Needle 4mm Needle [sc], acetylsalicylic acid 100 mg tablet: enteric coated, bisoprolol fumarate 5 mg tablet, Insulin Pen Needle 4mm Needle [sc], acetylsalicylic acid 100 mg tablet: enteric coated, bisoprolol fumarate 5 mg tablet, Insulin Pen Needle 4mm Needle [sc], acetylsalicylic acid 100 mg tablet: enteric coated, insulin aspart 100 international units/mL injection, 3 mL prefilled pen, atorvastatin 20 mg tablet, vitamin B complex (B1,B6,B12) 100,200,0.2 mg Film coated tablets [oral], insulin aspart 100 international units/mL injection, 3 mL prefilled pen, atorvastatin 20 mg tablet, vitamin B complex (B1,B6,B12) 100,200,0.2 mg Film coated tablets [oral], insulin aspart 100 international units/mL injection, 3 mL prefilled pen, atorvastatin 20 mg tablet, vitamin B complex (B1,B6,B12) 100,200,0.2 mg Film coated tablets [oral], valsartan 80 mg tablet, valsartan 80 mg tablet, valsartan 80 mg tablet, Insulin Pen Needle 4mm Needle [sc], bisoprolol fumarate 5 mg tablet, vitamin B complex (B1,B6,B12) 100,200,0.2 mg Film coated tablets [oral], Insulin Pen Needle 4mm Needle [sc], bisoprolol fumarate 5 mg tablet, vitamin B complex (B1,B6,B12) 100,200,0.2 mg Film coated tablets [oral], Insulin Pen Needle 4mm Needle [sc], bisoprolol fumarate 5 mg tablet, vitamin B complex (B1,B6,B12) 100,200,0.2 mg Film coated tablets [oral], acetylsalicylic acid 100 mg tablet: enteric coated, bisoprolol fumarate 5 mg tablet, atorvastatin 20 mg tablet, vitamin B complex (B1,B6,B12) 100,200,0.2 mg Film coated tablets [oral], acetylsalicylic acid 100 mg tablet: enteric coated, bisoprolol fumarate 5 mg tablet, atorvastatin 20 mg tablet, vitamin B complex (B1,B6,B12) 100,200,0.2 mg Film coated tablets [oral], acetylsalicylic acid 100 mg tablet: enteric coated, bisoprolol fumarate 5 mg tablet, atorvastatin 20 mg tablet, vitamin B complex (B1,B6,B12) 100,200,0.2 mg Film coated tablets [oral], Insulin Pen Needle 4mm Needle [sc], Insulin Pen Needle 4mm Needle [sc], Insulin Pen Needle 4mm Needle [sc], valsartan 80 mg tablet, insulin aspart 100 international units/mL injection, 3 mL prefilled pen, valsartan 80 mg tablet, insulin aspart 100 international units/mL injection, 3 mL prefilled pen, valsartan 80 mg tablet, insulin aspart 100 international units/mL injection, 3 mL prefilled pen, valsartan 80 mg tablet, valsartan 80 mg tablet, valsartan 80 mg tablet, insulin aspart 100 international units/mL injection, 3 mL prefilled pen, atorvastatin 20 mg tablet, acetylsalicylic acid 100 mg tablet: enteric coated, insulin aspart 100 international units/mL injection, 3 mL prefilled pen, atorvastatin 20 mg tablet, acetylsalicylic acid 100 mg tablet: enteric coated, insulin aspart 100 international units/mL injection, 3 mL prefilled pen, atorvastatin 20 mg tablet, acetylsalicylic acid 100 mg tablet: enteric coated, vitamin B complex (B1,B6,B12) 100,200,0.2 mg Film coated tablets [oral], Insulin Pen Needle 4mm Needle [sc], vitamin B complex (B1,B6,B12) 100,200,0.2 mg Film coated tablets [oral], Insulin Pen Needle 4mm Needle [sc], vitamin B complex (B1,B6,B12) 100,200,0.2 mg Film coated tablets [oral], Insulin Pen Needle 4mm Needle [sc], bisoprolol fumarate 5 mg tablet, bisoprolol fumarate 5 mg tablet, bisoprolol fumarate 5 mg tablet, insulin aspart 100 international units/mL injection, 3 mL prefilled pen, atorvastatin 20 mg tablet, insulin aspart 100 international units/mL injection, 3 mL prefilled pen, atorvastatin 20 mg tablet, insulin aspart 100 international units/mL injection, 3 mL prefilled pen, atorvastatin 20 mg tablet, valsartan 80 mg tablet, acetylsalicylic acid 100 mg tablet: enteric coated, valsartan 80 mg tablet, acetylsalicylic acid 100 mg tablet: enteric coated, valsartan 80 mg tablet, acetylsalicylic acid 100 mg tablet: enteric coated</t>
  </si>
  <si>
    <t>وعد محمد صديق علي</t>
  </si>
  <si>
    <t>insulin glargine (lantus), Insulin Pen Needle, insulin aspart</t>
  </si>
  <si>
    <t>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Pen Needle 4mm Needle [sc], insulin aspart 100 international units/mL injection, 3 mL prefilled pen, Insulin Pen Needle 4mm Needle [sc], insulin aspart 100 international units/mL injection, 3 mL prefilled pen, Insulin Pen Needle 4mm Needle [sc], insulin aspart 100 international units/mL injection, 3 mL prefilled pen, Insulin Pen Needle 4mm Needle [sc], insulin aspart 100 international units/mL injection, 3 mL prefilled pen, Insulin Pen Needle 4mm Needle [sc],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Pen Needle 4mm Needle [sc], insulin glargine (lantus) 100 international units/mL injection, 3 mL prefilled pen, Insulin Pen Needle 4mm Needle [sc], insulin glargine (lantus) 100 international units/mL injection, 3 mL prefilled pen, Insulin Pen Needle 4mm Needle [sc], insulin glargine (lantus) 100 international units/mL injection, 3 mL prefilled pen, Insulin Pen Needle 4mm Needle [sc], insulin glargine (lantus) 100 international units/mL injection, 3 mL prefilled pen, Insulin Pen Needle 4mm Needle [sc], insulin glargine (lantus) 100 international units/mL injection, 3 mL prefilled pen, Insulin Pen Needle 4mm Needle [sc], Insulin Pen Needle 4mm Needle [sc], Insulin Pen Needle 4mm Needle [sc], Insulin Pen Needle 4mm Needle [sc], Insulin Pen Needle 4mm Needle [sc],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Pen Needle 4mm Needle [sc], Insulin Pen Needle 4mm Needle [sc], Insulin Pen Needle 4mm Needle [sc], Insulin Pen Needle 4mm Needle [sc], Insulin Pen Needle 4mm Needle [sc],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Pen Needle 4mm Needle [sc], Insulin Pen Needle 4mm Needle [sc], Insulin Pen Needle 4mm Needle [sc], Insulin Pen Needle 4mm Needle [sc], Insulin Pen Needle 4mm Needle [sc],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glargine (lantus) 100 international units/mL injection, 3 mL prefilled pen, Insulin Pen Needle 4mm Needle [sc], insulin glargine (lantus) 100 international units/mL injection, 3 mL prefilled pen, Insulin Pen Needle 4mm Needle [sc], insulin glargine (lantus) 100 international units/mL injection, 3 mL prefilled pen, Insulin Pen Needle 4mm Needle [sc], insulin glargine (lantus) 100 international units/mL injection, 3 mL prefilled pen, Insulin Pen Needle 4mm Needle [sc], insulin glargine (lantus) 100 international units/mL injection, 3 mL prefilled pen, Insulin Pen Needle 4mm Needle [sc],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Pen Needle 4mm Needle [sc], Insulin Pen Needle 4mm Needle [sc], Insulin Pen Needle 4mm Needle [sc], Insulin Pen Needle 4mm Needle [sc], Insulin Pen Needle 4mm Needle [sc]</t>
  </si>
  <si>
    <t>لطفيه احمد سليمان الصبياني</t>
  </si>
  <si>
    <t>paracetamol 500 mg tablet, paracetamol 500 mg tablet, paracetamol 500 mg tablet, paracetamol 500 mg tablet, paracetamol 500 mg tablet, paracetamol 500 mg tablet, paracetamol 500 mg tablet, paracetamol 500 mg tablet, paracetamol 500 mg tablet</t>
  </si>
  <si>
    <t>روابي عبد المعين محمد عبيان</t>
  </si>
  <si>
    <t>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 gliclazide 30 mg tablet: modified release</t>
  </si>
  <si>
    <t>منال سليمان مسفر العمري</t>
  </si>
  <si>
    <t>زكيه بنت ابراهيم بن عثمان شطا</t>
  </si>
  <si>
    <t>colecalciferol, cetirizine hydrochloride, paracetamol</t>
  </si>
  <si>
    <t>colecalciferol 50 000 international units tablet, colecalciferol 50 000 international units tablet, colecalciferol 50 000 international units tablet, colecalciferol 50 000 international units tablet, colecalciferol 50 000 international units tablet, cetirizine hydrochloride 10 mg tablet, cetirizine hydrochloride 10 mg tablet, cetirizine hydrochloride 10 mg tablet, cetirizine hydrochloride 10 mg tablet, cetirizine hydrochloride 10 mg tablet, colecalciferol 50 000 international units tablet, colecalciferol 50 000 international units tablet, colecalciferol 50 000 international units tablet, colecalciferol 50 000 international units tablet, colecalciferol 50 000 international units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paracetamol 500 mg tablet, colecalciferol 50 000 international units tablet, paracetamol 500 mg tablet, colecalciferol 50 000 international units tablet, paracetamol 500 mg tablet, colecalciferol 50 000 international units tablet, paracetamol 500 mg tablet, colecalciferol 50 000 international units tablet, paracetamol 500 mg tablet, colecalciferol 50 000 international units tablet, cetirizine hydrochloride 10 mg tablet, cetirizine hydrochloride 10 mg tablet, cetirizine hydrochloride 10 mg tablet, cetirizine hydrochloride 10 mg tablet, cetirizine hydrochloride 10 mg tablet, paracetamol 500 mg tablet, colecalciferol 50 000 international units tablet, paracetamol 500 mg tablet, colecalciferol 50 000 international units tablet, paracetamol 500 mg tablet, colecalciferol 50 000 international units tablet, paracetamol 500 mg tablet, colecalciferol 50 000 international units tablet, paracetamol 500 mg tablet, colecalciferol 50 000 international units tablet, cetirizine hydrochloride 10 mg tablet, cetirizine hydrochloride 10 mg tablet, cetirizine hydrochloride 10 mg tablet, cetirizine hydrochloride 10 mg tablet, cetirizine hydrochloride 10 mg tablet, colecalciferol 50 000 international units tablet, colecalciferol 50 000 international units tablet, colecalciferol 50 000 international units tablet, colecalciferol 50 000 international units tablet, colecalciferol 50 000 international units tablet, paracetamol 500 mg tablet, paracetamol 500 mg tablet, paracetamol 500 mg tablet, paracetamol 500 mg tablet, paracetamol 500 mg tablet, cetirizine hydrochloride 10 mg tablet, cetirizine hydrochloride 10 mg tablet, cetirizine hydrochloride 10 mg tablet, cetirizine hydrochloride 10 mg tablet, cetirizine hydrochloride 10 mg tablet, paracetamol 500 mg tablet, paracetamol 500 mg tablet, paracetamol 500 mg tablet, paracetamol 500 mg tablet, paracetamol 500 mg tablet, colecalciferol 50 000 international units tablet, cetirizine hydrochloride 10 mg tablet, colecalciferol 50 000 international units tablet, cetirizine hydrochloride 10 mg tablet, colecalciferol 50 000 international units tablet, cetirizine hydrochloride 10 mg tablet, colecalciferol 50 000 international units tablet, cetirizine hydrochloride 10 mg tablet, colecalciferol 50 000 international units tablet, cetirizine hydrochloride 10 mg tablet</t>
  </si>
  <si>
    <t>منى علي محمد حكمي</t>
  </si>
  <si>
    <t>colecalciferol, SITagliptin, empagliflozin, vitamin B complex (B, B</t>
  </si>
  <si>
    <t>colecalciferol 50 000 international units tablet, SITagliptin 100 mg tablet, colecalciferol 50 000 international units tablet, SITagliptin 100 mg tablet, colecalciferol 50 000 international units tablet, SITagliptin 100 mg tablet, colecalciferol 50 000 international units tablet, SITagliptin 100 mg tablet, empagliflozin 25 mg tablet, empagliflozin 25 mg tablet, empagliflozin 25 mg tablet, empagliflozin 25 mg tablet, vitamin B complex (B1,B6,B12) 100,100,0.15 mg Film coated tablets [oral], vitamin B complex (B1,B6,B12) 100,100,0.15 mg Film coated tablets [oral], vitamin B complex (B1,B6,B12) 100,100,0.15 mg Film coated tablets [oral], vitamin B complex (B1,B6,B12) 100,100,0.15 mg Film coated tablets [oral], colecalciferol 50 000 international units tablet, empagliflozin 25 mg tablet, colecalciferol 50 000 international units tablet, empagliflozin 25 mg tablet, colecalciferol 50 000 international units tablet, empagliflozin 25 mg tablet, colecalciferol 50 000 international units tablet, empagliflozin 25 mg tablet, vitamin B complex (B1,B6,B12) 100,100,0.15 mg Film coated tablets [oral], SITagliptin 100 mg tablet, vitamin B complex (B1,B6,B12) 100,100,0.15 mg Film coated tablets [oral], SITagliptin 100 mg tablet, vitamin B complex (B1,B6,B12) 100,100,0.15 mg Film coated tablets [oral], SITagliptin 100 mg tablet, vitamin B complex (B1,B6,B12) 100,100,0.15 mg Film coated tablets [oral], SITagliptin 100 mg tablet</t>
  </si>
  <si>
    <t>محمد علي محمد مرعشلي</t>
  </si>
  <si>
    <t>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 fenofibrate 145 mg tablet</t>
  </si>
  <si>
    <t>رهام بنت مروان بن عمر البلعه</t>
  </si>
  <si>
    <t>levothyroxine sodium, celecoxib, chlorzoxazone, atorvastatin, calcium carbonate</t>
  </si>
  <si>
    <t>levothyroxine sodium 25 microgram tablet, levothyroxine sodium 25 microgram tablet, celecoxib 200 mg capsule, chlorzoxazone 250 mg + paracetamol 300 mg capsule, levothyroxine sodium 50 microgram tablet, atorvastatin 10 mg tablet, celecoxib 200 mg capsule, chlorzoxazone 250 mg + paracetamol 300 mg capsule, levothyroxine sodium 50 microgram tablet, atorvastatin 10 mg tablet, calcium carbonate 600 mg - colecalciferol 200 international units Film coated tablets [oral], calcium carbonate 600 mg - colecalciferol 200 international units Film coated tablets [oral], levothyroxine sodium 25 microgram tablet, levothyroxine sodium 25 microgram tablet, levothyroxine sodium 50 microgram tablet, calcium carbonate 600 mg - colecalciferol 200 international units Film coated tablets [oral], chlorzoxazone 250 mg + paracetamol 300 mg capsule, levothyroxine sodium 50 microgram tablet, calcium carbonate 600 mg - colecalciferol 200 international units Film coated tablets [oral], chlorzoxazone 250 mg + paracetamol 300 mg capsule, celecoxib 200 mg capsule, celecoxib 200 mg capsule, atorvastatin 10 mg tablet, atorvastatin 10 mg tablet, levothyroxine sodium 25 microgram tablet, levothyroxine sodium 25 microgram tablet, chlorzoxazone 250 mg + paracetamol 300 mg capsule, levothyroxine sodium 50 microgram tablet, calcium carbonate 600 mg - colecalciferol 200 international units Film coated tablets [oral], chlorzoxazone 250 mg + paracetamol 300 mg capsule, levothyroxine sodium 50 microgram tablet, calcium carbonate 600 mg - colecalciferol 200 international units Film coated tablets [oral], celecoxib 200 mg capsule, celecoxib 200 mg capsule, atorvastatin 10 mg tablet, atorvastatin 10 mg tablet</t>
  </si>
  <si>
    <t>رائد مردد رده السفياني</t>
  </si>
  <si>
    <t>colecalciferol 50 000 international units tablet, atorvastatin 10 mg tablet, colecalciferol 50 000 international units tablet, atorvastatin 10 mg tablet, colecalciferol 50 000 international units tablet, atorvastatin 10 mg tablet, colecalciferol 50 000 international units tablet, colecalciferol 50 000 international units tablet, colecalciferol 50 000 international units tablet, atorvastatin 10 mg tablet, atorvastatin 10 mg tablet, atorvastatin 10 mg tablet, atorvastatin 10 mg tablet, colecalciferol 50 000 international units tablet, atorvastatin 10 mg tablet, colecalciferol 50 000 international units tablet, atorvastatin 10 mg tablet, colecalciferol 50 000 international units tablet</t>
  </si>
  <si>
    <t>احمد محمد أحمد القحطاني</t>
  </si>
  <si>
    <t>celecoxib, paracetamol, diclofenac sodium</t>
  </si>
  <si>
    <t>celecoxib 200 mg capsule, celecoxib 200 mg capsule, celecoxib 200 mg capsule, celecoxib 200 mg capsule, celecoxib 200 mg capsule,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diclofenac sodium 1% (10 mg/g) gel, diclofenac sodium 1% (10 mg/g) gel, diclofenac sodium 1% (10 mg/g) gel, diclofenac sodium 1% (10 mg/g) gel, diclofenac sodium 1% (10 mg/g) gel, celecoxib 200 mg capsule, diclofenac sodium 1% (10 mg/g) gel, celecoxib 200 mg capsule, diclofenac sodium 1% (10 mg/g) gel, celecoxib 200 mg capsule, diclofenac sodium 1% (10 mg/g) gel, celecoxib 200 mg capsule, diclofenac sodium 1% (10 mg/g) gel, celecoxib 200 mg capsule, diclofenac sodium 1% (10 mg/g) gel,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celecoxib 200 mg capsule, diclofenac sodium 1% (10 mg/g) gel, celecoxib 200 mg capsule, diclofenac sodium 1% (10 mg/g) gel, celecoxib 200 mg capsule, diclofenac sodium 1% (10 mg/g) gel, celecoxib 200 mg capsule, diclofenac sodium 1% (10 mg/g) gel, celecoxib 200 mg capsule, diclofenac sodium 1% (10 mg/g) gel, paracetamol 500 mg + codeine phosphate 8 mg + caffeine 30 mg tablet, celecoxib 200 mg capsule, diclofenac sodium 1% (10 mg/g) gel, paracetamol 500 mg + codeine phosphate 8 mg + caffeine 30 mg tablet, celecoxib 200 mg capsule, diclofenac sodium 1% (10 mg/g) gel, paracetamol 500 mg + codeine phosphate 8 mg + caffeine 30 mg tablet, celecoxib 200 mg capsule, diclofenac sodium 1% (10 mg/g) gel, paracetamol 500 mg + codeine phosphate 8 mg + caffeine 30 mg tablet, celecoxib 200 mg capsule, diclofenac sodium 1% (10 mg/g) gel, paracetamol 500 mg + codeine phosphate 8 mg + caffeine 30 mg tablet, celecoxib 200 mg capsule, diclofenac sodium 1% (10 mg/g) gel, paracetamol 500 mg + codeine phosphate 8 mg + caffeine 30 mg tablet, paracetamol 500 mg + codeine phosphate 8 mg + caffeine 30 mg tablet, paracetamol 500 mg + codeine phosphate 8 mg + caffeine 30 mg tablet, paracetamol 500 mg + codeine phosphate 8 mg + caffeine 30 mg tablet, paracetamol 500 mg + codeine phosphate 8 mg + caffeine 30 mg tablet, diclofenac sodium 1% (10 mg/g) gel, diclofenac sodium 1% (10 mg/g) gel, diclofenac sodium 1% (10 mg/g) gel, diclofenac sodium 1% (10 mg/g) gel, diclofenac sodium 1% (10 mg/g) gel, diclofenac sodium 1% (10 mg/g) gel, diclofenac sodium 1% (10 mg/g) gel, diclofenac sodium 1% (10 mg/g) gel, diclofenac sodium 1% (10 mg/g) gel, diclofenac sodium 1% (10 mg/g) gel</t>
  </si>
  <si>
    <t>فلوه عبدالرحمن بن عائض القحطاني</t>
  </si>
  <si>
    <t>Lancets (Accu-Check), Strips (Accu-Check), vitamin B complex (B, B, omeprazole, insulin glargine, insulin aspart</t>
  </si>
  <si>
    <t>Lancets (Accu-Check) 1 box Lancets [n/a], Lancets (Accu-Check) 1 box Lancets [n/a], Lancets (Accu-Check) 1 box Lancets [n/a], Strips (Accu-Check) 1 box Strip [n/a], vitamin B complex (B1,B6,B12) 100,200,0.2 mg Film coated tablets [oral], Strips (Accu-Check) 1 box Strip [n/a], vitamin B complex (B1,B6,B12) 100,200,0.2 mg Film coated tablets [oral], Strips (Accu-Check) 1 box Strip [n/a], vitamin B complex (B1,B6,B12) 100,200,0.2 mg Film coated tablets [oral], omeprazole 20 mg tablet: enteric coated, insulin glargine 300 international units/mL injection, 1.5 mL prefilled pen, omeprazole 20 mg tablet: enteric coated, insulin glargine 300 international units/mL injection, 1.5 mL prefilled pen, omeprazole 20 mg tablet: enteric coated, insulin glargine 300 international units/mL injection, 1.5 mL prefilled pen, insulin aspart 100 international units/mL injection, 3 mL prefilled pen, Lancets (Accu-Check) 1 box Lancets [n/a], insulin aspart 100 international units/mL injection, 3 mL prefilled pen, Lancets (Accu-Check) 1 box Lancets [n/a], insulin aspart 100 international units/mL injection, 3 mL prefilled pen, Lancets (Accu-Check) 1 box Lancets [n/a], Strips (Accu-Check) 1 box Strip [n/a], Strips (Accu-Check) 1 box Strip [n/a], Strips (Accu-Check) 1 box Strip [n/a], vitamin B complex (B1,B6,B12) 100,200,0.2 mg Film coated tablets [oral], vitamin B complex (B1,B6,B12) 100,200,0.2 mg Film coated tablets [oral], vitamin B complex (B1,B6,B12) 100,200,0.2 mg Film coated tablets [oral], Lancets (Accu-Check) 1 box Lancets [n/a], Lancets (Accu-Check) 1 box Lancets [n/a], Lancets (Accu-Check) 1 box Lancets [n/a], Strips (Accu-Check) 1 box Strip [n/a], Strips (Accu-Check) 1 box Strip [n/a], Strips (Accu-Check) 1 box Strip [n/a], vitamin B complex (B1,B6,B12) 100,200,0.2 mg Film coated tablets [oral], vitamin B complex (B1,B6,B12) 100,200,0.2 mg Film coated tablets [oral], vitamin B complex (B1,B6,B12) 100,200,0.2 mg Film coated tablets [oral], omeprazole 20 mg tablet: enteric coated, insulin aspart 100 international units/mL injection, 3 mL prefilled pen, insulin glargine 300 international units/mL injection, 1.5 mL prefilled pen, omeprazole 20 mg tablet: enteric coated, insulin aspart 100 international units/mL injection, 3 mL prefilled pen, insulin glargine 300 international units/mL injection, 1.5 mL prefilled pen, omeprazole 20 mg tablet: enteric coated, insulin aspart 100 international units/mL injection, 3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aspart 100 international units/mL injection, 3 mL prefilled pen, Lancets (Accu-Check) 1 box Lancets [n/a], omeprazole 20 mg tablet: enteric coated, Strips (Accu-Check) 1 box Strip [n/a], vitamin B complex (B1,B6,B12) 100,200,0.2 mg Film coated tablets [oral], insulin aspart 100 international units/mL injection, 3 mL prefilled pen, Lancets (Accu-Check) 1 box Lancets [n/a], omeprazole 20 mg tablet: enteric coated, Strips (Accu-Check) 1 box Strip [n/a], vitamin B complex (B1,B6,B12) 100,200,0.2 mg Film coated tablets [oral], insulin aspart 100 international units/mL injection, 3 mL prefilled pen, Lancets (Accu-Check) 1 box Lancets [n/a], omeprazole 20 mg tablet: enteric coated, Strips (Accu-Check) 1 box Strip [n/a], vitamin B complex (B1,B6,B12) 100,200,0.2 mg Film coated tablets [oral], vitamin B complex (B1,B6,B12) 100,200,0.2 mg Film coated tablets [oral], insulin glargine 300 international units/mL injection, 1.5 mL prefilled pen, vitamin B complex (B1,B6,B12) 100,200,0.2 mg Film coated tablets [oral], insulin glargine 300 international units/mL injection, 1.5 mL prefilled pen, vitamin B complex (B1,B6,B12) 100,200,0.2 mg Film coated tablets [oral], insulin glargine 300 international units/mL injection, 1.5 mL prefilled pen, omeprazole 20 mg tablet: enteric coated, omeprazole 20 mg tablet: enteric coated, omeprazole 20 mg tablet: enteric coated, Lancets (Accu-Check) 1 box Lancets [n/a], Lancets (Accu-Check) 1 box Lancets [n/a], Lancets (Accu-Check) 1 box Lancets [n/a], insulin glargine 300 international units/mL injection, 1.5 mL prefilled pen, insulin glargine 300 international units/mL injection, 1.5 mL prefilled pen, insulin glargine 300 international units/mL injection, 1.5 mL prefilled pen, omeprazole 20 mg tablet: enteric coated, omeprazole 20 mg tablet: enteric coated, omeprazole 20 mg tablet: enteric coated, vitamin B complex (B1,B6,B12) 100,200,0.2 mg Film coated tablets [oral], vitamin B complex (B1,B6,B12) 100,200,0.2 mg Film coated tablets [oral], vitamin B complex (B1,B6,B12) 100,200,0.2 mg Film coated tablets [oral]</t>
  </si>
  <si>
    <t>سلامه بنت عزي بن علي احمد</t>
  </si>
  <si>
    <t>paracetamol, perindopril arginine, vitamins (A, B, C, D</t>
  </si>
  <si>
    <t>paracetamol 500 mg tablet, paracetamol 500 mg tablet, paracetamol 500 mg tablet, paracetamol 500 mg tablet, perindopril arginine 5 mg tablet, perindopril arginine 5 mg tablet, perindopril arginine 5 mg tablet, perindopril arginine 5 mg tablet, vitamins (A, B1, B2, B3, C, D3) tablet, vitamins (A, B1, B2, B3, C, D3) tablet, vitamins (A, B1, B2, B3, C, D3) tablet, vitamins (A, B1, B2, B3, C, D3) tablet, vitamins (A, B1, B2, B3, C, D3) tablet, perindopril arginine 5 mg tablet, vitamins (A, B1, B2, B3, C, D3) tablet, perindopril arginine 5 mg tablet, vitamins (A, B1, B2, B3, C, D3) tablet, perindopril arginine 5 mg tablet, vitamins (A, B1, B2, B3, C, D3) tablet, perindopril arginine 5 mg tablet, paracetamol 500 mg tablet, paracetamol 500 mg tablet, paracetamol 500 mg tablet, paracetamol 500 mg tablet, perindopril arginine 5 mg tablet, perindopril arginine 5 mg tablet, perindopril arginine 5 mg tablet, perindopril arginine 5 mg tablet, paracetamol 500 mg tablet, vitamins (A, B1, B2, B3, C, D3) tablet, paracetamol 500 mg tablet, vitamins (A, B1, B2, B3, C, D3) tablet, paracetamol 500 mg tablet, vitamins (A, B1, B2, B3, C, D3) tablet, paracetamol 500 mg tablet, vitamins (A, B1, B2, B3, C, D3) tablet</t>
  </si>
  <si>
    <t>عبير خالد بن حسين الحربي</t>
  </si>
  <si>
    <t>amLODIPine 10 mg capsule, amLODIPine 10 mg capsule, amLODIPine 10 mg capsule</t>
  </si>
  <si>
    <t>بيضاء ذويبان مهيدب العازمي</t>
  </si>
  <si>
    <t>beta-sitosterol, lidocaine hydrochloride anhydrous</t>
  </si>
  <si>
    <t>beta-sitosterol 0.25% (2.5 mg/g) ointment, beta-sitosterol 0.25% (2.5 mg/g) ointment, beta-sitosterol 0.25% (2.5 mg/g) ointment, beta-sitosterol 0.25% (2.5 mg/g) ointment, beta-sitosterol 0.25% (2.5 mg/g) ointment, lidocaine hydrochloride anhydrous 5% (50 mg/g) ointment, lidocaine hydrochloride anhydrous 5% (50 mg/g) ointment, lidocaine hydrochloride anhydrous 5% (50 mg/g) ointment, lidocaine hydrochloride anhydrous 5% (50 mg/g) ointment, lidocaine hydrochloride anhydrous 5% (50 mg/g) ointment, lidocaine hydrochloride anhydrous 5% (50 mg/g) ointment, lidocaine hydrochloride anhydrous 5% (50 mg/g) ointment, lidocaine hydrochloride anhydrous 5% (50 mg/g) ointment, lidocaine hydrochloride anhydrous 5% (50 mg/g) ointment, lidocaine hydrochloride anhydrous 5% (50 mg/g) ointment, beta-sitosterol 0.25% (2.5 mg/g) ointment, beta-sitosterol 0.25% (2.5 mg/g) ointment, beta-sitosterol 0.25% (2.5 mg/g) ointment, beta-sitosterol 0.25% (2.5 mg/g) ointment, beta-sitosterol 0.25% (2.5 mg/g) ointment, lidocaine hydrochloride anhydrous 5% (50 mg/g) ointment, lidocaine hydrochloride anhydrous 5% (50 mg/g) ointment, lidocaine hydrochloride anhydrous 5% (50 mg/g) ointment, lidocaine hydrochloride anhydrous 5% (50 mg/g) ointment, lidocaine hydrochloride anhydrous 5% (50 mg/g) ointment, beta-sitosterol 0.25% (2.5 mg/g) ointment, beta-sitosterol 0.25% (2.5 mg/g) ointment, beta-sitosterol 0.25% (2.5 mg/g) ointment, beta-sitosterol 0.25% (2.5 mg/g) ointment, beta-sitosterol 0.25% (2.5 mg/g) ointment, lidocaine hydrochloride anhydrous 5% (50 mg/g) ointment, lidocaine hydrochloride anhydrous 5% (50 mg/g) ointment, lidocaine hydrochloride anhydrous 5% (50 mg/g) ointment, lidocaine hydrochloride anhydrous 5% (50 mg/g) ointment, lidocaine hydrochloride anhydrous 5% (50 mg/g) ointment, beta-sitosterol 0.25% (2.5 mg/g) ointment, lidocaine hydrochloride anhydrous 5% (50 mg/g) ointment, beta-sitosterol 0.25% (2.5 mg/g) ointment, lidocaine hydrochloride anhydrous 5% (50 mg/g) ointment, beta-sitosterol 0.25% (2.5 mg/g) ointment, lidocaine hydrochloride anhydrous 5% (50 mg/g) ointment, beta-sitosterol 0.25% (2.5 mg/g) ointment, lidocaine hydrochloride anhydrous 5% (50 mg/g) ointment, beta-sitosterol 0.25% (2.5 mg/g) ointment, lidocaine hydrochloride anhydrous 5% (50 mg/g) ointment, beta-sitosterol 0.25% (2.5 mg/g) ointment, beta-sitosterol 0.25% (2.5 mg/g) ointment, beta-sitosterol 0.25% (2.5 mg/g) ointment, beta-sitosterol 0.25% (2.5 mg/g) ointment, beta-sitosterol 0.25% (2.5 mg/g) ointment, lidocaine hydrochloride anhydrous 5% (50 mg/g) ointment, lidocaine hydrochloride anhydrous 5% (50 mg/g) ointment, lidocaine hydrochloride anhydrous 5% (50 mg/g) ointment, lidocaine hydrochloride anhydrous 5% (50 mg/g) ointment, lidocaine hydrochloride anhydrous 5% (50 mg/g) ointment</t>
  </si>
  <si>
    <t>فهد زيد فرحان المحمدي</t>
  </si>
  <si>
    <t>insulin lispro</t>
  </si>
  <si>
    <t>insulin lispro 100 international units/mL injection, 3 mL prefilled pen, insulin lispro 100 international units/mL injection, 3 mL prefilled pen, insulin lispro 100 international units/mL injection, 3 mL prefilled pen, insulin lispro 100 international units/mL injection, 3 mL prefilled pen</t>
  </si>
  <si>
    <t>محمد احمد عبدالله الغامدي</t>
  </si>
  <si>
    <t>ketoconazole, betamethasone (as valerate)</t>
  </si>
  <si>
    <t>ketoconazole 2% (20 mg/g) shampoo, betamethasone (as valerate) 0.1% (1 mg/g) cream, ketoconazole 2% (20 mg/g) shampoo, betamethasone (as valerate) 0.1% (1 mg/g) cream, ketoconazole 2% (20 mg/g) shampoo, betamethasone (as valerate) 0.1% (1 mg/g) cream, ketoconazole 2% (20 mg/g) shampoo, betamethasone (as valerate) 0.1% (1 mg/g) cream, ketoconazole 2% (20 mg/g) shampoo, betamethasone (as valerate) 0.1% (1 mg/g) cream, ketoconazole 2% (20 mg/g) shampoo, betamethasone (as valerate) 0.1% (1 mg/g) cream, betamethasone (as valerate) 0.1% (1 mg/g) cream, betamethasone (as valerate) 0.1% (1 mg/g) cream, betamethasone (as valerate) 0.1% (1 mg/g) cream, betamethasone (as valerate) 0.1% (1 mg/g) cream, betamethasone (as valerate) 0.1% (1 mg/g) cream, betamethasone (as valerate) 0.1% (1 mg/g) cream, betamethasone (as valerate) 0.1% (1 mg/g) cream, betamethasone (as valerate) 0.1% (1 mg/g) cream, betamethasone (as valerate) 0.1% (1 mg/g) cream, betamethasone (as valerate) 0.1% (1 mg/g) cream, betamethasone (as valerate) 0.1% (1 mg/g) cream, betamethasone (as valerate) 0.1% (1 mg/g) cream, ketoconazole 2% (20 mg/g) shampoo, ketoconazole 2% (20 mg/g) shampoo, ketoconazole 2% (20 mg/g) shampoo, ketoconazole 2% (20 mg/g) shampoo, ketoconazole 2% (20 mg/g) shampoo, ketoconazole 2% (20 mg/g) shampoo, betamethasone (as valerate) 0.1% (1 mg/g) cream, betamethasone (as valerate) 0.1% (1 mg/g) cream, betamethasone (as valerate) 0.1% (1 mg/g) cream, betamethasone (as valerate) 0.1% (1 mg/g) cream, betamethasone (as valerate) 0.1% (1 mg/g) cream, betamethasone (as valerate) 0.1% (1 mg/g) cream,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t>
  </si>
  <si>
    <t>طلال عبدالله جبران راجحي</t>
  </si>
  <si>
    <t>empagliflozin, metFORMIN hydrochloride, linagliptin, vitamin B complex (B, B, atorvastatin</t>
  </si>
  <si>
    <t>empagliflozin 10 mg tablet, metFORMIN hydrochloride 500 mg tablet, linagliptin 5 mg tablet, vitamin B complex (B1,B6,B12) 100,200,0.2 mg Film coated tablets [oral], empagliflozin 10 mg tablet, metFORMIN hydrochloride 500 mg tablet, linagliptin 5 mg tablet, vitamin B complex (B1,B6,B12) 100,200,0.2 mg Film coated tablets [oral], atorvastatin 10 mg tablet, atorvastatin 10 mg tablet, empagliflozin 10 mg tablet, empagliflozin 10 mg tablet, linagliptin 5 mg tablet, linagliptin 5 mg tablet, vitamin B complex (B1,B6,B12) 100,200,0.2 mg Film coated tablets [oral], metFORMIN hydrochloride 500 mg tablet, atorvastatin 10 mg tablet, vitamin B complex (B1,B6,B12) 100,200,0.2 mg Film coated tablets [oral], metFORMIN hydrochloride 500 mg tablet, atorvastatin 10 mg tablet, metFORMIN hydrochloride 500 mg tablet, metFORMIN hydrochloride 500 mg tablet, linagliptin 5 mg tablet, empagliflozin 10 mg tablet, linagliptin 5 mg tablet, empagliflozin 10 mg tablet, atorvastatin 10 mg tablet, atorvastatin 10 mg tablet, vitamin B complex (B1,B6,B12) 100,200,0.2 mg Film coated tablets [oral], vitamin B complex (B1,B6,B12) 100,200,0.2 mg Film coated tablets [oral]</t>
  </si>
  <si>
    <t>نزار فريد مصطفى جمجوم</t>
  </si>
  <si>
    <t>empagliflozin 25 mg tablet, empagliflozin 25 mg tablet, empagliflozin 25 mg tablet, metFORMIN hydrochloride 750 mg tablet: modified release, metFORMIN hydrochloride 750 mg tablet: modified release, metFORMIN hydrochloride 750 mg tablet: modified release, metFORMIN hydrochloride 750 mg tablet: modified release, metFORMIN hydrochloride 750 mg tablet: modified release, metFORMIN hydrochloride 750 mg tablet: modified release, empagliflozin 25 mg tablet, empagliflozin 25 mg tablet, empagliflozin 25 mg tablet</t>
  </si>
  <si>
    <t>ريما راشد زبن العرادي</t>
  </si>
  <si>
    <t>انس عبدالله سعيد محمد</t>
  </si>
  <si>
    <t>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glargine 300 international units/mL injection, 1.5 mL prefilled pen, insulin glargine 300 international units/mL injection, 1.5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aspart 100 international units/mL injection, 3 mL prefilled pen, insulin aspart 100 international units/mL injection, 3 mL prefilled pen, insulin aspart 100 international units/mL injection, 3 mL prefilled pen</t>
  </si>
  <si>
    <t>بشائر سليمان محمد الهويش</t>
  </si>
  <si>
    <t>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t>
  </si>
  <si>
    <t>غدي سالم سويلم الجهني</t>
  </si>
  <si>
    <t>insulin glargine (lantus), levothyroxine sodium, Insulin Pen Needle, metFORMIN hydrochloride, insulin aspart</t>
  </si>
  <si>
    <t>insulin glargine (lantus) 100 international units/mL injection, 3 mL prefilled pen, insulin glargine (lantus) 100 international units/mL injection, 3 mL prefilled pen, insulin glargine (lantus) 100 international units/mL injection, 3 mL prefilled pen, levothyroxine sodium 25 microgram tablet, levothyroxine sodium 25 microgram tablet, levothyroxine sodium 25 microgram tablet, Insulin Pen Needle 4mm Needle [sc], Insulin Pen Needle 4mm Needle [sc], Insulin Pen Needle 4mm Needle [sc], metFORMIN hydrochloride 750 mg tablet: modified release, insulin aspart 100 international units/mL injection, 3 mL prefilled pen, metFORMIN hydrochloride 750 mg tablet: modified release, insulin aspart 100 international units/mL injection, 3 mL prefilled pen, metFORMIN hydrochloride 750 mg tablet: modified release, insulin aspart 100 international units/mL injection, 3 mL prefilled pen, Insulin Pen Needle 4mm Needle [sc], Insulin Pen Needle 4mm Needle [sc], Insulin Pen Needle 4mm Needle [sc], insulin glargine (lantus) 100 international units/mL injection, 3 mL prefilled pen, levothyroxine sodium 25 microgram tablet, insulin glargine (lantus) 100 international units/mL injection, 3 mL prefilled pen, levothyroxine sodium 25 microgram tablet, insulin glargine (lantus) 100 international units/mL injection, 3 mL prefilled pen, levothyroxine sodium 25 microgram tablet, metFORMIN hydrochloride 750 mg tablet: modified release, insulin aspart 100 international units/mL injection, 3 mL prefilled pen, metFORMIN hydrochloride 750 mg tablet: modified release, insulin aspart 100 international units/mL injection, 3 mL prefilled pen, metFORMIN hydrochloride 750 mg tablet: modified release, insulin aspart 100 international units/mL injection, 3 mL prefilled pen</t>
  </si>
  <si>
    <t>عبدالوهاب ماجد الجدعاني</t>
  </si>
  <si>
    <t>mebeverine hydrochloride, diclofenac sodium</t>
  </si>
  <si>
    <t>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diclofenac sodium 50 mg tablet, diclofenac sodium 50 mg tablet, diclofenac sodium 50 mg tablet, diclofenac sodium 50 mg tablet, diclofenac sodium 50 mg tablet, diclofenac sodium 50 mg tablet, diclofenac sodium 50 mg tablet, diclofenac sodium 50 mg tablet, diclofenac sodium 50 mg tablet, diclofenac sodium 50 mg tablet, diclofenac sodium 50 mg tablet, diclofenac sodium 50 mg tablet, diclofenac sodium 50 mg tablet, diclofenac sodium 50 mg tablet, diclofenac sodium 50 mg tablet, diclofenac sodium 50 mg tablet,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diclofenac sodium 50 mg tablet, diclofenac sodium 50 mg tablet, diclofenac sodium 50 mg tablet, diclofenac sodium 50 mg tablet, diclofenac sodium 50 mg tablet, diclofenac sodium 50 mg tablet, diclofenac sodium 50 mg tablet, diclofenac sodium 50 mg tablet,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 mebeverine hydrochloride 200 mg capsule: modified release</t>
  </si>
  <si>
    <t>منار حميد احمد الجدعاني</t>
  </si>
  <si>
    <t>paracetamol 500 mg tablet, paracetamol 500 mg tablet, paracetamol 500 mg tablet, cetirizine hydrochloride 10 mg tablet, cetirizine hydrochloride 10 mg tablet, cetirizine hydrochloride 10 mg tablet, paracetamol 500 mg tablet, paracetamol 500 mg tablet, paracetamol 500 mg tablet, cetirizine hydrochloride 10 mg tablet, cetirizine hydrochloride 10 mg tablet, cetirizine hydrochloride 10 mg tablet</t>
  </si>
  <si>
    <t>اسامه ابراهيم مخضور الجغثمي</t>
  </si>
  <si>
    <t>bisoprolol fumarate, amLODIPine, valsartan</t>
  </si>
  <si>
    <t>bisoprolol fumarate 5 mg tablet, bisoprolol fumarate 5 mg tablet, amLODIPine 5 mg tablet, amLODIPine 5 mg tablet, valsartan 80 mg tablet, valsartan 80 mg tablet, bisoprolol fumarate 5 mg tablet, bisoprolol fumarate 5 mg tablet, amLODIPine 5 mg tablet, amLODIPine 5 mg tablet, valsartan 80 mg tablet, valsartan 80 mg tablet</t>
  </si>
  <si>
    <t>سعاد محمد يحي اليامي</t>
  </si>
  <si>
    <t>colecalciferol 50 000 international units tablet, colecalciferol 50 000 international units tablet, metFORMIN hydrochloride 500 mg tablet, metFORMIN hydrochloride 500 mg tablet, metFORMIN hydrochloride 500 mg tablet, metFORMIN hydrochloride 500 mg tablet, colecalciferol 50 000 international units tablet, colecalciferol 50 000 international units tablet</t>
  </si>
  <si>
    <t>فارس يحي صالح الزهراني</t>
  </si>
  <si>
    <t>betamethasone (as valerate) 0.1% (1 mg/g) + fusidic acid 2% (20 mg/g) cream, betamethasone (as valerate) 0.1% (1 mg/g) + fusidic acid 2% (20 mg/g) cream, betamethasone (as valerate) 0.1% (1 mg/g) + fusidic acid 2% (20 mg/g) cream, betamethasone (as valerate) 0.1% (1 mg/g) + fusidic acid 2% (20 mg/g) cream, betamethasone (as valerate) 0.1% (1 mg/g) + fusidic acid 2% (20 mg/g) cream, betamethasone (as valerate) 0.1% (1 mg/g) + fusidic acid 2% (20 mg/g) cream</t>
  </si>
  <si>
    <t>اماني بنت يحي بن عمر بن قديم</t>
  </si>
  <si>
    <t>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t>
  </si>
  <si>
    <t>عبدالله بن سالم بن العبد باجردوع</t>
  </si>
  <si>
    <t>صالح موسي صالح خواجي</t>
  </si>
  <si>
    <t>cetirizine hydrochloride, xylometazoline hydrochloride, dextromethorphan hydrobromide, paracetamol</t>
  </si>
  <si>
    <t>cetirizine hydrochloride 10 mg tablet, xylometazoline hydrochloride 0.05% (500 microgram/mL) nasal drops, cetirizine hydrochloride 10 mg tablet, xylometazoline hydrochloride 0.05% (500 microgram/mL) nasal drops, cetirizine hydrochloride 10 mg tablet, xylometazoline hydrochloride 0.05% (500 microgram/mL) nasal drops, cetirizine hydrochloride 10 mg tablet, xylometazoline hydrochloride 0.05% (500 microgram/mL) nasal drops, dextromethorphan hydrobromide 10 mg/5 mL + guaiFENesin 100 mg/5 mL oral liquid, dextromethorphan hydrobromide 10 mg/5 mL + guaiFENesin 100 mg/5 mL oral liquid, dextromethorphan hydrobromide 10 mg/5 mL + guaiFENesin 100 mg/5 mL oral liquid, dextromethorphan hydrobromide 10 mg/5 mL + guaiFENesin 100 mg/5 mL oral liquid, paracetamol 500 mg tablet, paracetamol 500 mg tablet, paracetamol 500 mg tablet, paracetamol 500 mg tablet, dextromethorphan hydrobromide 10 mg/5 mL + guaiFENesin 100 mg/5 mL oral liquid, dextromethorphan hydrobromide 10 mg/5 mL + guaiFENesin 100 mg/5 mL oral liquid, dextromethorphan hydrobromide 10 mg/5 mL + guaiFENesin 100 mg/5 mL oral liquid, dextromethorphan hydrobromide 10 mg/5 mL + guaiFENesin 100 mg/5 mL oral liquid, xylometazoline hydrochloride 0.05% (500 microgram/mL) nasal drops, xylometazoline hydrochloride 0.05% (500 microgram/mL) nasal drops, xylometazoline hydrochloride 0.05% (500 microgram/mL) nasal drops, xylometazoline hydrochloride 0.05% (500 microgram/mL) nasal drops, paracetamol 500 mg tablet, cetirizine hydrochloride 10 mg tablet, paracetamol 500 mg tablet, cetirizine hydrochloride 10 mg tablet, paracetamol 500 mg tablet, cetirizine hydrochloride 10 mg tablet, paracetamol 500 mg tablet, cetirizine hydrochloride 10 mg tablet</t>
  </si>
  <si>
    <t>هويده عبدالرحمن كرامه باحشوان</t>
  </si>
  <si>
    <t>metFORMIN hydrochloride, SITagliptin, vitamin B complex (B, B, atorvastatin, omeprazole, gliclazide, glimepiride</t>
  </si>
  <si>
    <t>metFORMIN hydrochloride 500 mg tablet, metFORMIN hydrochloride 500 mg tablet, metFORMIN hydrochloride 500 mg tablet, metFORMIN hydrochloride 500 mg tablet, SITagliptin 100 mg tablet, SITagliptin 100 mg tablet, SITagliptin 100 mg tablet, SITagliptin 100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atorvastatin 20 mg tablet, omeprazole 20 mg tablet: enteric coated, SITagliptin 100 mg tablet, vitamin B complex (B1,B6,B12) 100,200,0.2 mg Film coated tablets [oral], atorvastatin 20 mg tablet, omeprazole 20 mg tablet: enteric coated, SITagliptin 100 mg tablet, vitamin B complex (B1,B6,B12) 100,200,0.2 mg Film coated tablets [oral], atorvastatin 20 mg tablet, omeprazole 20 mg tablet: enteric coated, SITagliptin 100 mg tablet, vitamin B complex (B1,B6,B12) 100,200,0.2 mg Film coated tablets [oral], atorvastatin 20 mg tablet, omeprazole 20 mg tablet: enteric coated, SITagliptin 100 mg tablet, gliclazide 60 mg tablet: modified release, glimepiride 2 mg tablet, metFORMIN hydrochloride 500 mg tablet, gliclazide 60 mg tablet: modified release, glimepiride 2 mg tablet, metFORMIN hydrochloride 500 mg tablet, gliclazide 60 mg tablet: modified release, glimepiride 2 mg tablet, metFORMIN hydrochloride 500 mg tablet, gliclazide 60 mg tablet: modified release, glimepiride 2 mg tablet, metFORMIN hydrochloride 500 mg tablet, glimepiride 2 mg tablet, atorvastatin 20 mg tablet, glimepiride 2 mg tablet, atorvastatin 20 mg tablet, glimepiride 2 mg tablet, atorvastatin 20 mg tablet, glimepiride 2 mg tablet, atorvastatin 20 mg tablet, vitamin B complex (B1,B6,B12) 100,200,0.2 mg Film coated tablets [oral], omeprazole 20 mg tablet: enteric coated, SITagliptin 100 mg tablet, vitamin B complex (B1,B6,B12) 100,200,0.2 mg Film coated tablets [oral], omeprazole 20 mg tablet: enteric coated, SITagliptin 100 mg tablet, vitamin B complex (B1,B6,B12) 100,200,0.2 mg Film coated tablets [oral], omeprazole 20 mg tablet: enteric coated, SITagliptin 100 mg tablet, vitamin B complex (B1,B6,B12) 100,200,0.2 mg Film coated tablets [oral], omeprazole 20 mg tablet: enteric coated, SITagliptin 100 mg tablet, metFORMIN hydrochloride 500 mg tablet, metFORMIN hydrochloride 500 mg tablet, metFORMIN hydrochloride 500 mg tablet, metFORMIN hydrochloride 500 mg tablet, atorvastatin 20 mg tablet, omeprazole 20 mg tablet: enteric coated, atorvastatin 20 mg tablet, omeprazole 20 mg tablet: enteric coated, atorvastatin 20 mg tablet, omeprazole 20 mg tablet: enteric coated, atorvastatin 20 mg tablet, omeprazole 20 mg tablet: enteric coated, glimepiride 2 mg tablet, vitamin B complex (B1,B6,B12) 100,200,0.2 mg Film coated tablets [oral], SITagliptin 100 mg tablet, glimepiride 2 mg tablet, vitamin B complex (B1,B6,B12) 100,200,0.2 mg Film coated tablets [oral], SITagliptin 100 mg tablet, glimepiride 2 mg tablet, vitamin B complex (B1,B6,B12) 100,200,0.2 mg Film coated tablets [oral], SITagliptin 100 mg tablet, glimepiride 2 mg tablet, vitamin B complex (B1,B6,B12) 100,200,0.2 mg Film coated tablets [oral], SITagliptin 100 mg tablet, gliclazide 60 mg tablet: modified release, gliclazide 60 mg tablet: modified release, gliclazide 60 mg tablet: modified release, gliclazide 60 mg tablet: modified release, atorvastatin 20 mg tablet, atorvastatin 20 mg tablet, atorvastatin 20 mg tablet, atorvastatin 20 mg tablet, glimepiride 2 mg tablet, glimepiride 2 mg tablet, glimepiride 2 mg tablet, glimepiride 2 mg tablet, vitamin B complex (B1,B6,B12) 100,200,0.2 mg Film coated tablets [oral], SITagliptin 100 mg tablet, vitamin B complex (B1,B6,B12) 100,200,0.2 mg Film coated tablets [oral], SITagliptin 100 mg tablet, vitamin B complex (B1,B6,B12) 100,200,0.2 mg Film coated tablets [oral], SITagliptin 100 mg tablet, vitamin B complex (B1,B6,B12) 100,200,0.2 mg Film coated tablets [oral], SITagliptin 100 mg tablet</t>
  </si>
  <si>
    <t>علي عبداله علي فقيه</t>
  </si>
  <si>
    <t>fenofibrate, omeprazole, colecalciferol</t>
  </si>
  <si>
    <t>fenofibrate 145 mg tablet, omeprazole 20 mg tablet: enteric coated, fenofibrate 145 mg tablet, omeprazole 20 mg tablet: enteric coated, fenofibrate 145 mg tablet, omeprazole 20 mg tablet: enteric coated, colecalciferol 50 000 international units tablet, colecalciferol 50 000 international units tablet, colecalciferol 50 000 international units tablet, fenofibrate 145 mg tablet, fenofibrate 145 mg tablet, fenofibrate 145 mg tablet, colecalciferol 50 000 international units tablet, colecalciferol 50 000 international units tablet, colecalciferol 50 000 international units tablet, omeprazole 20 mg tablet: enteric coated, omeprazole 20 mg tablet: enteric coated, omeprazole 20 mg tablet: enteric coated, fenofibrate 145 mg tablet, fenofibrate 145 mg tablet, fenofibrate 145 mg tablet, colecalciferol 50 000 international units tablet, colecalciferol 50 000 international units tablet, colecalciferol 50 000 international units tablet, omeprazole 20 mg tablet: enteric coated, omeprazole 20 mg tablet: enteric coated, omeprazole 20 mg tablet: enteric coated, omeprazole 20 mg tablet: enteric coated, omeprazole 20 mg tablet: enteric coated, omeprazole 20 mg tablet: enteric coated, colecalciferol 50 000 international units tablet, colecalciferol 50 000 international units tablet, colecalciferol 50 000 international units tablet, omeprazole 20 mg tablet: enteric coated, omeprazole 20 mg tablet: enteric coated, omeprazole 20 mg tablet: enteric coated, fenofibrate 145 mg tablet, fenofibrate 145 mg tablet, fenofibrate 145 mg tablet</t>
  </si>
  <si>
    <t>صفاء سفر محمد الشهراني</t>
  </si>
  <si>
    <t>اروى ابراهيم مهجي المالكي</t>
  </si>
  <si>
    <t>ناصر منصور بن احمد آل مقبول</t>
  </si>
  <si>
    <t>colecalciferol 50 000 international units tablet, colecalciferol 50 000 international units tablet, colecalciferol 50 000 international units tablet, colecalciferol 50 000 international units tablet, colecalciferol 50 000 international units tablet, colecalciferol 50 000 international units tablet, vitamins (A, B1, B2, B3, C, D3) tablet, vitamins (A, B1, B2, B3, C, D3) tablet, vitamins (A, B1, B2, B3, C, D3) tablet, vitamins (A, B1, B2, B3, C, D3) tablet, vitamins (A, B1, B2, B3, C, D3) tablet, vitamins (A, B1, B2, B3, C, D3) tablet, vitamins (A, B1, B2, B3, C, D3) tablet, colecalciferol 50 000 international units tablet, vitamins (A, B1, B2, B3, C, D3) tablet, colecalciferol 50 000 international units tablet, vitamins (A, B1, B2, B3, C, D3) tablet, colecalciferol 50 000 international units tablet, vitamins (A, B1, B2, B3, C, D3) tablet, colecalciferol 50 000 international units tablet, vitamins (A, B1, B2, B3, C, D3) tablet, colecalciferol 50 000 international units tablet, vitamins (A, B1, B2, B3, C, D3) tablet, colecalciferol 50 000 international units tablet</t>
  </si>
  <si>
    <t>ساره مشهور محمد الغامدي</t>
  </si>
  <si>
    <t>insulin aspart, insulin glargine (lantus)</t>
  </si>
  <si>
    <t>insulin aspart 100 international units/mL injection, 3 mL prefilled pen, insulin aspart 100 international units/mL injection, 3 mL prefilled pen, insulin aspart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aspart 100 international units/mL injection, 3 mL prefilled pen, insulin aspart 100 international units/mL injection, 3 mL prefilled pen, insulin aspart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aspart 100 international units/mL injection, 3 mL prefilled pen, insulin aspart 100 international units/mL injection, 3 mL prefilled pen, insulin aspart 100 international units/mL injection, 3 mL prefilled pen</t>
  </si>
  <si>
    <t>انصاف احمد فطين</t>
  </si>
  <si>
    <t>empagliflozin, metFORMIN hydrochloride, vitamin B complex (B, B, hydroCHLOROthiazide, fenofibrate, valsartan, atorvastatin, SITagliptin</t>
  </si>
  <si>
    <t>empagliflozin 25 mg tablet, metFORMIN hydrochloride 500 mg tablet, empagliflozin 25 mg tablet, metFORMIN hydrochloride 500 mg tablet, empagliflozin 25 mg tablet, metFORMIN hydrochloride 500 mg tablet, empagliflozin 25 mg tablet, metFORMIN hydrochloride 500 mg tablet, vitamin B complex (B1,B6,B12) 100,200,0.2 mg Film coated tablets [oral], hydroCHLOROthiazide 25 mg tablet: scored, vitamin B complex (B1,B6,B12) 100,200,0.2 mg Film coated tablets [oral], hydroCHLOROthiazide 25 mg tablet: scored, vitamin B complex (B1,B6,B12) 100,200,0.2 mg Film coated tablets [oral], hydroCHLOROthiazide 25 mg tablet: scored, vitamin B complex (B1,B6,B12) 100,200,0.2 mg Film coated tablets [oral], hydroCHLOROthiazide 25 mg tablet: scored, fenofibrate 145 mg tablet, fenofibrate 145 mg tablet, fenofibrate 145 mg tablet, fenofibrate 145 mg tablet, metFORMIN hydrochloride 500 mg tablet, metFORMIN hydrochloride 500 mg tablet, metFORMIN hydrochloride 500 mg tablet, metFORMIN hydrochloride 500 mg tablet, valsartan 80 mg tablet, atorvastatin 10 mg tablet, valsartan 80 mg tablet, atorvastatin 10 mg tablet, valsartan 80 mg tablet, atorvastatin 10 mg tablet, valsartan 80 mg tablet, atorvastatin 10 mg tablet, vitamin B complex (B1,B6,B12) 100,200,0.2 mg Film coated tablets [oral], empagliflozin 25 mg tablet, fenofibrate 145 mg tablet, vitamin B complex (B1,B6,B12) 100,200,0.2 mg Film coated tablets [oral], empagliflozin 25 mg tablet, fenofibrate 145 mg tablet, vitamin B complex (B1,B6,B12) 100,200,0.2 mg Film coated tablets [oral], empagliflozin 25 mg tablet, fenofibrate 145 mg tablet, vitamin B complex (B1,B6,B12) 100,200,0.2 mg Film coated tablets [oral], empagliflozin 25 mg tablet, fenofibrate 145 mg tablet, hydroCHLOROthiazide 25 mg tablet: scored, hydroCHLOROthiazide 25 mg tablet: scored, hydroCHLOROthiazide 25 mg tablet: scored, hydroCHLOROthiazide 25 mg tablet: scored, SITagliptin 100 mg tablet, SITagliptin 100 mg tablet, SITagliptin 100 mg tablet, SITagliptin 100 mg tablet, empagliflozin 25 mg tablet, valsartan 80 mg tablet, empagliflozin 25 mg tablet, valsartan 80 mg tablet, empagliflozin 25 mg tablet, valsartan 80 mg tablet, empagliflozin 25 mg tablet, valsartan 80 mg tablet, atorvastatin 10 mg tablet, atorvastatin 10 mg tablet, atorvastatin 10 mg tablet, atorvastatin 10 mg tablet, vitamin B complex (B1,B6,B12) 100,200,0.2 mg Film coated tablets [oral], vitamin B complex (B1,B6,B12) 100,200,0.2 mg Film coated tablets [oral], vitamin B complex (B1,B6,B12) 100,200,0.2 mg Film coated tablets [oral], vitamin B complex (B1,B6,B12) 100,200,0.2 mg Film coated tablets [oral], valsartan 80 mg tablet, SITagliptin 100 mg tablet, atorvastatin 10 mg tablet, valsartan 80 mg tablet, SITagliptin 100 mg tablet, atorvastatin 10 mg tablet, valsartan 80 mg tablet, SITagliptin 100 mg tablet, atorvastatin 10 mg tablet, valsartan 80 mg tablet, SITagliptin 100 mg tablet, atorvastatin 10 mg tablet, SITagliptin 100 mg tablet, metFORMIN hydrochloride 500 mg tablet, hydroCHLOROthiazide 25 mg tablet: scored, SITagliptin 100 mg tablet, metFORMIN hydrochloride 500 mg tablet, hydroCHLOROthiazide 25 mg tablet: scored, SITagliptin 100 mg tablet, metFORMIN hydrochloride 500 mg tablet, hydroCHLOROthiazide 25 mg tablet: scored, SITagliptin 100 mg tablet, metFORMIN hydrochloride 500 mg tablet, hydroCHLOROthiazide 25 mg tablet: scored, fenofibrate 145 mg tablet, fenofibrate 145 mg tablet, fenofibrate 145 mg tablet, fenofibrate 145 mg tablet, empagliflozin 25 mg tablet, valsartan 80 mg tablet, empagliflozin 25 mg tablet, valsartan 80 mg tablet, empagliflozin 25 mg tablet, valsartan 80 mg tablet, empagliflozin 25 mg tablet, valsartan 80 mg tablet, SITagliptin 100 mg tablet, atorvastatin 10 mg tablet, SITagliptin 100 mg tablet, atorvastatin 10 mg tablet, SITagliptin 100 mg tablet, atorvastatin 10 mg tablet, SITagliptin 100 mg tablet, atorvastatin 10 mg tablet, fenofibrate 145 mg tablet, fenofibrate 145 mg tablet, fenofibrate 145 mg tablet, fenofibrate 145 mg tablet, vitamin B complex (B1,B6,B12) 100,200,0.2 mg Film coated tablets [oral], vitamin B complex (B1,B6,B12) 100,200,0.2 mg Film coated tablets [oral], vitamin B complex (B1,B6,B12) 100,200,0.2 mg Film coated tablets [oral], vitamin B complex (B1,B6,B12) 100,200,0.2 mg Film coated tablets [oral], hydroCHLOROthiazide 25 mg tablet: scored, metFORMIN hydrochloride 500 mg tablet, hydroCHLOROthiazide 25 mg tablet: scored, metFORMIN hydrochloride 500 mg tablet, hydroCHLOROthiazide 25 mg tablet: scored, metFORMIN hydrochloride 500 mg tablet, hydroCHLOROthiazide 25 mg tablet: scored, metFORMIN hydrochloride 500 mg tablet</t>
  </si>
  <si>
    <t>سعود عياد سعد الحربي</t>
  </si>
  <si>
    <t>amLODIPine 10 mg capsule, amLODIPine 10 mg capsule, amLODIPine 10 mg capsule, amLODIPine 10 mg capsule, amLODIPine 10 mg capsule, amLODIPine 10 mg capsule, amLODIPine 10 mg capsule, amLODIPine 10 mg capsule, amLODIPine 10 mg capsule, amLODIPine 10 mg capsule, amLODIPine 10 mg capsule, amLODIPine 10 mg capsule,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valsartan 80 mg tablet, amLODIPine 10 mg capsule, amLODIPine 10 mg capsule, amLODIPine 10 mg capsule, amLODIPine 10 mg capsule, amLODIPine 10 mg capsule, amLODIPine 10 mg capsule, amLODIPine 10 mg capsule, amLODIPine 10 mg capsule, amLODIPine 10 mg capsule, amLODIPine 10 mg capsule, amLODIPine 10 mg capsule, amLODIPine 10 mg capsule</t>
  </si>
  <si>
    <t>عاصم صالح عوض القصيري</t>
  </si>
  <si>
    <t>paracetamol, sodium chloride, diclofenac sodium, vitamins (A, B, C, D</t>
  </si>
  <si>
    <t>paracetamol 500 mg tablet, paracetamol 500 mg tablet, paracetamol 500 mg tablet, paracetamol 500 mg tablet, sodium chloride 0.9% (9 mg/mL) nasal spray, sodium chloride 0.9% (9 mg/mL) nasal spray, sodium chloride 0.9% (9 mg/mL) nasal spray, sodium chloride 0.9% (9 mg/mL) nasal spray, diclofenac sodium 1% (10 mg/g) gel, diclofenac sodium 1% (10 mg/g) gel, diclofenac sodium 1% (10 mg/g) gel, diclofenac sodium 1% (10 mg/g) gel, vitamins (A, B1, B2, B3, C, D3) tablet, vitamins (A, B1, B2, B3, C, D3) tablet, vitamins (A, B1, B2, B3, C, D3) tablet, vitamins (A, B1, B2, B3, C, D3) tablet, paracetamol 500 mg tablet, paracetamol 500 mg tablet, paracetamol 500 mg tablet, paracetamol 500 mg tablet, diclofenac sodium 1% (10 mg/g) gel, diclofenac sodium 1% (10 mg/g) gel, diclofenac sodium 1% (10 mg/g) gel, diclofenac sodium 1% (10 mg/g) gel, vitamins (A, B1, B2, B3, C, D3) tablet, vitamins (A, B1, B2, B3, C, D3) tablet, vitamins (A, B1, B2, B3, C, D3) tablet, vitamins (A, B1, B2, B3, C, D3) tablet, sodium chloride 0.9% (9 mg/mL) nasal spray, sodium chloride 0.9% (9 mg/mL) nasal spray, sodium chloride 0.9% (9 mg/mL) nasal spray, sodium chloride 0.9% (9 mg/mL) nasal spray</t>
  </si>
  <si>
    <t>عبدالله محمد علي زهراني</t>
  </si>
  <si>
    <t>insulin aspart, vitamin B complex (B, B</t>
  </si>
  <si>
    <t>insulin aspart 100 international units/mL injection, 3 mL prefilled pen, insulin aspart 100 international units/mL injection, 3 mL prefilled pen, insulin aspart 100 international units/mL injection, 3 mL prefilled pen, vitamin B complex (B1,B6,B12) 100,200,0.2 mg Film coated tablets [oral], vitamin B complex (B1,B6,B12) 100,200,0.2 mg Film coated tablets [oral], vitamin B complex (B1,B6,B12) 100,200,0.2 mg Film coated tablets [oral], insulin aspart 100 international units/mL injection, 3 mL prefilled pen, insulin aspart 100 international units/mL injection, 3 mL prefilled pen, insulin aspart 100 international units/mL injection, 3 mL prefilled pen, vitamin B complex (B1,B6,B12) 100,200,0.2 mg Film coated tablets [oral], vitamin B complex (B1,B6,B12) 100,200,0.2 mg Film coated tablets [oral], vitamin B complex (B1,B6,B12) 100,200,0.2 mg Film coated tablets [oral], insulin aspart 100 international units/mL injection, 3 mL prefilled pen, insulin aspart 100 international units/mL injection, 3 mL prefilled pen, insulin aspart 100 international units/mL injection, 3 mL prefilled pen, vitamin B complex (B1,B6,B12) 100,200,0.2 mg Film coated tablets [oral], vitamin B complex (B1,B6,B12) 100,200,0.2 mg Film coated tablets [oral], vitamin B complex (B1,B6,B12) 100,200,0.2 mg Film coated tablets [oral]</t>
  </si>
  <si>
    <t>سيرين يوسف حسن بخش</t>
  </si>
  <si>
    <t>ياسمين احمد بن محسن المرهون</t>
  </si>
  <si>
    <t>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 ketoconazole 2% (20 mg/g) shampoo</t>
  </si>
  <si>
    <t>هنادي محمد علي حسن الكردي</t>
  </si>
  <si>
    <t>rosuvastatin, colecalciferol, bisoprolol fumarate, calcium carbonate</t>
  </si>
  <si>
    <t>rosuvastatin 20 mg tablet, rosuvastatin 20 mg tablet, rosuvastatin 20 mg tablet, rosuvastatin 20 mg tablet, rosuvastatin 20 mg tablet, rosuvastatin 20 mg tablet, rosuvastatin 20 mg tablet, colecalciferol 5000 international units Capsules [oral], bisoprolol fumarate 5 mg tablet, colecalciferol 5000 international units Capsules [oral], bisoprolol fumarate 5 mg tablet, colecalciferol 5000 international units Capsules [oral], bisoprolol fumarate 5 mg tablet, colecalciferol 5000 international units Capsules [oral], bisoprolol fumarate 5 mg tablet, colecalciferol 5000 international units Capsules [oral], bisoprolol fumarate 5 mg tablet, colecalciferol 5000 international units Capsules [oral], bisoprolol fumarate 5 mg tablet, colecalciferol 5000 international units Capsules [oral], bisoprolol fumarate 5 mg tablet, rosuvastatin 20 mg tablet, rosuvastatin 20 mg tablet, rosuvastatin 20 mg tablet, rosuvastatin 20 mg tablet, rosuvastatin 20 mg tablet, rosuvastatin 20 mg tablet, rosuvastatin 20 mg tablet, calcium carbonate 600 mg - colecalciferol 200 international units Film coated tablets [oral], colecalciferol 5000 international units Capsules [oral], calcium carbonate 600 mg - colecalciferol 200 international units Film coated tablets [oral], colecalciferol 5000 international units Capsules [oral], calcium carbonate 600 mg - colecalciferol 200 international units Film coated tablets [oral], colecalciferol 5000 international units Capsules [oral], calcium carbonate 600 mg - colecalciferol 200 international units Film coated tablets [oral], colecalciferol 5000 international units Capsules [oral], calcium carbonate 600 mg - colecalciferol 200 international units Film coated tablets [oral], colecalciferol 5000 international units Capsules [oral], calcium carbonate 600 mg - colecalciferol 200 international units Film coated tablets [oral], colecalciferol 5000 international units Capsules [oral], calcium carbonate 600 mg - colecalciferol 200 international units Film coated tablets [oral], colecalciferol 5000 international units Capsules [oral], bisoprolol fumarate 5 mg tablet, bisoprolol fumarate 5 mg tablet, bisoprolol fumarate 5 mg tablet, bisoprolol fumarate 5 mg tablet, bisoprolol fumarate 5 mg tablet, bisoprolol fumarate 5 mg tablet, bisoprolol fumarate 5 mg tablet, calcium carbonate 600 mg - colecalciferol 200 international units Film coated tablets [oral], rosuvastatin 20 mg tablet, calcium carbonate 600 mg - colecalciferol 200 international units Film coated tablets [oral], rosuvastatin 20 mg tablet, calcium carbonate 600 mg - colecalciferol 200 international units Film coated tablets [oral], rosuvastatin 20 mg tablet, calcium carbonate 600 mg - colecalciferol 200 international units Film coated tablets [oral], rosuvastatin 20 mg tablet, calcium carbonate 600 mg - colecalciferol 200 international units Film coated tablets [oral], rosuvastatin 20 mg tablet, calcium carbonate 600 mg - colecalciferol 200 international units Film coated tablets [oral], rosuvastatin 20 mg tablet, calcium carbonate 600 mg - colecalciferol 200 international units Film coated tablets [oral], rosuvastatin 20 mg tablet,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bisoprolol fumarate 5 mg tablet, bisoprolol fumarate 5 mg tablet, bisoprolol fumarate 5 mg tablet, bisoprolol fumarate 5 mg tablet, bisoprolol fumarate 5 mg tablet, bisoprolol fumarate 5 mg tablet, bisoprolol fumarate 5 mg tablet, rosuvastatin 20 mg tablet, calcium carbonate 600 mg - colecalciferol 200 international units Film coated tablets [oral], rosuvastatin 20 mg tablet, calcium carbonate 600 mg - colecalciferol 200 international units Film coated tablets [oral], rosuvastatin 20 mg tablet, calcium carbonate 600 mg - colecalciferol 200 international units Film coated tablets [oral], rosuvastatin 20 mg tablet, calcium carbonate 600 mg - colecalciferol 200 international units Film coated tablets [oral], rosuvastatin 20 mg tablet, calcium carbonate 600 mg - colecalciferol 200 international units Film coated tablets [oral], rosuvastatin 20 mg tablet, calcium carbonate 600 mg - colecalciferol 200 international units Film coated tablets [oral], rosuvastatin 20 mg tablet, calcium carbonate 600 mg - colecalciferol 200 international units Film coated tablets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calcium carbonate 600 mg - colecalciferol 200 international units Film coated tablets [oral], rosuvastatin 20 mg tablet, calcium carbonate 600 mg - colecalciferol 200 international units Film coated tablets [oral], rosuvastatin 20 mg tablet, calcium carbonate 600 mg - colecalciferol 200 international units Film coated tablets [oral], rosuvastatin 20 mg tablet, calcium carbonate 600 mg - colecalciferol 200 international units Film coated tablets [oral], rosuvastatin 20 mg tablet, calcium carbonate 600 mg - colecalciferol 200 international units Film coated tablets [oral], rosuvastatin 20 mg tablet, calcium carbonate 600 mg - colecalciferol 200 international units Film coated tablets [oral], rosuvastatin 20 mg tablet, calcium carbonate 600 mg - colecalciferol 200 international units Film coated tablets [oral], rosuvastatin 20 mg tablet, bisoprolol fumarate 5 mg tablet, bisoprolol fumarate 5 mg tablet, bisoprolol fumarate 5 mg tablet, bisoprolol fumarate 5 mg tablet, bisoprolol fumarate 5 mg tablet, bisoprolol fumarate 5 mg tablet, bisoprolol fumarate 5 mg tablet, bisoprolol fumarate 5 mg tablet, bisoprolol fumarate 5 mg tablet, bisoprolol fumarate 5 mg tablet, bisoprolol fumarate 5 mg tablet, bisoprolol fumarate 5 mg tablet, bisoprolol fumarate 5 mg tablet, bisoprolol fumarate 5 mg tablet,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calcium carbonate 600 mg - colecalciferol 200 international units Film coated tablets [oral], rosuvastatin 20 mg tablet, rosuvastatin 20 mg tablet, rosuvastatin 20 mg tablet, rosuvastatin 20 mg tablet, rosuvastatin 20 mg tablet, rosuvastatin 20 mg tablet, rosuvastatin 20 mg tablet,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bisoprolol fumarate 5 mg tablet, bisoprolol fumarate 5 mg tablet, bisoprolol fumarate 5 mg tablet, bisoprolol fumarate 5 mg tablet, bisoprolol fumarate 5 mg tablet, bisoprolol fumarate 5 mg tablet, bisoprolol fumarate 5 mg tablet, rosuvastatin 20 mg tablet, rosuvastatin 20 mg tablet, rosuvastatin 20 mg tablet, rosuvastatin 20 mg tablet, rosuvastatin 20 mg tablet, rosuvastatin 20 mg tablet, rosuvastatin 20 mg tablet, bisoprolol fumarate 5 mg tablet, bisoprolol fumarate 5 mg tablet, bisoprolol fumarate 5 mg tablet, bisoprolol fumarate 5 mg tablet, bisoprolol fumarate 5 mg tablet, bisoprolol fumarate 5 mg tablet, bisoprolol fumarate 5 mg tablet, rosuvastatin 20 mg tablet, calcium carbonate 600 mg - colecalciferol 200 international units Film coated tablets [oral], rosuvastatin 20 mg tablet, calcium carbonate 600 mg - colecalciferol 200 international units Film coated tablets [oral], rosuvastatin 20 mg tablet, calcium carbonate 600 mg - colecalciferol 200 international units Film coated tablets [oral], rosuvastatin 20 mg tablet, calcium carbonate 600 mg - colecalciferol 200 international units Film coated tablets [oral], rosuvastatin 20 mg tablet, calcium carbonate 600 mg - colecalciferol 200 international units Film coated tablets [oral], rosuvastatin 20 mg tablet, calcium carbonate 600 mg - colecalciferol 200 international units Film coated tablets [oral], rosuvastatin 20 mg tablet, calcium carbonate 600 mg - colecalciferol 200 international units Film coated tablets [oral]</t>
  </si>
  <si>
    <t>رقيه احمد عوض العمودي</t>
  </si>
  <si>
    <t>atorvastatin 10 mg tablet, atorvastatin 10 mg tablet, atorvastatin 10 mg tablet, atorvastatin 10 mg tablet, valsartan 80 mg tablet, valsartan 80 mg tablet, valsartan 80 mg tablet, valsartan 80 mg tablet, valsartan 80 mg tablet, atorvastatin 10 mg tablet, valsartan 80 mg tablet, atorvastatin 10 mg tablet, valsartan 80 mg tablet, atorvastatin 10 mg tablet, valsartan 80 mg tablet, atorvastatin 10 mg tablet, atorvastatin 10 mg tablet, atorvastatin 10 mg tablet, atorvastatin 10 mg tablet, atorvastatin 10 mg tablet</t>
  </si>
  <si>
    <t>عبدالله محمد عبدالله العميري</t>
  </si>
  <si>
    <t>insulin aspart, Strips (Accu-Check)</t>
  </si>
  <si>
    <t>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Strips (Accu-Check) 1 box Strip [n/a], Strips (Accu-Check) 1 box Strip [n/a], Strips (Accu-Check) 1 box Strip [n/a], Strips (Accu-Check) 1 box Strip [n/a], Strips (Accu-Check) 1 box Strip [n/a], Strips (Accu-Check) 1 box Strip [n/a], Strips (Accu-Check) 1 box Strip [n/a], Strips (Accu-Check) 1 box Strip [n/a],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Strips (Accu-Check) 1 box Strip [n/a], Strips (Accu-Check) 1 box Strip [n/a], Strips (Accu-Check) 1 box Strip [n/a], Strips (Accu-Check) 1 box Strip [n/a]</t>
  </si>
  <si>
    <t>يوسف محمد عسيري</t>
  </si>
  <si>
    <t>insulin aspart, vitamin B complex (B, B, empagliflozin, insulin glargine (lantus), atorvastatin, metFORMIN hydrochloride, amLODIPine</t>
  </si>
  <si>
    <t>insulin aspart 100 international units/mL injection, 3 mL prefilled pen, vitamin B complex (B1,B6,B12) 100,200,0.2 mg Film coated tablets [oral], empagliflozin 25 mg tablet, insulin aspart 100 international units/mL injection, 3 mL prefilled pen, vitamin B complex (B1,B6,B12) 100,200,0.2 mg Film coated tablets [oral], empagliflozin 25 mg tablet, insulin aspart 100 international units/mL injection, 3 mL prefilled pen, vitamin B complex (B1,B6,B12) 100,200,0.2 mg Film coated tablets [oral], empagliflozin 25 mg tablet, insulin aspart 100 international units/mL injection, 3 mL prefilled pen, vitamin B complex (B1,B6,B12) 100,200,0.2 mg Film coated tablets [oral], empagliflozin 25 mg tablet,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empagliflozin 25 mg tablet, atorvastatin 20 mg tablet, empagliflozin 25 mg tablet, atorvastatin 20 mg tablet, empagliflozin 25 mg tablet, atorvastatin 20 mg tablet, empagliflozin 25 mg tablet, atorvastatin 20 mg tablet, vitamin B complex (B1,B6,B12) 100,200,0.2 mg Film coated tablets [oral], metFORMIN hydrochloride 500 mg tablet, amLODIPine 5 mg tablet, insulin aspart 100 international units/mL injection, 3 mL prefilled pen, insulin glargine (lantus) 100 international units/mL injection, 3 mL prefilled pen, vitamin B complex (B1,B6,B12) 100,200,0.2 mg Film coated tablets [oral], metFORMIN hydrochloride 500 mg tablet, amLODIPine 5 mg tablet, insulin aspart 100 international units/mL injection, 3 mL prefilled pen, insulin glargine (lantus) 100 international units/mL injection, 3 mL prefilled pen, vitamin B complex (B1,B6,B12) 100,200,0.2 mg Film coated tablets [oral], metFORMIN hydrochloride 500 mg tablet, amLODIPine 5 mg tablet, insulin aspart 100 international units/mL injection, 3 mL prefilled pen, insulin glargine (lantus) 100 international units/mL injection, 3 mL prefilled pen, vitamin B complex (B1,B6,B12) 100,200,0.2 mg Film coated tablets [oral], metFORMIN hydrochloride 500 mg tablet, amLODIPine 5 mg tablet, insulin aspart 100 international units/mL injection, 3 mL prefilled pen, insulin glargine (lantus) 100 international units/mL injection, 3 mL prefilled pen, atorvastatin 20 mg tablet, atorvastatin 20 mg tablet, atorvastatin 20 mg tablet, atorvastatin 20 mg tablet, insulin aspart 100 international units/mL injection, 3 mL prefilled pen, vitamin B complex (B1,B6,B12) 100,200,0.2 mg Film coated tablets [oral], empagliflozin 25 mg tablet, insulin aspart 100 international units/mL injection, 3 mL prefilled pen, vitamin B complex (B1,B6,B12) 100,200,0.2 mg Film coated tablets [oral], empagliflozin 25 mg tablet, insulin aspart 100 international units/mL injection, 3 mL prefilled pen, vitamin B complex (B1,B6,B12) 100,200,0.2 mg Film coated tablets [oral], empagliflozin 25 mg tablet, insulin aspart 100 international units/mL injection, 3 mL prefilled pen, vitamin B complex (B1,B6,B12) 100,200,0.2 mg Film coated tablets [oral], empagliflozin 25 mg tablet, metFORMIN hydrochloride 500 mg tablet, amLODIPine 5 mg tablet, insulin glargine (lantus) 100 international units/mL injection, 3 mL prefilled pen, metFORMIN hydrochloride 500 mg tablet, amLODIPine 5 mg tablet, insulin glargine (lantus) 100 international units/mL injection, 3 mL prefilled pen, metFORMIN hydrochloride 500 mg tablet, amLODIPine 5 mg tablet, insulin glargine (lantus) 100 international units/mL injection, 3 mL prefilled pen, metFORMIN hydrochloride 500 mg tablet, amLODIPine 5 mg tablet,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vitamin B complex (B1,B6,B12) 100,200,0.2 mg Film coated tablets [oral], insulin aspart 100 international units/mL injection, 3 mL prefilled pen, vitamin B complex (B1,B6,B12) 100,200,0.2 mg Film coated tablets [oral], insulin aspart 100 international units/mL injection, 3 mL prefilled pen, vitamin B complex (B1,B6,B12) 100,200,0.2 mg Film coated tablets [oral], insulin aspart 100 international units/mL injection, 3 mL prefilled pen, vitamin B complex (B1,B6,B12) 100,200,0.2 mg Film coated tablets [oral], insulin aspart 100 international units/mL injection, 3 mL prefilled pen, empagliflozin 25 mg tablet, atorvastatin 20 mg tablet, metFORMIN hydrochloride 500 mg tablet, empagliflozin 25 mg tablet, atorvastatin 20 mg tablet, metFORMIN hydrochloride 500 mg tablet, empagliflozin 25 mg tablet, atorvastatin 20 mg tablet, metFORMIN hydrochloride 500 mg tablet, empagliflozin 25 mg tablet, atorvastatin 20 mg tablet, metFORMIN hydrochloride 500 mg tablet, amLODIPine 5 mg tablet, amLODIPine 5 mg tablet, amLODIPine 5 mg tablet, amLODIPine 5 mg tablet, amLODIPine 5 mg tablet, vitamin B complex (B1,B6,B12) 100,200,0.2 mg Film coated tablets [oral], metFORMIN hydrochloride 500 mg tablet, insulin aspart 100 international units/mL injection, 3 mL prefilled pen, amLODIPine 5 mg tablet, vitamin B complex (B1,B6,B12) 100,200,0.2 mg Film coated tablets [oral], metFORMIN hydrochloride 500 mg tablet, insulin aspart 100 international units/mL injection, 3 mL prefilled pen, amLODIPine 5 mg tablet, vitamin B complex (B1,B6,B12) 100,200,0.2 mg Film coated tablets [oral], metFORMIN hydrochloride 500 mg tablet, insulin aspart 100 international units/mL injection, 3 mL prefilled pen, amLODIPine 5 mg tablet, vitamin B complex (B1,B6,B12) 100,200,0.2 mg Film coated tablets [oral], metFORMIN hydrochloride 500 mg tablet, insulin aspart 100 international units/mL injection, 3 mL prefilled pen, atorvastatin 20 mg tablet, empagliflozin 25 mg tablet, atorvastatin 20 mg tablet, empagliflozin 25 mg tablet, atorvastatin 20 mg tablet, empagliflozin 25 mg tablet, atorvastatin 20 mg tablet, empagliflozin 25 mg tablet,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vitamin B complex (B1,B6,B12) 100,200,0.2 mg Film coated tablets [oral], vitamin B complex (B1,B6,B12) 100,200,0.2 mg Film coated tablets [oral], vitamin B complex (B1,B6,B12) 100,200,0.2 mg Film coated tablets [oral], vitamin B complex (B1,B6,B12) 100,200,0.2 mg Film coated tablets [oral], atorvastatin 20 mg tablet, atorvastatin 20 mg tablet, atorvastatin 20 mg tablet, atorvastatin 20 mg tablet, metFORMIN hydrochloride 500 mg tablet, empagliflozin 25 mg tablet, metFORMIN hydrochloride 500 mg tablet, empagliflozin 25 mg tablet, metFORMIN hydrochloride 500 mg tablet, empagliflozin 25 mg tablet, metFORMIN hydrochloride 500 mg tablet, empagliflozin 25 mg tablet,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aspart 100 international units/mL injection, 3 mL prefilled pen, amLODIPine 5 mg tablet, insulin aspart 100 international units/mL injection, 3 mL prefilled pen, amLODIPine 5 mg tablet, insulin aspart 100 international units/mL injection, 3 mL prefilled pen, amLODIPine 5 mg tablet, insulin aspart 100 international units/mL injection, 3 mL prefilled pen, amLODIPine 5 mg tablet,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empagliflozin 25 mg tablet, metFORMIN hydrochloride 500 mg tablet, empagliflozin 25 mg tablet, metFORMIN hydrochloride 500 mg tablet, empagliflozin 25 mg tablet, metFORMIN hydrochloride 500 mg tablet, empagliflozin 25 mg tablet, metFORMIN hydrochloride 500 mg tablet, insulin glargine (lantus) 100 international units/mL injection, 3 mL prefilled pen, vitamin B complex (B1,B6,B12) 100,200,0.2 mg Film coated tablets [oral], insulin glargine (lantus) 100 international units/mL injection, 3 mL prefilled pen, vitamin B complex (B1,B6,B12) 100,200,0.2 mg Film coated tablets [oral], insulin glargine (lantus) 100 international units/mL injection, 3 mL prefilled pen, vitamin B complex (B1,B6,B12) 100,200,0.2 mg Film coated tablets [oral], insulin glargine (lantus) 100 international units/mL injection, 3 mL prefilled pen, vitamin B complex (B1,B6,B12) 100,200,0.2 mg Film coated tablets [oral],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metFORMIN hydrochloride 500 mg tablet, metFORMIN hydrochloride 500 mg tablet, metFORMIN hydrochloride 500 mg tablet, metFORMIN hydrochloride 500 mg tablet</t>
  </si>
  <si>
    <t>لطيفه محمد محمد اكطاطي</t>
  </si>
  <si>
    <t>atorvastatin 20 mg tablet, atorvastatin 20 mg tablet, atorvastatin 20 mg tablet, atorvastatin 20 mg tablet, levothyroxine sodium 100 microgram tablet, levothyroxine sodium 100 microgram tablet, levothyroxine sodium 100 microgram tablet, levothyroxine sodium 100 microgram tablet, levothyroxine sodium 100 microgram tablet, levothyroxine sodium 100 microgram tablet, levothyroxine sodium 100 microgram tablet, levothyroxine sodium 100 microgram tablet, atorvastatin 20 mg tablet, atorvastatin 20 mg tablet, atorvastatin 20 mg tablet, atorvastatin 20 mg tablet, atorvastatin 20 mg tablet, atorvastatin 20 mg tablet, atorvastatin 20 mg tablet, atorvastatin 20 mg tablet, levothyroxine sodium 100 microgram tablet, levothyroxine sodium 100 microgram tablet, levothyroxine sodium 100 microgram tablet, levothyroxine sodium 100 microgram tablet</t>
  </si>
  <si>
    <t>ناصرة يحى يحى بيضى</t>
  </si>
  <si>
    <t>amLODIPine, budesonide, atorvastatin</t>
  </si>
  <si>
    <t>amLODIPine 5 mg tablet, amLODIPine 5 mg tablet, amLODIPine 5 mg tablet, amLODIPine 5 mg tablet, budesonide 64 microgram/actuation nasal spray, atorvastatin 20 mg tablet, budesonide 64 microgram/actuation nasal spray, atorvastatin 20 mg tablet, budesonide 64 microgram/actuation nasal spray, atorvastatin 20 mg tablet, budesonide 64 microgram/actuation nasal spray, atorvastatin 20 mg tablet, atorvastatin 20 mg tablet, atorvastatin 20 mg tablet, atorvastatin 20 mg tablet, atorvastatin 20 mg tablet, budesonide 64 microgram/actuation nasal spray, budesonide 64 microgram/actuation nasal spray, budesonide 64 microgram/actuation nasal spray, budesonide 64 microgram/actuation nasal spray, amLODIPine 5 mg tablet, amLODIPine 5 mg tablet, amLODIPine 5 mg tablet, amLODIPine 5 mg tablet</t>
  </si>
  <si>
    <t>عاصم يحى سعيد الخميسي</t>
  </si>
  <si>
    <t>diclofenac sodium 1% (10 mg/g) gel, diclofenac sodium 1% (10 mg/g) gel, diclofenac sodium 1% (10 mg/g) gel, diclofenac sodium 1% (10 mg/g) gel, chlorzoxazone 250 mg + paracetamol 300 mg capsule, chlorzoxazone 250 mg + paracetamol 300 mg capsule, chlorzoxazone 250 mg + paracetamol 300 mg capsule, chlorzoxazone 250 mg + paracetamol 300 mg capsule, diclofenac sodium 1% (10 mg/g) gel, chlorzoxazone 250 mg + paracetamol 300 mg capsule, diclofenac sodium 1% (10 mg/g) gel, chlorzoxazone 250 mg + paracetamol 300 mg capsule, diclofenac sodium 1% (10 mg/g) gel, chlorzoxazone 250 mg + paracetamol 300 mg capsule, diclofenac sodium 1% (10 mg/g) gel, chlorzoxazone 250 mg + paracetamol 300 mg capsule, diclofenac sodium 1% (10 mg/g) gel, diclofenac sodium 1% (10 mg/g) gel, diclofenac sodium 1% (10 mg/g) gel, diclofenac sodium 1% (10 mg/g) gel, chlorzoxazone 250 mg + paracetamol 300 mg capsule, chlorzoxazone 250 mg + paracetamol 300 mg capsule, chlorzoxazone 250 mg + paracetamol 300 mg capsule, chlorzoxazone 250 mg + paracetamol 300 mg capsule</t>
  </si>
  <si>
    <t>ريوف عبدالله سعد البقمي</t>
  </si>
  <si>
    <t>omeprazole, cetirizine hydrochloride</t>
  </si>
  <si>
    <t>omeprazole 20 mg tablet: enteric coated, cetirizine hydrochloride 10 mg tablet, omeprazole 20 mg tablet: enteric coated, cetirizine hydrochloride 10 mg tablet, omeprazole 20 mg tablet: enteric coated, cetirizine hydrochloride 10 mg tablet, omeprazole 20 mg tablet: enteric coated, cetirizine hydrochloride 10 mg tablet, omeprazole 20 mg tablet: enteric coated, cetirizine hydrochloride 10 mg tablet, omeprazole 20 mg tablet: enteric coated, cetirizine hydrochloride 10 mg tablet, omeprazole 20 mg tablet: enteric coated, cetirizine hydrochloride 10 mg tablet, omeprazole 20 mg tablet: enteric coated, cetirizine hydrochloride 10 mg tablet, omeprazole 20 mg tablet: enteric coated, cetirizine hydrochloride 10 mg tablet, omeprazole 20 mg tablet: enteric coated, cetirizine hydrochloride 10 mg tablet, omeprazole 20 mg tablet: enteric coated, cetirizine hydrochloride 10 mg tablet, omeprazole 20 mg tablet: enteric coated, cetirizine hydrochloride 10 mg tablet, cetirizine hydrochloride 10 mg tablet, omeprazole 20 mg tablet: enteric coated, cetirizine hydrochloride 10 mg tablet, omeprazole 20 mg tablet: enteric coated, cetirizine hydrochloride 10 mg tablet, omeprazole 20 mg tablet: enteric coated, cetirizine hydrochloride 10 mg tablet, omeprazole 20 mg tablet: enteric coated, cetirizine hydrochloride 10 mg tablet, cetirizine hydrochloride 10 mg tablet, cetirizine hydrochloride 10 mg tablet, cetirizine hydrochloride 10 mg tablet, omeprazole 20 mg tablet: enteric coated, omeprazole 20 mg tablet: enteric coated, omeprazole 20 mg tablet: enteric coated, omeprazole 20 mg tablet: enteric coated, cetirizine hydrochloride 10 mg tablet, cetirizine hydrochloride 10 mg tablet, cetirizine hydrochloride 10 mg tablet, cetirizine hydrochloride 10 mg tablet</t>
  </si>
  <si>
    <t>مهند عبدالله حميد النفيعي</t>
  </si>
  <si>
    <t>Glucometer Device (Accu-Chek), Strips (Accu-Check), insulin glargine, Lancets (Accu-Check)</t>
  </si>
  <si>
    <t>Glucometer Device (Accu-Chek) 1 device Device [n/a], Glucometer Device (Accu-Chek) 1 device Device [n/a], Glucometer Device (Accu-Chek) 1 device Device [n/a], Glucometer Device (Accu-Chek) 1 device Device [n/a], Strips (Accu-Check) 1 box Strip [n/a], Strips (Accu-Check) 1 box Strip [n/a], Strips (Accu-Check) 1 box Strip [n/a], Strips (Accu-Check) 1 box Strip [n/a],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Lancets (Accu-Check) 1 box Lancets [n/a], Lancets (Accu-Check) 1 box Lancets [n/a], Lancets (Accu-Check) 1 box Lancets [n/a], Lancets (Accu-Check) 1 box Lancets [n/a],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Glucometer Device (Accu-Chek) 1 device Device [n/a], Glucometer Device (Accu-Chek) 1 device Device [n/a], Glucometer Device (Accu-Chek) 1 device Device [n/a], Glucometer Device (Accu-Chek) 1 device Device [n/a], Lancets (Accu-Check) 1 box Lancets [n/a], Lancets (Accu-Check) 1 box Lancets [n/a], Lancets (Accu-Check) 1 box Lancets [n/a], Lancets (Accu-Check) 1 box Lancets [n/a], Strips (Accu-Check) 1 box Strip [n/a], Strips (Accu-Check) 1 box Strip [n/a], Strips (Accu-Check) 1 box Strip [n/a], Strips (Accu-Check) 1 box Strip [n/a]</t>
  </si>
  <si>
    <t>ناديه عمر احمد على</t>
  </si>
  <si>
    <t>SITagliptin, vitamin B complex (B, B, empagliflozin, atorvastatin, metFORMIN hydrochloride, gliclazide</t>
  </si>
  <si>
    <t>SITagliptin 100 mg tablet, vitamin B complex (B1,B6,B12) 100,200,0.2 mg Film coated tablets [oral], empagliflozin 25 mg tablet, atorvastatin 20 mg tablet, SITagliptin 100 mg tablet, vitamin B complex (B1,B6,B12) 100,200,0.2 mg Film coated tablets [oral], empagliflozin 25 mg tablet, atorvastatin 20 mg tablet, SITagliptin 100 mg tablet, vitamin B complex (B1,B6,B12) 100,200,0.2 mg Film coated tablets [oral], empagliflozin 25 mg tablet, atorvastatin 20 mg tablet, metFORMIN hydrochloride 500 mg tablet, metFORMIN hydrochloride 500 mg tablet, metFORMIN hydrochloride 500 mg tablet, gliclazide 60 mg tablet: modified release, gliclazide 60 mg tablet: modified release, gliclazide 60 mg tablet: modified release, atorvastatin 20 mg tablet, atorvastatin 20 mg tablet, atorvastatin 20 mg tablet, metFORMIN hydrochloride 500 mg tablet, metFORMIN hydrochloride 500 mg tablet, metFORMIN hydrochloride 500 mg tablet, vitamin B complex (B1,B6,B12) 100,200,0.2 mg Film coated tablets [oral], vitamin B complex (B1,B6,B12) 100,200,0.2 mg Film coated tablets [oral], vitamin B complex (B1,B6,B12) 100,200,0.2 mg Film coated tablets [oral], gliclazide 60 mg tablet: modified release, gliclazide 60 mg tablet: modified release, gliclazide 60 mg tablet: modified release, SITagliptin 100 mg tablet, SITagliptin 100 mg tablet, SITagliptin 100 mg tablet, empagliflozin 25 mg tablet, empagliflozin 25 mg tablet, empagliflozin 25 mg tablet, vitamin B complex (B1,B6,B12) 100,200,0.2 mg Film coated tablets [oral], atorvastatin 20 mg tablet, vitamin B complex (B1,B6,B12) 100,200,0.2 mg Film coated tablets [oral], atorvastatin 20 mg tablet, vitamin B complex (B1,B6,B12) 100,200,0.2 mg Film coated tablets [oral], atorvastatin 20 mg tablet, metFORMIN hydrochloride 500 mg tablet, metFORMIN hydrochloride 500 mg tablet, metFORMIN hydrochloride 500 mg tablet</t>
  </si>
  <si>
    <t>الزهراء محمد بنيه الحربي</t>
  </si>
  <si>
    <t>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t>
  </si>
  <si>
    <t>سعود هاني ابن سعود الغامدي</t>
  </si>
  <si>
    <t>أيمن فيصل سعيد الزهراني</t>
  </si>
  <si>
    <t>Insulin Pen Needle, insulin aspart, vitamins (A, B, C, D, insulin glargine</t>
  </si>
  <si>
    <t>Insulin Pen Needle 4mm Needle [sc], insulin aspart 100 international units/mL injection, 3 mL prefilled pen, Insulin Pen Needle 4mm Needle [sc], insulin aspart 100 international units/mL injection, 3 mL prefilled pen, vitamins (A, B1, B2, B3, C, D3) tablet, insulin glargine 300 international units/mL injection, 1.5 mL prefilled pen, vitamins (A, B1, B2, B3, C, D3) tablet, insulin glargine 300 international units/mL injection, 1.5 mL prefilled pen, vitamins (A, B1, B2, B3, C, D3) tablet, Insulin Pen Needle 4mm Needle [sc], vitamins (A, B1, B2, B3, C, D3) tablet, Insulin Pen Needle 4mm Needle [sc],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aspart 100 international units/mL injection, 3 mL prefilled pen, Insulin Pen Needle 4mm Needle [sc], vitamins (A, B1, B2, B3, C, D3) tablet, Insulin Pen Needle 4mm Needle [sc], vitamins (A, B1, B2, B3, C, D3) tablet, insulin glargine 300 international units/mL injection, 1.5 mL prefilled pen, insulin glargine 300 international units/mL injection, 1.5 mL prefilled pen, insulin aspart 100 international units/mL injection, 3 mL prefilled pen, insulin aspart 100 international units/mL injection, 3 mL prefilled pen, vitamins (A, B1, B2, B3, C, D3) tablet, vitamins (A, B1, B2, B3, C, D3) tablet, insulin glargine 300 international units/mL injection, 1.5 mL prefilled pen, Insulin Pen Needle 4mm Needle [sc], insulin glargine 300 international units/mL injection, 1.5 mL prefilled pen, Insulin Pen Needle 4mm Needle [sc], vitamins (A, B1, B2, B3, C, D3) tablet, Insulin Pen Needle 4mm Needle [sc], vitamins (A, B1, B2, B3, C, D3) tablet, Insulin Pen Needle 4mm Needle [sc], insulin glargine 300 international units/mL injection, 1.5 mL prefilled pen, insulin glargine 300 international units/mL injection, 1.5 mL prefilled pen, insulin aspart 100 international units/mL injection, 3 mL prefilled pen, insulin aspart 100 international units/mL injection, 3 mL prefilled pen, vitamins (A, B1, B2, B3, C, D3) tablet, vitamins (A, B1, B2, B3, C, D3) tablet, insulin aspart 100 international units/mL injection, 3 mL prefilled pen, insulin glargine 300 international units/mL injection, 1.5 mL prefilled pen, Insulin Pen Needle 4mm Needle [sc], insulin aspart 100 international units/mL injection, 3 mL prefilled pen, insulin glargine 300 international units/mL injection, 1.5 mL prefilled pen, Insulin Pen Needle 4mm Needle [sc], insulin aspart 100 international units/mL injection, 3 mL prefilled pen, insulin aspart 100 international units/mL injection, 3 mL prefilled pen, vitamins (A, B1, B2, B3, C, D3) tablet, vitamins (A, B1, B2, B3, C, D3) tablet, insulin glargine 300 international units/mL injection, 1.5 mL prefilled pen, Insulin Pen Needle 4mm Needle [sc], insulin glargine 300 international units/mL injection, 1.5 mL prefilled pen, Insulin Pen Needle 4mm Needle [sc]</t>
  </si>
  <si>
    <t>نايف تركي محمد الخضري</t>
  </si>
  <si>
    <t>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 sodium chloride 0.9% (9 mg/mL) nasal spray, sodium chloride 0.9% (9 mg/mL) nasal spray, sodium chloride 0.9% (9 mg/mL) nasal spray, sodium chloride 0.9% (9 mg/mL) nasal spray, sodium chloride 0.9% (9 mg/mL) nasal spray,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paracetamol 500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cetirizine hydrochloride 10 mg tablet, 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 paracetamol 500 mg tablet, sodium chloride 0.9% (9 mg/mL) nasal spray, paracetamol 500 mg tablet, cetirizine hydrochloride 10 mg tablet, cetirizine hydrochloride 10 mg tablet, cetirizine hydrochloride 10 mg tablet, cetirizine hydrochloride 10 mg tablet, cetirizine hydrochloride 10 mg tablet, cetirizine hydrochloride 10 mg tablet</t>
  </si>
  <si>
    <t>اسامه محمد عبدالمجيد عسيري</t>
  </si>
  <si>
    <t>valsartan, atorvastatin, empagliflozin, glimepiride, metFORMIN hydrochloride, vitamin B complex (B, B</t>
  </si>
  <si>
    <t>valsartan 80 mg tablet, valsartan 80 mg tablet, valsartan 80 mg tablet, valsartan 80 mg tablet, valsartan 80 mg tablet, atorvastatin 20 mg tablet, atorvastatin 20 mg tablet, atorvastatin 20 mg tablet, atorvastatin 20 mg tablet, atorvastatin 20 mg tablet, empagliflozin 25 mg tablet, glimepiride 2 mg tablet, empagliflozin 25 mg tablet, glimepiride 2 mg tablet, empagliflozin 25 mg tablet, glimepiride 2 mg tablet, empagliflozin 25 mg tablet, glimepiride 2 mg tablet, empagliflozin 25 mg tablet, glimepiride 2 mg tablet,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valsartan 80 mg tablet, metFORMIN hydrochloride 500 mg tablet, valsartan 80 mg tablet, metFORMIN hydrochloride 500 mg tablet, valsartan 80 mg tablet, metFORMIN hydrochloride 500 mg tablet, valsartan 80 mg tablet, metFORMIN hydrochloride 500 mg tablet, valsartan 80 mg tablet, metFORMIN hydrochloride 500 mg tablet, glimepiride 2 mg tablet, vitamin B complex (B1,B6,B12) 100,200,0.2 mg Film coated tablets [oral], glimepiride 2 mg tablet, vitamin B complex (B1,B6,B12) 100,200,0.2 mg Film coated tablets [oral], glimepiride 2 mg tablet, vitamin B complex (B1,B6,B12) 100,200,0.2 mg Film coated tablets [oral], glimepiride 2 mg tablet, vitamin B complex (B1,B6,B12) 100,200,0.2 mg Film coated tablets [oral], glimepiride 2 mg tablet, vitamin B complex (B1,B6,B12) 100,200,0.2 mg Film coated tablets [oral], atorvastatin 20 mg tablet, empagliflozin 25 mg tablet, atorvastatin 20 mg tablet, empagliflozin 25 mg tablet, atorvastatin 20 mg tablet, empagliflozin 25 mg tablet, atorvastatin 20 mg tablet, empagliflozin 25 mg tablet, atorvastatin 20 mg tablet, empagliflozin 25 mg tablet</t>
  </si>
  <si>
    <t>أحمد الحسن احمد الحازمي</t>
  </si>
  <si>
    <t>vitamin B complex (B, B, Insulin Pen Needle, insulin aspart, insulin glargine</t>
  </si>
  <si>
    <t>vitamin B complex (B1,B6,B12) 100,200,0.2 mg Film coated tablets [oral], vitamin B complex (B1,B6,B12) 100,200,0.2 mg Film coated tablets [oral], vitamin B complex (B1,B6,B12) 100,200,0.2 mg Film coated tablets [oral], Insulin Pen Needle 4mm Needle [sc], insulin aspart 100 international units/mL injection, 3 mL prefilled pen, Insulin Pen Needle 4mm Needle [sc], insulin aspart 100 international units/mL injection, 3 mL prefilled pen, Insulin Pen Needle 4mm Needle [sc], insulin aspart 100 international units/mL injection, 3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Pen Needle 4mm Needle [sc], vitamin B complex (B1,B6,B12) 100,200,0.2 mg Film coated tablets [oral], insulin aspart 100 international units/mL injection, 3 mL prefilled pen, Insulin Pen Needle 4mm Needle [sc], vitamin B complex (B1,B6,B12) 100,200,0.2 mg Film coated tablets [oral], insulin aspart 100 international units/mL injection, 3 mL prefilled pen, Insulin Pen Needle 4mm Needle [sc], vitamin B complex (B1,B6,B12) 100,200,0.2 mg Film coated tablets [oral], insulin aspart 100 international units/mL injection, 3 mL prefilled pen, Insulin Pen Needle 4mm Needle [sc], insulin aspart 100 international units/mL injection, 3 mL prefilled pen, vitamin B complex (B1,B6,B12) 100,200,0.2 mg Film coated tablets [oral], insulin glargine 300 international units/mL injection, 1.5 mL prefilled pen, Insulin Pen Needle 4mm Needle [sc], insulin aspart 100 international units/mL injection, 3 mL prefilled pen, vitamin B complex (B1,B6,B12) 100,200,0.2 mg Film coated tablets [oral], insulin glargine 300 international units/mL injection, 1.5 mL prefilled pen, Insulin Pen Needle 4mm Needle [sc], insulin aspart 100 international units/mL injection, 3 mL prefilled pen, vitamin B complex (B1,B6,B12) 100,200,0.2 mg Film coated tablets [oral], insulin glargine 300 international units/mL injection, 1.5 mL prefilled pen, vitamin B complex (B1,B6,B12) 100,200,0.2 mg Film coated tablets [oral], vitamin B complex (B1,B6,B12) 100,200,0.2 mg Film coated tablets [oral], vitamin B complex (B1,B6,B12) 100,200,0.2 mg Film coated tablets [oral], Insulin Pen Needle 4mm Needle [sc], Insulin Pen Needle 4mm Needle [sc], Insulin Pen Needle 4mm Needle [sc], Insulin Pen Needle 4mm Needle [sc], vitamin B complex (B1,B6,B12) 100,200,0.2 mg Film coated tablets [oral], Insulin Pen Needle 4mm Needle [sc], vitamin B complex (B1,B6,B12) 100,200,0.2 mg Film coated tablets [oral], Insulin Pen Needle 4mm Needle [sc], vitamin B complex (B1,B6,B12) 100,200,0.2 mg Film coated tablets [oral]</t>
  </si>
  <si>
    <t>عماد عبدالرزاق بن عبداللطيف الزهراني</t>
  </si>
  <si>
    <t>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aspart 100 international units/mL injection, 3 mL prefilled pen, insulin glargine (lantus) 100 international units/mL injection, 3 mL prefilled pen, insulin aspart 100 international units/mL injection, 3 mL prefilled pen, insulin glargine (lantus) 100 international units/mL injection, 3 mL prefilled pen, insulin aspart 100 international units/mL injection, 3 mL prefilled pen, insulin glargine (lantus) 100 international units/mL injection, 3 mL prefilled pen, insulin aspart 100 international units/mL injection, 3 mL prefilled pen, insulin glargine (lantus) 100 international units/mL injection, 3 mL prefilled pen, insulin aspart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glargine (lantus) 100 international units/mL injection, 3 mL prefilled pen, insulin aspart 100 international units/mL injection, 3 mL prefilled pen, insulin glargine (lantus) 100 international units/mL injection, 3 mL prefilled pen, insulin aspart 100 international units/mL injection, 3 mL prefilled pen, insulin glargine (lantus) 100 international units/mL injection, 3 mL prefilled pen, insulin aspart 100 international units/mL injection, 3 mL prefilled pen, insulin glargine (lantus) 100 international units/mL injection, 3 mL prefilled pen, insulin aspart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aspart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t>
  </si>
  <si>
    <t>سامي باخت نامي الراشدي</t>
  </si>
  <si>
    <t>levothyroxine sodium, Strips (Accu-Check), colecalciferol, Insulin Pen Needle</t>
  </si>
  <si>
    <t>levothyroxine sodium 25 microgram tablet, levothyroxine sodium 25 microgram tablet, levothyroxine sodium 25 microgram tablet, levothyroxine sodium 25 microgram tablet, levothyroxine sodium 50 microgram tablet, Strips (Accu-Check) 1 box Strip [n/a], levothyroxine sodium 50 microgram tablet, Strips (Accu-Check) 1 box Strip [n/a], levothyroxine sodium 50 microgram tablet, Strips (Accu-Check) 1 box Strip [n/a], levothyroxine sodium 50 microgram tablet, Strips (Accu-Check) 1 box Strip [n/a],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colecalciferol 5000 international units Capsules [oral], Insulin Pen Needle 4mm Needle [sc], Insulin Pen Needle 4mm Needle [sc], Insulin Pen Needle 4mm Needle [sc], Insulin Pen Needle 4mm Needle [sc], levothyroxine sodium 25 microgram tablet, Strips (Accu-Check) 1 box Strip [n/a], levothyroxine sodium 50 microgram tablet, levothyroxine sodium 25 microgram tablet, Strips (Accu-Check) 1 box Strip [n/a], levothyroxine sodium 50 microgram tablet, levothyroxine sodium 25 microgram tablet, Strips (Accu-Check) 1 box Strip [n/a], levothyroxine sodium 50 microgram tablet, levothyroxine sodium 25 microgram tablet, Strips (Accu-Check) 1 box Strip [n/a], levothyroxine sodium 50 microgram tablet, levothyroxine sodium 50 microgram tablet, Strips (Accu-Check) 1 box Strip [n/a], levothyroxine sodium 50 microgram tablet, Strips (Accu-Check) 1 box Strip [n/a], levothyroxine sodium 50 microgram tablet, Strips (Accu-Check) 1 box Strip [n/a], levothyroxine sodium 50 microgram tablet, Strips (Accu-Check) 1 box Strip [n/a], Strips (Accu-Check) 1 box Strip [n/a], Strips (Accu-Check) 1 box Strip [n/a], Strips (Accu-Check) 1 box Strip [n/a], Strips (Accu-Check) 1 box Strip [n/a], colecalciferol 5000 international units Capsules [oral], levothyroxine sodium 50 microgram tablet, Insulin Pen Needle 4mm Needle [sc], levothyroxine sodium 25 microgram tablet, colecalciferol 5000 international units Capsules [oral], levothyroxine sodium 50 microgram tablet, Insulin Pen Needle 4mm Needle [sc], levothyroxine sodium 25 microgram tablet, colecalciferol 5000 international units Capsules [oral], levothyroxine sodium 50 microgram tablet, Insulin Pen Needle 4mm Needle [sc], levothyroxine sodium 25 microgram tablet, colecalciferol 5000 international units Capsules [oral], levothyroxine sodium 50 microgram tablet, Insulin Pen Needle 4mm Needle [sc], levothyroxine sodium 25 microgram tablet, levothyroxine sodium 50 microgram tablet, levothyroxine sodium 50 microgram tablet, levothyroxine sodium 50 microgram tablet, levothyroxine sodium 50 microgram tablet, Strips (Accu-Check) 1 box Strip [n/a], Insulin Pen Needle 4mm Needle [sc], Strips (Accu-Check) 1 box Strip [n/a], Insulin Pen Needle 4mm Needle [sc], Strips (Accu-Check) 1 box Strip [n/a], Insulin Pen Needle 4mm Needle [sc], Strips (Accu-Check) 1 box Strip [n/a], Insulin Pen Needle 4mm Needle [sc], levothyroxine sodium 25 microgram tablet, levothyroxine sodium 25 microgram tablet, levothyroxine sodium 25 microgram tablet, levothyroxine sodium 25 microgram tablet, colecalciferol 5000 international units Capsules [oral], Insulin Pen Needle 4mm Needle [sc], levothyroxine sodium 50 microgram tablet, colecalciferol 5000 international units Capsules [oral], Insulin Pen Needle 4mm Needle [sc], levothyroxine sodium 50 microgram tablet, colecalciferol 5000 international units Capsules [oral], Insulin Pen Needle 4mm Needle [sc], levothyroxine sodium 50 microgram tablet, colecalciferol 5000 international units Capsules [oral], Insulin Pen Needle 4mm Needle [sc], levothyroxine sodium 50 microgram tablet, colecalciferol 5000 international units Capsules [oral], colecalciferol 5000 international units Capsules [oral], colecalciferol 5000 international units Capsules [oral], colecalciferol 5000 international units Capsules [oral], Strips (Accu-Check) 1 box Strip [n/a], levothyroxine sodium 25 microgram tablet, Strips (Accu-Check) 1 box Strip [n/a], levothyroxine sodium 25 microgram tablet, Strips (Accu-Check) 1 box Strip [n/a], levothyroxine sodium 25 microgram tablet, Strips (Accu-Check) 1 box Strip [n/a], levothyroxine sodium 25 microgram tablet</t>
  </si>
  <si>
    <t>ضحى مالك غازي بن طالب</t>
  </si>
  <si>
    <t>عبدالله حسين محسن الحربي</t>
  </si>
  <si>
    <t>insulin glargine, insulin aspart, Insulin Pen Needle</t>
  </si>
  <si>
    <t>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aspart 100 international units/mL injection, 3 mL prefilled pen, Insulin Pen Needle 4mm Needle [sc], Insulin Pen Needle 4mm Needle [sc], Insulin Pen Needle 4mm Needle [sc], insulin glargine 300 international units/mL injection, 1.5 mL prefilled pen, insulin glargine 300 international units/mL injection, 1.5 mL prefilled pen, insulin glargine 300 international units/mL injection, 1.5 mL prefilled pen, insulin aspart 100 international units/mL injection, 3 mL prefilled pen, insulin aspart 100 international units/mL injection, 3 mL prefilled pen, insulin aspart 100 international units/mL injection, 3 mL prefilled pen, Insulin Pen Needle 4mm Needle [sc], Insulin Pen Needle 4mm Needle [sc], Insulin Pen Needle 4mm Needle [sc]</t>
  </si>
  <si>
    <t>ريهاد مصلح عواض الحربي</t>
  </si>
  <si>
    <t>Lancets (Accu-Check), insulin glargine, Glucometer Device (Accu-Chek), Insulin Pen Needle, Strips (Accu-Check)</t>
  </si>
  <si>
    <t>Lancets (Accu-Check) 1 box Lancets [n/a], Lancets (Accu-Check) 1 box Lancets [n/a], Lancets (Accu-Check) 1 box Lancets [n/a], Lancets (Accu-Check) 1 box Lancets [n/a], Lancets (Accu-Check) 1 box Lancets [n/a], insulin glargine 300 international units/mL injection, 1.5 mL prefilled pen, Glucometer Device (Accu-Chek) 1 device Device [n/a], Insulin Pen Needle 4mm Needle [sc], Strips (Accu-Check) 1 box Strip [n/a], insulin glargine 300 international units/mL injection, 1.5 mL prefilled pen, Glucometer Device (Accu-Chek) 1 device Device [n/a], Insulin Pen Needle 4mm Needle [sc], Strips (Accu-Check) 1 box Strip [n/a], insulin glargine 300 international units/mL injection, 1.5 mL prefilled pen, Glucometer Device (Accu-Chek) 1 device Device [n/a], Insulin Pen Needle 4mm Needle [sc], Strips (Accu-Check) 1 box Strip [n/a], insulin glargine 300 international units/mL injection, 1.5 mL prefilled pen, Glucometer Device (Accu-Chek) 1 device Device [n/a], Insulin Pen Needle 4mm Needle [sc], Strips (Accu-Check) 1 box Strip [n/a], insulin glargine 300 international units/mL injection, 1.5 mL prefilled pen, Glucometer Device (Accu-Chek) 1 device Device [n/a], Insulin Pen Needle 4mm Needle [sc], Strips (Accu-Check) 1 box Strip [n/a],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Insulin Pen Needle 4mm Needle [sc], Lancets (Accu-Check) 1 box Lancets [n/a], Lancets (Accu-Check) 1 box Lancets [n/a], Lancets (Accu-Check) 1 box Lancets [n/a], Lancets (Accu-Check) 1 box Lancets [n/a], Lancets (Accu-Check) 1 box Lancets [n/a], Lancets (Accu-Check) 1 box Lancets [n/a], Strips (Accu-Check) 1 box Strip [n/a], Lancets (Accu-Check) 1 box Lancets [n/a], Strips (Accu-Check) 1 box Strip [n/a], Lancets (Accu-Check) 1 box Lancets [n/a], Strips (Accu-Check) 1 box Strip [n/a], Lancets (Accu-Check) 1 box Lancets [n/a], Strips (Accu-Check) 1 box Strip [n/a], Lancets (Accu-Check) 1 box Lancets [n/a], Strips (Accu-Check) 1 box Strip [n/a],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Insulin Pen Needle 4mm Needle [sc], insulin glargine 300 international units/mL injection, 1.5 mL prefilled pen, Insulin Pen Needle 4mm Needle [sc], Glucometer Device (Accu-Chek) 1 device Device [n/a], Glucometer Device (Accu-Chek) 1 device Device [n/a], Glucometer Device (Accu-Chek) 1 device Device [n/a], Glucometer Device (Accu-Chek) 1 device Device [n/a], Glucometer Device (Accu-Chek) 1 device Device [n/a], insulin glargine 300 international units/mL injection, 1.5 mL prefilled pen, Strips (Accu-Check) 1 box Strip [n/a], Lancets (Accu-Check) 1 box Lancets [n/a], Glucometer Device (Accu-Chek) 1 device Device [n/a], insulin glargine 300 international units/mL injection, 1.5 mL prefilled pen, Strips (Accu-Check) 1 box Strip [n/a], Lancets (Accu-Check) 1 box Lancets [n/a], Glucometer Device (Accu-Chek) 1 device Device [n/a], insulin glargine 300 international units/mL injection, 1.5 mL prefilled pen, Strips (Accu-Check) 1 box Strip [n/a], Lancets (Accu-Check) 1 box Lancets [n/a], Glucometer Device (Accu-Chek) 1 device Device [n/a], insulin glargine 300 international units/mL injection, 1.5 mL prefilled pen, Strips (Accu-Check) 1 box Strip [n/a], Lancets (Accu-Check) 1 box Lancets [n/a], Glucometer Device (Accu-Chek) 1 device Device [n/a], insulin glargine 300 international units/mL injection, 1.5 mL prefilled pen, Strips (Accu-Check) 1 box Strip [n/a], Lancets (Accu-Check) 1 box Lancets [n/a], Glucometer Device (Accu-Chek) 1 device Device [n/a], Insulin Pen Needle 4mm Needle [sc], Insulin Pen Needle 4mm Needle [sc], Insulin Pen Needle 4mm Needle [sc], Insulin Pen Needle 4mm Needle [sc], Insulin Pen Needle 4mm Needle [sc], insulin glargine 300 international units/mL injection, 1.5 mL prefilled pen, Glucometer Device (Accu-Chek) 1 device Device [n/a], insulin glargine 300 international units/mL injection, 1.5 mL prefilled pen, Glucometer Device (Accu-Chek) 1 device Device [n/a], insulin glargine 300 international units/mL injection, 1.5 mL prefilled pen, Glucometer Device (Accu-Chek) 1 device Device [n/a], insulin glargine 300 international units/mL injection, 1.5 mL prefilled pen, Glucometer Device (Accu-Chek) 1 device Device [n/a], insulin glargine 300 international units/mL injection, 1.5 mL prefilled pen, Glucometer Device (Accu-Chek) 1 device Device [n/a], Strips (Accu-Check) 1 box Strip [n/a], Strips (Accu-Check) 1 box Strip [n/a], Strips (Accu-Check) 1 box Strip [n/a], Strips (Accu-Check) 1 box Strip [n/a], Strips (Accu-Check) 1 box Strip [n/a], Insulin Pen Needle 4mm Needle [sc], Insulin Pen Needle 4mm Needle [sc], Insulin Pen Needle 4mm Needle [sc], Insulin Pen Needle 4mm Needle [sc], Insulin Pen Needle 4mm Needle [sc], Lancets (Accu-Check) 1 box Lancets [n/a], Lancets (Accu-Check) 1 box Lancets [n/a], Lancets (Accu-Check) 1 box Lancets [n/a], Lancets (Accu-Check) 1 box Lancets [n/a], Lancets (Accu-Check) 1 box Lancets [n/a],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Lancets (Accu-Check) 1 box Lancets [n/a], Lancets (Accu-Check) 1 box Lancets [n/a], Lancets (Accu-Check) 1 box Lancets [n/a], Lancets (Accu-Check) 1 box Lancets [n/a], Lancets (Accu-Check) 1 box Lancets [n/a], Glucometer Device (Accu-Chek) 1 device Device [n/a], Glucometer Device (Accu-Chek) 1 device Device [n/a], Glucometer Device (Accu-Chek) 1 device Device [n/a], Glucometer Device (Accu-Chek) 1 device Device [n/a], Glucometer Device (Accu-Chek) 1 device Device [n/a], Lancets (Accu-Check) 1 box Lancets [n/a], Lancets (Accu-Check) 1 box Lancets [n/a], Lancets (Accu-Check) 1 box Lancets [n/a], Lancets (Accu-Check) 1 box Lancets [n/a], Lancets (Accu-Check) 1 box Lancets [n/a], Insulin Pen Needle 4mm Needle [sc], Insulin Pen Needle 4mm Needle [sc], Insulin Pen Needle 4mm Needle [sc], Insulin Pen Needle 4mm Needle [sc], Insulin Pen Needle 4mm Needle [sc], Strips (Accu-Check) 1 box Strip [n/a], insulin glargine 300 international units/mL injection, 1.5 mL prefilled pen, Strips (Accu-Check) 1 box Strip [n/a], insulin glargine 300 international units/mL injection, 1.5 mL prefilled pen, Strips (Accu-Check) 1 box Strip [n/a], insulin glargine 300 international units/mL injection, 1.5 mL prefilled pen, Strips (Accu-Check) 1 box Strip [n/a], insulin glargine 300 international units/mL injection, 1.5 mL prefilled pen, Strips (Accu-Check) 1 box Strip [n/a], insulin glargine 300 international units/mL injection, 1.5 mL prefilled pen</t>
  </si>
  <si>
    <t>عبدالعزيز عمر بن عبدالشفيع المغربي</t>
  </si>
  <si>
    <t>metFORMIN hydrochloride 500 mg tablet, metFORMIN hydrochloride 500 mg tablet, metFORMIN hydrochloride 500 mg tablet, metFORMIN hydrochloride 500 mg tablet,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vitamin B complex (B1,B6,B12) 100,200,0.2 mg Film coated tablets [oral], metFORMIN hydrochloride 500 mg tablet, metFORMIN hydrochloride 500 mg tablet, metFORMIN hydrochloride 500 mg tablet, metFORMIN hydrochloride 500 mg tablet,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vitamin B complex (B1,B6,B12) 100,200,0.2 mg Film coated tablets [oral], metFORMIN hydrochloride 500 mg tablet, metFORMIN hydrochloride 500 mg tablet, metFORMIN hydrochloride 500 mg tablet, metFORMIN hydrochloride 500 mg tablet</t>
  </si>
  <si>
    <t>ساره صفوت حسن حسان</t>
  </si>
  <si>
    <t>paracetamol, metFORMIN hydrochloride, insulin glargine, atorvastatin, Insulin Pen Needle, colecalciferol, insulin aspart</t>
  </si>
  <si>
    <t>paracetamol 500 mg tablet, paracetamol 500 mg tablet, paracetamol 500 mg tablet, paracetamol 500 mg tablet, metFORMIN hydrochloride 500 mg tablet, metFORMIN hydrochloride 500 mg tablet, metFORMIN hydrochloride 500 mg tablet, metFORMIN hydrochloride 500 mg tablet, insulin glargine 300 international units/mL injection, 1.5 mL prefilled pen, atorvastatin 20 mg tablet, insulin glargine 300 international units/mL injection, 1.5 mL prefilled pen, atorvastatin 20 mg tablet, insulin glargine 300 international units/mL injection, 1.5 mL prefilled pen, atorvastatin 20 mg tablet, insulin glargine 300 international units/mL injection, 1.5 mL prefilled pen, atorvastatin 20 mg tablet, Insulin Pen Needle 4mm Needle [sc], Insulin Pen Needle 4mm Needle [sc], Insulin Pen Needle 4mm Needle [sc], Insulin Pen Needle 4mm Needle [sc], colecalciferol 50 000 international units tablet, insulin aspart 100 international units/mL injection, 3 mL prefilled pen, colecalciferol 50 000 international units tablet, insulin aspart 100 international units/mL injection, 3 mL prefilled pen, colecalciferol 50 000 international units tablet, insulin aspart 100 international units/mL injection, 3 mL prefilled pen, colecalciferol 50 000 international units tablet, insulin aspart 100 international units/mL injection, 3 mL prefilled pen, paracetamol 500 mg tablet, metFORMIN hydrochloride 500 mg tablet, paracetamol 500 mg tablet, metFORMIN hydrochloride 500 mg tablet, paracetamol 500 mg tablet, metFORMIN hydrochloride 500 mg tablet, paracetamol 500 mg tablet, metFORMIN hydrochloride 500 mg tablet, atorvastatin 20 mg tablet, atorvastatin 20 mg tablet, atorvastatin 20 mg tablet, atorvastatin 20 mg tablet, colecalciferol 50 000 international units tablet, colecalciferol 50 000 international units tablet, colecalciferol 50 000 international units tablet, colecalciferol 50 000 international units tablet, insulin aspart 100 international units/mL injection, 3 mL prefilled pen, Insulin Pen Needle 4mm Needle [sc], insulin aspart 100 international units/mL injection, 3 mL prefilled pen, Insulin Pen Needle 4mm Needle [sc], insulin aspart 100 international units/mL injection, 3 mL prefilled pen, Insulin Pen Needle 4mm Needle [sc], insulin aspart 100 international units/mL injection, 3 mL prefilled pen, Insulin Pen Needle 4mm Needle [sc],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t>
  </si>
  <si>
    <t>غنى فهد عبدالله العسيري</t>
  </si>
  <si>
    <t>diclofenac sodium, Insulin Pen Needle, insulin glargine</t>
  </si>
  <si>
    <t>diclofenac sodium 1% (10 mg/g) gel, diclofenac sodium 1% (10 mg/g) gel, Insulin Pen Needle 4mm Needle [sc], insulin glargine 300 international units/mL injection, 1.5 mL prefilled pen, Insulin Pen Needle 4mm Needle [sc], insulin glargine 300 international units/mL injection, 1.5 mL prefilled pen, Insulin Pen Needle 4mm Needle [sc], Insulin Pen Needle 4mm Needle [sc], diclofenac sodium 1% (10 mg/g) gel, diclofenac sodium 1% (10 mg/g) gel, insulin glargine 300 international units/mL injection, 1.5 mL prefilled pen, insulin glargine 300 international units/mL injection, 1.5 mL prefilled pen</t>
  </si>
  <si>
    <t>سيدرا محمد حسين صائم الدهر</t>
  </si>
  <si>
    <t>منيرة هاني عبدالله باخشوين</t>
  </si>
  <si>
    <t>insulin aspart 30 international units/mL + insulin aspart protamine 70 international units/mL injection, 3 mL prefilled pen, insulin aspart 30 international units/mL + insulin aspart protamine 70 international units/mL injection, 3 mL prefilled pen, insulin aspart 30 international units/mL + insulin aspart protamine 70 international units/mL injection, 3 mL prefilled pen, insulin aspart 30 international units/mL + insulin aspart protamine 70 international units/mL injection, 3 mL prefilled pen, insulin aspart 30 international units/mL + insulin aspart protamine 70 international units/mL injection, 3 mL prefilled pen, insulin aspart 30 international units/mL + insulin aspart protamine 70 international units/mL injection, 3 mL prefilled pen</t>
  </si>
  <si>
    <t>هدى محمد عبدالمجيد كنعان</t>
  </si>
  <si>
    <t>paraffin soft white ointment, tube, paraffin soft white ointment, tube, paraffin soft white ointment, tube, paraffin soft white ointment, tube, paraffin soft white ointment, tube, mometasone furoate 0.1% (1 mg/g) ointment, mometasone furoate 0.1% (1 mg/g) ointment, mometasone furoate 0.1% (1 mg/g) ointment, mometasone furoate 0.1% (1 mg/g) ointment, mometasone furoate 0.1% (1 mg/g) ointment, paraffin soft white ointment, tube, mometasone furoate 0.1% (1 mg/g) ointment, paraffin soft white ointment, tube, mometasone furoate 0.1% (1 mg/g) ointment, paraffin soft white ointment, tube, mometasone furoate 0.1% (1 mg/g) ointment, paraffin soft white ointment, tube, mometasone furoate 0.1% (1 mg/g) ointment, paraffin soft white ointment, tube, mometasone furoate 0.1% (1 mg/g) ointment, paraffin soft white ointment, tube, paraffin soft white ointment, tube, paraffin soft white ointment, tube, paraffin soft white ointment, tube, paraffin soft white ointment, tube, mometasone furoate 0.1% (1 mg/g) ointment, mometasone furoate 0.1% (1 mg/g) ointment, mometasone furoate 0.1% (1 mg/g) ointment, mometasone furoate 0.1% (1 mg/g) ointment, mometasone furoate 0.1% (1 mg/g) ointment, paraffin soft white ointment, tube, paraffin soft white ointment, tube, paraffin soft white ointment, tube, paraffin soft white ointment, tube, paraffin soft white ointment, tube, mometasone furoate 0.1% (1 mg/g) ointment, mometasone furoate 0.1% (1 mg/g) ointment, mometasone furoate 0.1% (1 mg/g) ointment, mometasone furoate 0.1% (1 mg/g) ointment, mometasone furoate 0.1% (1 mg/g) ointment, mometasone furoate 0.1% (1 mg/g) ointment, paraffin soft white ointment, tube, mometasone furoate 0.1% (1 mg/g) ointment, paraffin soft white ointment, tube, mometasone furoate 0.1% (1 mg/g) ointment, paraffin soft white ointment, tube, mometasone furoate 0.1% (1 mg/g) ointment, paraffin soft white ointment, tube, mometasone furoate 0.1% (1 mg/g) ointment, paraffin soft white ointment, tube, paraffin soft white ointment, tube, paraffin soft white ointment, tube, paraffin soft white ointment, tube, paraffin soft white ointment, tube, paraffin soft white ointment, tube, mometasone furoate 0.1% (1 mg/g) ointment, mometasone furoate 0.1% (1 mg/g) ointment, mometasone furoate 0.1% (1 mg/g) ointment, mometasone furoate 0.1% (1 mg/g) ointment, mometasone furoate 0.1% (1 mg/g) ointment, paraffin soft white ointment, tube, paraffin soft white ointment, tube, paraffin soft white ointment, tube, paraffin soft white ointment, tube, paraffin soft white ointment, tube, mometasone furoate 0.1% (1 mg/g) ointment, mometasone furoate 0.1% (1 mg/g) ointment, mometasone furoate 0.1% (1 mg/g) ointment, mometasone furoate 0.1% (1 mg/g) ointment, mometasone furoate 0.1% (1 mg/g) ointment</t>
  </si>
  <si>
    <t>عمر احمد ابن محمد الشريف</t>
  </si>
  <si>
    <t>Insulin Pen Needle, insulin aspart, insulin glargine</t>
  </si>
  <si>
    <t>Insulin Pen Needle 4mm Needle [sc], Insulin Pen Needle 4mm Needle [sc], insulin aspart 100 international units/mL injection, 3 mL prefilled pen, insulin glargine 300 international units/mL injection, 1.5 mL prefilled pen, insulin aspart 100 international units/mL injection, 3 mL prefilled pen, insulin glargine 300 international units/mL injection, 1.5 mL prefilled pen, insulin glargine 300 international units/mL injection, 1.5 mL prefilled pen, insulin glargine 300 international units/mL injection, 1.5 mL prefilled pen, Insulin Pen Needle 4mm Needle [sc], insulin aspart 100 international units/mL injection, 3 mL prefilled pen, Insulin Pen Needle 4mm Needle [sc], insulin aspart 100 international units/mL injection, 3 mL prefilled pen</t>
  </si>
  <si>
    <t>يحي محمد يحي جزار</t>
  </si>
  <si>
    <t>Non-Sedating Antihistamine, hyoscine butylbromide, Insulin Pen Needle, colecalciferol, insulin glargine, vitamins for children oral liquid (Vitamin A, B, C, D, E</t>
  </si>
  <si>
    <t>Non-Sedating Antihistamine 1 mg/ml Solution [oral], hyoscine butylbromide 5 mg/5 mL oral liquid, Non-Sedating Antihistamine 1 mg/ml Solution [oral], hyoscine butylbromide 5 mg/5 mL oral liquid, Non-Sedating Antihistamine 1 mg/ml Solution [oral], hyoscine butylbromide 5 mg/5 mL oral liquid, Non-Sedating Antihistamine 1 mg/ml Solution [oral], hyoscine butylbromide 5 mg/5 mL oral liquid, Insulin Pen Needle 4mm Needle [sc], Insulin Pen Needle 4mm Needle [sc], Insulin Pen Needle 4mm Needle [sc], Insulin Pen Needle 4mm Needle [sc], colecalciferol 2800 international units/mL oral drops, colecalciferol 2800 international units/mL oral drops, colecalciferol 2800 international units/mL oral drops, colecalciferol 2800 international units/mL oral drops, hyoscine butylbromide 5 mg/5 mL oral liquid, hyoscine butylbromide 5 mg/5 mL oral liquid, hyoscine butylbromide 5 mg/5 mL oral liquid, hyoscine butylbromide 5 mg/5 mL oral liquid, hyoscine butylbromide 5 mg/5 mL oral liquid, hyoscine butylbromide 5 mg/5 mL oral liquid, hyoscine butylbromide 5 mg/5 mL oral liquid, hyoscine butylbromide 5 mg/5 mL oral liquid, insulin glargine 300 international units/mL injection, 1.5 mL prefilled pen, insulin glargine 300 international units/mL injection, 1.5 mL prefilled pen, insulin glargine 300 international units/mL injection, 1.5 mL prefilled pen, insulin glargine 300 international units/mL injection, 1.5 mL prefilled pen, vitamins for children oral liquid (Vitamin A,B1,B2,B3, B5, B6,C, D3, E, calcium gluconate, calcium phospholactate), insulin glargine 300 international units/mL injection, 1.5 mL prefilled pen, vitamins for children oral liquid (Vitamin A,B1,B2,B3, B5, B6,C, D3, E, calcium gluconate, calcium phospholactate), insulin glargine 300 international units/mL injection, 1.5 mL prefilled pen, vitamins for children oral liquid (Vitamin A,B1,B2,B3, B5, B6,C, D3, E, calcium gluconate, calcium phospholactate), insulin glargine 300 international units/mL injection, 1.5 mL prefilled pen, vitamins for children oral liquid (Vitamin A,B1,B2,B3, B5, B6,C, D3, E, calcium gluconate, calcium phospholactate), insulin glargine 300 international units/mL injection, 1.5 mL prefilled pen, Insulin Pen Needle 4mm Needle [sc], Insulin Pen Needle 4mm Needle [sc], Insulin Pen Needle 4mm Needle [sc], Insulin Pen Needle 4mm Needle [sc], colecalciferol 2800 international units/mL oral drops, colecalciferol 2800 international units/mL oral drops, colecalciferol 2800 international units/mL oral drops, colecalciferol 2800 international units/mL oral drops, vitamins for children oral liquid (Vitamin A,B1,B2,B3, B5, B6,C, D3, E, calcium gluconate, calcium phospholactate), insulin glargine 300 international units/mL injection, 1.5 mL prefilled pen, colecalciferol 2800 international units/mL oral drops, hyoscine butylbromide 5 mg/5 mL oral liquid, Non-Sedating Antihistamine 1 mg/ml Solution [oral], Insulin Pen Needle 4mm Needle [sc], vitamins for children oral liquid (Vitamin A,B1,B2,B3, B5, B6,C, D3, E, calcium gluconate, calcium phospholactate), insulin glargine 300 international units/mL injection, 1.5 mL prefilled pen, colecalciferol 2800 international units/mL oral drops, hyoscine butylbromide 5 mg/5 mL oral liquid, Non-Sedating Antihistamine 1 mg/ml Solution [oral], Insulin Pen Needle 4mm Needle [sc], vitamins for children oral liquid (Vitamin A,B1,B2,B3, B5, B6,C, D3, E, calcium gluconate, calcium phospholactate), insulin glargine 300 international units/mL injection, 1.5 mL prefilled pen, colecalciferol 2800 international units/mL oral drops, hyoscine butylbromide 5 mg/5 mL oral liquid, Non-Sedating Antihistamine 1 mg/ml Solution [oral], Insulin Pen Needle 4mm Needle [sc], vitamins for children oral liquid (Vitamin A,B1,B2,B3, B5, B6,C, D3, E, calcium gluconate, calcium phospholactate), insulin glargine 300 international units/mL injection, 1.5 mL prefilled pen, colecalciferol 2800 international units/mL oral drops, hyoscine butylbromide 5 mg/5 mL oral liquid, Non-Sedating Antihistamine 1 mg/ml Solution [oral], Insulin Pen Needle 4mm Needle [sc]</t>
  </si>
  <si>
    <t>عبدالله فواز عبدالله العتيبي</t>
  </si>
  <si>
    <t>Insulin Pen Needle, insulin glargine (lantus)</t>
  </si>
  <si>
    <t>Insulin Pen Needle 4mm Needle [sc], Insulin Pen Needle 4mm Needle [sc], Insulin Pen Needle 4mm Needle [sc], Insulin Pen Needle 4mm Needle [sc],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Pen Needle 4mm Needle [sc], insulin glargine (lantus) 100 international units/mL injection, 3 mL prefilled pen, Insulin Pen Needle 4mm Needle [sc], insulin glargine (lantus) 100 international units/mL injection, 3 mL prefilled pen, Insulin Pen Needle 4mm Needle [sc], insulin glargine (lantus) 100 international units/mL injection, 3 mL prefilled pen, Insulin Pen Needle 4mm Needle [sc], insulin glargine (lantus) 100 international units/mL injection, 3 mL prefilled pen</t>
  </si>
  <si>
    <t>أحمد سليمان الشريف</t>
  </si>
  <si>
    <t>insulin glargine (lantus) 100 international units/mL injection, 3 mL prefilled pen, Insulin Pen Needle 4mm Needle [sc], insulin glargine (lantus) 100 international units/mL injection, 3 mL prefilled pen, Insulin Pen Needle 4mm Needle [sc], insulin glargine (lantus) 100 international units/mL injection, 3 mL prefilled pen, Insulin Pen Needle 4mm Needle [sc], insulin aspart 100 international units/mL injection, 3 mL prefilled pen, insulin aspart 100 international units/mL injection, 3 mL prefilled pen, insulin aspart 100 international units/mL injection, 3 mL prefilled pen, insulin glargine (lantus) 100 international units/mL injection, 3 mL prefilled pen, insulin glargine (lantus) 100 international units/mL injection, 3 mL prefilled pen, insulin glargine (lantus) 100 international units/mL injection, 3 mL prefilled pen, insulin aspart 100 international units/mL injection, 3 mL prefilled pen, insulin aspart 100 international units/mL injection, 3 mL prefilled pen, insulin aspart 100 international units/mL injection, 3 mL prefilled pen, Insulin Pen Needle 4mm Needle [sc], Insulin Pen Needle 4mm Needle [sc], Insulin Pen Needle 4mm Needle [sc]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</si>
</sst>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ss"/>
    <numFmt numFmtId="165" formatCode="mmm\ d&quot;, &quot;yyyy"/>
  </numFmts>
  <fonts count="4">
    <font>
      <sz val="11"/>
      <color theme="1"/>
      <name val="Calibri"/>
      <family val="2"/>
      <charset val="1"/>
    </font>
    <font>
      <b/>
      <sz val="11"/>
      <color rgb="FFFFFFFF"/>
      <name val="Cambria"/>
      <charset val="1"/>
    </font>
    <font>
      <b/>
      <sz val="11"/>
      <color rgb="FFFFFFFF"/>
      <name val="Cambria"/>
      <family val="1"/>
      <charset val="1"/>
    </font>
    <font>
      <sz val="11"/>
      <color theme="1"/>
      <name val="FreeSans"/>
      <family val="2"/>
    </font>
  </fonts>
  <fills count="3">
    <fill>
      <patternFill patternType="none"/>
    </fill>
    <fill>
      <patternFill patternType="gray125"/>
    </fill>
    <fill>
      <patternFill patternType="solid">
        <fgColor rgb="FF2E86AB"/>
        <bgColor rgb="FF008080"/>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0" borderId="0" xfId="0" applyFont="1"/>
    <xf numFmtId="9" fontId="0" fillId="0" borderId="0" xfId="0" applyNumberFormat="1"/>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2E86AB"/>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40"/>
  <sheetViews>
    <sheetView tabSelected="1" topLeftCell="P1" zoomScaleNormal="100" workbookViewId="0">
      <pane ySplit="1" topLeftCell="A2" activePane="bottomLeft" state="frozen"/>
      <selection pane="bottomLeft" activeCell="X2" sqref="X2"/>
    </sheetView>
  </sheetViews>
  <sheetFormatPr defaultColWidth="8.6328125" defaultRowHeight="14.5"/>
  <cols>
    <col min="1" max="1" width="17.7265625" customWidth="1"/>
    <col min="2" max="2" width="25" customWidth="1"/>
    <col min="3" max="3" width="6" customWidth="1"/>
    <col min="4" max="4" width="8" customWidth="1"/>
    <col min="5" max="5" width="12" customWidth="1"/>
    <col min="6" max="6" width="18" customWidth="1"/>
    <col min="7" max="7" width="18.7265625" customWidth="1"/>
    <col min="8" max="8" width="20.26953125" customWidth="1"/>
    <col min="9" max="9" width="19.08984375" customWidth="1"/>
    <col min="10" max="10" width="45" customWidth="1"/>
    <col min="11" max="11" width="50" customWidth="1"/>
    <col min="12" max="12" width="25" customWidth="1"/>
    <col min="13" max="13" width="16.26953125" customWidth="1"/>
    <col min="14" max="14" width="47.54296875" customWidth="1"/>
    <col min="15" max="15" width="16.81640625" customWidth="1"/>
    <col min="16" max="16" width="25" customWidth="1"/>
    <col min="17" max="17" width="13" customWidth="1"/>
    <col min="18" max="18" width="10.1796875" customWidth="1"/>
    <col min="19" max="19" width="22.26953125" customWidth="1"/>
    <col min="20" max="20" width="12" customWidth="1"/>
    <col min="21" max="21" width="18" customWidth="1"/>
    <col min="22" max="22" width="21.08984375" customWidth="1"/>
    <col min="23" max="23" width="20.26953125" customWidth="1"/>
    <col min="24" max="24" width="18" customWidth="1"/>
    <col min="25" max="25" width="28" customWidth="1"/>
    <col min="26" max="26" width="30" customWidth="1"/>
  </cols>
  <sheetData>
    <row r="1" spans="1:26" ht="27.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1" t="s">
        <v>18</v>
      </c>
      <c r="T1" s="1" t="s">
        <v>19</v>
      </c>
      <c r="U1" s="1" t="s">
        <v>20</v>
      </c>
      <c r="V1" s="1" t="s">
        <v>21</v>
      </c>
      <c r="W1" s="1" t="s">
        <v>22</v>
      </c>
      <c r="X1" s="1" t="s">
        <v>23</v>
      </c>
      <c r="Y1" s="1" t="s">
        <v>24</v>
      </c>
      <c r="Z1" s="1" t="s">
        <v>25</v>
      </c>
    </row>
    <row r="2" spans="1:26">
      <c r="A2">
        <v>1000174860</v>
      </c>
      <c r="B2" s="3" t="s">
        <v>26</v>
      </c>
      <c r="C2">
        <v>60</v>
      </c>
      <c r="D2" t="s">
        <v>27</v>
      </c>
      <c r="E2" t="s">
        <v>28</v>
      </c>
      <c r="F2" t="s">
        <v>29</v>
      </c>
      <c r="G2" t="s">
        <v>29</v>
      </c>
      <c r="H2">
        <v>6</v>
      </c>
      <c r="I2" t="s">
        <v>30</v>
      </c>
      <c r="J2" t="s">
        <v>31</v>
      </c>
      <c r="K2" t="s">
        <v>32</v>
      </c>
      <c r="L2" t="s">
        <v>33</v>
      </c>
      <c r="M2" s="4" t="s">
        <v>34</v>
      </c>
      <c r="N2" t="s">
        <v>35</v>
      </c>
      <c r="P2" s="3" t="s">
        <v>36</v>
      </c>
      <c r="Q2" s="3" t="s">
        <v>37</v>
      </c>
      <c r="R2">
        <v>2</v>
      </c>
      <c r="S2" s="5">
        <v>45822</v>
      </c>
      <c r="T2" t="s">
        <v>38</v>
      </c>
      <c r="U2">
        <f t="shared" ref="U2:U65" ca="1" si="0">IF(S2&gt;=TODAY(),S2,S2+CEILING((TODAY()-S2)/IF(T2="Monthly",30,IF(T2="Bi-Monthly",60,90)),1)*IF(T2="Monthly",30,IF(T2="Bi-Monthly",60,90)))-TODAY()</f>
        <v>27</v>
      </c>
      <c r="V2" s="6">
        <f t="shared" ref="V2:V65" ca="1" si="1">IF(S2&gt;=TODAY(),S2,S2+CEILING((TODAY()-S2)/IF(T2="Monthly",30,IF(T2="Bi-Monthly",60,90)),1)*IF(T2="Monthly",30,IF(T2="Bi-Monthly",60,90)))-3</f>
        <v>46029</v>
      </c>
      <c r="W2" s="6">
        <f t="shared" ref="W2:W65" ca="1" si="2">IF(S2&gt;=TODAY(),S2,S2+CEILING((TODAY()-S2)/IF(T2="Monthly",30,IF(T2="Bi-Monthly",60,90)),1)*IF(T2="Monthly",30,IF(T2="Bi-Monthly",60,90)))+3</f>
        <v>46035</v>
      </c>
      <c r="X2" t="str">
        <f t="shared" ref="X2:X65" ca="1" si="3">TEXT(V2,"MMM D")&amp;" to "&amp;TEXT(W2,"MMM D")</f>
        <v>Jan 7 to Jan 13</v>
      </c>
      <c r="Y2" t="str">
        <f t="shared" ref="Y2:Y65" ca="1" si="4">IF(U2&lt;=3,"🟡 IMMINENT (within 3 days)",IF(U2&lt;=7,"🟢 THIS WEEK",IF(U2&lt;=14,"🔵 NEXT 2 WEEKS","⚪ SCHEDULED")))</f>
        <v>⚪ SCHEDULED</v>
      </c>
      <c r="Z2" t="str">
        <f t="shared" ref="Z2:Z65" ca="1" si="5">IF(U2&lt;=3,"Prepare medications TODAY",IF(U2&lt;=7,"Confirm appointment",IF(U2&lt;=14,"Send reminder SMS","No action needed yet")))</f>
        <v>No action needed yet</v>
      </c>
    </row>
    <row r="3" spans="1:26">
      <c r="A3">
        <v>1000232734</v>
      </c>
      <c r="B3" s="3" t="s">
        <v>39</v>
      </c>
      <c r="C3">
        <v>62</v>
      </c>
      <c r="D3" t="s">
        <v>27</v>
      </c>
      <c r="E3" t="s">
        <v>29</v>
      </c>
      <c r="F3" t="s">
        <v>29</v>
      </c>
      <c r="G3" t="s">
        <v>29</v>
      </c>
      <c r="H3">
        <v>7</v>
      </c>
      <c r="I3" t="s">
        <v>30</v>
      </c>
      <c r="J3" t="s">
        <v>40</v>
      </c>
      <c r="K3" t="s">
        <v>41</v>
      </c>
      <c r="L3" t="s">
        <v>42</v>
      </c>
      <c r="M3" s="4" t="s">
        <v>43</v>
      </c>
      <c r="N3" t="s">
        <v>44</v>
      </c>
      <c r="P3" s="3" t="s">
        <v>36</v>
      </c>
      <c r="Q3" s="3" t="s">
        <v>45</v>
      </c>
      <c r="R3">
        <v>2</v>
      </c>
      <c r="S3" s="5">
        <v>45923</v>
      </c>
      <c r="T3" t="s">
        <v>38</v>
      </c>
      <c r="U3">
        <f t="shared" ca="1" si="0"/>
        <v>8</v>
      </c>
      <c r="V3" s="6">
        <f t="shared" ca="1" si="1"/>
        <v>46010</v>
      </c>
      <c r="W3" s="6">
        <f t="shared" ca="1" si="2"/>
        <v>46016</v>
      </c>
      <c r="X3" t="str">
        <f t="shared" ca="1" si="3"/>
        <v>Dec 19 to Dec 25</v>
      </c>
      <c r="Y3" t="str">
        <f t="shared" ca="1" si="4"/>
        <v>🔵 NEXT 2 WEEKS</v>
      </c>
      <c r="Z3" t="str">
        <f t="shared" ca="1" si="5"/>
        <v>Send reminder SMS</v>
      </c>
    </row>
    <row r="4" spans="1:26">
      <c r="A4">
        <v>1000257848</v>
      </c>
      <c r="B4" s="3" t="s">
        <v>46</v>
      </c>
      <c r="C4">
        <v>70</v>
      </c>
      <c r="D4" t="s">
        <v>47</v>
      </c>
      <c r="E4" t="s">
        <v>29</v>
      </c>
      <c r="F4" t="s">
        <v>28</v>
      </c>
      <c r="G4" t="s">
        <v>29</v>
      </c>
      <c r="H4">
        <v>6</v>
      </c>
      <c r="I4" t="s">
        <v>30</v>
      </c>
      <c r="J4" t="s">
        <v>48</v>
      </c>
      <c r="K4" t="s">
        <v>49</v>
      </c>
      <c r="L4" t="s">
        <v>50</v>
      </c>
      <c r="M4" s="4" t="s">
        <v>43</v>
      </c>
      <c r="N4" t="s">
        <v>51</v>
      </c>
      <c r="P4" s="3" t="s">
        <v>36</v>
      </c>
      <c r="Q4" s="3" t="s">
        <v>52</v>
      </c>
      <c r="R4">
        <v>1</v>
      </c>
      <c r="S4" s="5">
        <v>45920</v>
      </c>
      <c r="T4" t="s">
        <v>38</v>
      </c>
      <c r="U4">
        <f t="shared" ca="1" si="0"/>
        <v>5</v>
      </c>
      <c r="V4" s="6">
        <f t="shared" ca="1" si="1"/>
        <v>46007</v>
      </c>
      <c r="W4" s="6">
        <f t="shared" ca="1" si="2"/>
        <v>46013</v>
      </c>
      <c r="X4" t="str">
        <f t="shared" ca="1" si="3"/>
        <v>Dec 16 to Dec 22</v>
      </c>
      <c r="Y4" t="str">
        <f t="shared" ca="1" si="4"/>
        <v>🟢 THIS WEEK</v>
      </c>
      <c r="Z4" t="str">
        <f t="shared" ca="1" si="5"/>
        <v>Confirm appointment</v>
      </c>
    </row>
    <row r="5" spans="1:26">
      <c r="A5">
        <v>1000302537</v>
      </c>
      <c r="B5" s="3" t="s">
        <v>53</v>
      </c>
      <c r="C5">
        <v>54</v>
      </c>
      <c r="D5" t="s">
        <v>47</v>
      </c>
      <c r="E5" t="s">
        <v>54</v>
      </c>
      <c r="F5" t="s">
        <v>54</v>
      </c>
      <c r="G5" t="s">
        <v>54</v>
      </c>
      <c r="H5">
        <v>2</v>
      </c>
      <c r="I5" t="s">
        <v>55</v>
      </c>
      <c r="J5" t="s">
        <v>56</v>
      </c>
      <c r="K5" t="s">
        <v>57</v>
      </c>
      <c r="L5" t="s">
        <v>58</v>
      </c>
      <c r="M5" s="4" t="s">
        <v>43</v>
      </c>
      <c r="N5" t="s">
        <v>59</v>
      </c>
      <c r="P5" s="3" t="s">
        <v>36</v>
      </c>
      <c r="Q5" t="s">
        <v>54</v>
      </c>
      <c r="R5">
        <v>1</v>
      </c>
      <c r="S5" s="5">
        <v>45949</v>
      </c>
      <c r="T5" t="s">
        <v>60</v>
      </c>
      <c r="U5">
        <f t="shared" ca="1" si="0"/>
        <v>4</v>
      </c>
      <c r="V5" s="6">
        <f t="shared" ca="1" si="1"/>
        <v>46006</v>
      </c>
      <c r="W5" s="6">
        <f t="shared" ca="1" si="2"/>
        <v>46012</v>
      </c>
      <c r="X5" t="str">
        <f t="shared" ca="1" si="3"/>
        <v>Dec 15 to Dec 21</v>
      </c>
      <c r="Y5" t="str">
        <f t="shared" ca="1" si="4"/>
        <v>🟢 THIS WEEK</v>
      </c>
      <c r="Z5" t="str">
        <f t="shared" ca="1" si="5"/>
        <v>Confirm appointment</v>
      </c>
    </row>
    <row r="6" spans="1:26">
      <c r="A6">
        <v>1000334654</v>
      </c>
      <c r="B6" s="3" t="s">
        <v>61</v>
      </c>
      <c r="C6">
        <v>65</v>
      </c>
      <c r="D6" t="s">
        <v>27</v>
      </c>
      <c r="E6" t="s">
        <v>28</v>
      </c>
      <c r="F6" t="s">
        <v>29</v>
      </c>
      <c r="G6" t="s">
        <v>28</v>
      </c>
      <c r="H6">
        <v>5</v>
      </c>
      <c r="I6" t="s">
        <v>30</v>
      </c>
      <c r="J6" t="s">
        <v>62</v>
      </c>
      <c r="K6" t="s">
        <v>63</v>
      </c>
      <c r="L6" t="s">
        <v>33</v>
      </c>
      <c r="M6" s="4" t="s">
        <v>34</v>
      </c>
      <c r="N6" t="s">
        <v>64</v>
      </c>
      <c r="P6" s="3" t="s">
        <v>36</v>
      </c>
      <c r="Q6" s="3" t="s">
        <v>45</v>
      </c>
      <c r="R6">
        <v>2</v>
      </c>
      <c r="S6" s="5">
        <v>45440</v>
      </c>
      <c r="T6" t="s">
        <v>38</v>
      </c>
      <c r="U6">
        <f t="shared" ca="1" si="0"/>
        <v>5</v>
      </c>
      <c r="V6" s="6">
        <f t="shared" ca="1" si="1"/>
        <v>46007</v>
      </c>
      <c r="W6" s="6">
        <f t="shared" ca="1" si="2"/>
        <v>46013</v>
      </c>
      <c r="X6" t="str">
        <f t="shared" ca="1" si="3"/>
        <v>Dec 16 to Dec 22</v>
      </c>
      <c r="Y6" t="str">
        <f t="shared" ca="1" si="4"/>
        <v>🟢 THIS WEEK</v>
      </c>
      <c r="Z6" t="str">
        <f t="shared" ca="1" si="5"/>
        <v>Confirm appointment</v>
      </c>
    </row>
    <row r="7" spans="1:26">
      <c r="A7">
        <v>1000409191</v>
      </c>
      <c r="B7" s="3" t="s">
        <v>65</v>
      </c>
      <c r="C7">
        <v>51</v>
      </c>
      <c r="D7" t="s">
        <v>27</v>
      </c>
      <c r="E7" t="s">
        <v>28</v>
      </c>
      <c r="F7" t="s">
        <v>29</v>
      </c>
      <c r="G7" t="s">
        <v>28</v>
      </c>
      <c r="H7">
        <v>3</v>
      </c>
      <c r="I7" t="s">
        <v>66</v>
      </c>
      <c r="J7" t="s">
        <v>67</v>
      </c>
      <c r="K7" t="s">
        <v>68</v>
      </c>
      <c r="L7" t="s">
        <v>69</v>
      </c>
      <c r="M7" s="4" t="s">
        <v>34</v>
      </c>
      <c r="N7" t="s">
        <v>70</v>
      </c>
      <c r="P7" s="3" t="s">
        <v>36</v>
      </c>
      <c r="Q7" s="3" t="s">
        <v>71</v>
      </c>
      <c r="R7">
        <v>2</v>
      </c>
      <c r="S7" s="5">
        <v>45813</v>
      </c>
      <c r="T7" t="s">
        <v>38</v>
      </c>
      <c r="U7">
        <f t="shared" ca="1" si="0"/>
        <v>18</v>
      </c>
      <c r="V7" s="6">
        <f t="shared" ca="1" si="1"/>
        <v>46020</v>
      </c>
      <c r="W7" s="6">
        <f t="shared" ca="1" si="2"/>
        <v>46026</v>
      </c>
      <c r="X7" t="str">
        <f t="shared" ca="1" si="3"/>
        <v>Dec 29 to Jan 4</v>
      </c>
      <c r="Y7" t="str">
        <f t="shared" ca="1" si="4"/>
        <v>⚪ SCHEDULED</v>
      </c>
      <c r="Z7" t="str">
        <f t="shared" ca="1" si="5"/>
        <v>No action needed yet</v>
      </c>
    </row>
    <row r="8" spans="1:26">
      <c r="A8">
        <v>1000416485</v>
      </c>
      <c r="B8" s="3" t="s">
        <v>72</v>
      </c>
      <c r="C8">
        <v>59</v>
      </c>
      <c r="D8" t="s">
        <v>27</v>
      </c>
      <c r="E8" t="s">
        <v>29</v>
      </c>
      <c r="F8" t="s">
        <v>29</v>
      </c>
      <c r="G8" t="s">
        <v>29</v>
      </c>
      <c r="H8">
        <v>6</v>
      </c>
      <c r="I8" t="s">
        <v>30</v>
      </c>
      <c r="J8" t="s">
        <v>73</v>
      </c>
      <c r="K8" t="s">
        <v>74</v>
      </c>
      <c r="L8" t="s">
        <v>75</v>
      </c>
      <c r="M8" s="4" t="s">
        <v>43</v>
      </c>
      <c r="N8" t="s">
        <v>76</v>
      </c>
      <c r="P8" s="3" t="s">
        <v>36</v>
      </c>
      <c r="Q8" s="3" t="s">
        <v>77</v>
      </c>
      <c r="R8">
        <v>1</v>
      </c>
      <c r="S8" s="5">
        <v>45877</v>
      </c>
      <c r="T8" t="s">
        <v>38</v>
      </c>
      <c r="U8">
        <f t="shared" ca="1" si="0"/>
        <v>22</v>
      </c>
      <c r="V8" s="6">
        <f t="shared" ca="1" si="1"/>
        <v>46024</v>
      </c>
      <c r="W8" s="6">
        <f t="shared" ca="1" si="2"/>
        <v>46030</v>
      </c>
      <c r="X8" t="str">
        <f t="shared" ca="1" si="3"/>
        <v>Jan 2 to Jan 8</v>
      </c>
      <c r="Y8" t="str">
        <f t="shared" ca="1" si="4"/>
        <v>⚪ SCHEDULED</v>
      </c>
      <c r="Z8" t="str">
        <f t="shared" ca="1" si="5"/>
        <v>No action needed yet</v>
      </c>
    </row>
    <row r="9" spans="1:26">
      <c r="A9">
        <v>1000428167</v>
      </c>
      <c r="B9" s="3" t="s">
        <v>78</v>
      </c>
      <c r="C9">
        <v>50</v>
      </c>
      <c r="D9" t="s">
        <v>27</v>
      </c>
      <c r="E9" t="s">
        <v>28</v>
      </c>
      <c r="F9" t="s">
        <v>29</v>
      </c>
      <c r="G9" t="s">
        <v>28</v>
      </c>
      <c r="H9">
        <v>3</v>
      </c>
      <c r="I9" t="s">
        <v>66</v>
      </c>
      <c r="J9" t="s">
        <v>79</v>
      </c>
      <c r="K9" t="s">
        <v>80</v>
      </c>
      <c r="L9" t="s">
        <v>33</v>
      </c>
      <c r="M9" s="4" t="s">
        <v>34</v>
      </c>
      <c r="N9" t="s">
        <v>64</v>
      </c>
      <c r="P9" s="3" t="s">
        <v>36</v>
      </c>
      <c r="Q9" s="3" t="s">
        <v>45</v>
      </c>
      <c r="R9">
        <v>2</v>
      </c>
      <c r="S9" s="5">
        <v>45829</v>
      </c>
      <c r="T9" t="s">
        <v>38</v>
      </c>
      <c r="U9">
        <f t="shared" ca="1" si="0"/>
        <v>4</v>
      </c>
      <c r="V9" s="6">
        <f t="shared" ca="1" si="1"/>
        <v>46006</v>
      </c>
      <c r="W9" s="6">
        <f t="shared" ca="1" si="2"/>
        <v>46012</v>
      </c>
      <c r="X9" t="str">
        <f t="shared" ca="1" si="3"/>
        <v>Dec 15 to Dec 21</v>
      </c>
      <c r="Y9" t="str">
        <f t="shared" ca="1" si="4"/>
        <v>🟢 THIS WEEK</v>
      </c>
      <c r="Z9" t="str">
        <f t="shared" ca="1" si="5"/>
        <v>Confirm appointment</v>
      </c>
    </row>
    <row r="10" spans="1:26">
      <c r="A10">
        <v>1000450955</v>
      </c>
      <c r="B10" s="3" t="s">
        <v>81</v>
      </c>
      <c r="C10">
        <v>54</v>
      </c>
      <c r="D10" t="s">
        <v>27</v>
      </c>
      <c r="E10" t="s">
        <v>29</v>
      </c>
      <c r="F10" t="s">
        <v>29</v>
      </c>
      <c r="G10" t="s">
        <v>29</v>
      </c>
      <c r="H10">
        <v>6</v>
      </c>
      <c r="I10" t="s">
        <v>30</v>
      </c>
      <c r="J10" t="s">
        <v>82</v>
      </c>
      <c r="K10" t="s">
        <v>83</v>
      </c>
      <c r="L10" t="s">
        <v>75</v>
      </c>
      <c r="M10" s="4" t="s">
        <v>34</v>
      </c>
      <c r="N10" t="s">
        <v>76</v>
      </c>
      <c r="P10" s="3" t="s">
        <v>36</v>
      </c>
      <c r="Q10" s="3" t="s">
        <v>84</v>
      </c>
      <c r="R10">
        <v>1</v>
      </c>
      <c r="S10" s="5">
        <v>45535</v>
      </c>
      <c r="T10" t="s">
        <v>38</v>
      </c>
      <c r="U10">
        <f t="shared" ca="1" si="0"/>
        <v>10</v>
      </c>
      <c r="V10" s="6">
        <f t="shared" ca="1" si="1"/>
        <v>46012</v>
      </c>
      <c r="W10" s="6">
        <f t="shared" ca="1" si="2"/>
        <v>46018</v>
      </c>
      <c r="X10" t="str">
        <f t="shared" ca="1" si="3"/>
        <v>Dec 21 to Dec 27</v>
      </c>
      <c r="Y10" t="str">
        <f t="shared" ca="1" si="4"/>
        <v>🔵 NEXT 2 WEEKS</v>
      </c>
      <c r="Z10" t="str">
        <f t="shared" ca="1" si="5"/>
        <v>Send reminder SMS</v>
      </c>
    </row>
    <row r="11" spans="1:26">
      <c r="A11">
        <v>1000462752</v>
      </c>
      <c r="B11" s="3" t="s">
        <v>85</v>
      </c>
      <c r="C11">
        <v>70</v>
      </c>
      <c r="D11" t="s">
        <v>47</v>
      </c>
      <c r="E11" t="s">
        <v>29</v>
      </c>
      <c r="F11" t="s">
        <v>29</v>
      </c>
      <c r="G11" t="s">
        <v>29</v>
      </c>
      <c r="H11">
        <v>7</v>
      </c>
      <c r="I11" t="s">
        <v>30</v>
      </c>
      <c r="J11" t="s">
        <v>86</v>
      </c>
      <c r="K11" t="s">
        <v>87</v>
      </c>
      <c r="L11" t="s">
        <v>88</v>
      </c>
      <c r="M11" s="4" t="s">
        <v>43</v>
      </c>
      <c r="N11" t="s">
        <v>89</v>
      </c>
      <c r="P11" s="3" t="s">
        <v>36</v>
      </c>
      <c r="Q11" s="3" t="s">
        <v>90</v>
      </c>
      <c r="R11">
        <v>2</v>
      </c>
      <c r="S11" s="5">
        <v>45884</v>
      </c>
      <c r="T11" t="s">
        <v>38</v>
      </c>
      <c r="U11">
        <f t="shared" ca="1" si="0"/>
        <v>29</v>
      </c>
      <c r="V11" s="6">
        <f t="shared" ca="1" si="1"/>
        <v>46031</v>
      </c>
      <c r="W11" s="6">
        <f t="shared" ca="1" si="2"/>
        <v>46037</v>
      </c>
      <c r="X11" t="str">
        <f t="shared" ca="1" si="3"/>
        <v>Jan 9 to Jan 15</v>
      </c>
      <c r="Y11" t="str">
        <f t="shared" ca="1" si="4"/>
        <v>⚪ SCHEDULED</v>
      </c>
      <c r="Z11" t="str">
        <f t="shared" ca="1" si="5"/>
        <v>No action needed yet</v>
      </c>
    </row>
    <row r="12" spans="1:26">
      <c r="A12">
        <v>1000462760</v>
      </c>
      <c r="B12" s="3" t="s">
        <v>91</v>
      </c>
      <c r="C12">
        <v>60</v>
      </c>
      <c r="D12" t="s">
        <v>27</v>
      </c>
      <c r="E12" t="s">
        <v>29</v>
      </c>
      <c r="F12" t="s">
        <v>28</v>
      </c>
      <c r="G12" t="s">
        <v>29</v>
      </c>
      <c r="H12">
        <v>6</v>
      </c>
      <c r="I12" t="s">
        <v>30</v>
      </c>
      <c r="J12" t="s">
        <v>92</v>
      </c>
      <c r="K12" t="s">
        <v>93</v>
      </c>
      <c r="M12" s="4" t="s">
        <v>94</v>
      </c>
      <c r="N12" t="s">
        <v>95</v>
      </c>
      <c r="P12" s="3" t="s">
        <v>36</v>
      </c>
      <c r="Q12" s="3" t="s">
        <v>96</v>
      </c>
      <c r="R12">
        <v>1</v>
      </c>
      <c r="S12" s="5">
        <v>45950</v>
      </c>
      <c r="T12" t="s">
        <v>38</v>
      </c>
      <c r="U12">
        <f t="shared" ca="1" si="0"/>
        <v>5</v>
      </c>
      <c r="V12" s="6">
        <f t="shared" ca="1" si="1"/>
        <v>46007</v>
      </c>
      <c r="W12" s="6">
        <f t="shared" ca="1" si="2"/>
        <v>46013</v>
      </c>
      <c r="X12" t="str">
        <f t="shared" ca="1" si="3"/>
        <v>Dec 16 to Dec 22</v>
      </c>
      <c r="Y12" t="str">
        <f t="shared" ca="1" si="4"/>
        <v>🟢 THIS WEEK</v>
      </c>
      <c r="Z12" t="str">
        <f t="shared" ca="1" si="5"/>
        <v>Confirm appointment</v>
      </c>
    </row>
    <row r="13" spans="1:26">
      <c r="A13">
        <v>1000514800</v>
      </c>
      <c r="B13" s="3" t="s">
        <v>97</v>
      </c>
      <c r="C13">
        <v>64</v>
      </c>
      <c r="D13" t="s">
        <v>47</v>
      </c>
      <c r="E13" t="s">
        <v>29</v>
      </c>
      <c r="F13" t="s">
        <v>29</v>
      </c>
      <c r="G13" t="s">
        <v>29</v>
      </c>
      <c r="H13">
        <v>7</v>
      </c>
      <c r="I13" t="s">
        <v>30</v>
      </c>
      <c r="J13" t="s">
        <v>98</v>
      </c>
      <c r="K13" t="s">
        <v>99</v>
      </c>
      <c r="L13" t="s">
        <v>100</v>
      </c>
      <c r="M13" s="4" t="s">
        <v>43</v>
      </c>
      <c r="N13" t="s">
        <v>76</v>
      </c>
      <c r="P13" s="3" t="s">
        <v>36</v>
      </c>
      <c r="Q13" s="3" t="s">
        <v>101</v>
      </c>
      <c r="R13">
        <v>1</v>
      </c>
      <c r="S13" s="5">
        <v>45856</v>
      </c>
      <c r="T13" t="s">
        <v>38</v>
      </c>
      <c r="U13">
        <f t="shared" ca="1" si="0"/>
        <v>1</v>
      </c>
      <c r="V13" s="6">
        <f t="shared" ca="1" si="1"/>
        <v>46003</v>
      </c>
      <c r="W13" s="6">
        <f t="shared" ca="1" si="2"/>
        <v>46009</v>
      </c>
      <c r="X13" t="str">
        <f t="shared" ca="1" si="3"/>
        <v>Dec 12 to Dec 18</v>
      </c>
      <c r="Y13" t="str">
        <f t="shared" ca="1" si="4"/>
        <v>🟡 IMMINENT (within 3 days)</v>
      </c>
      <c r="Z13" t="str">
        <f t="shared" ca="1" si="5"/>
        <v>Prepare medications TODAY</v>
      </c>
    </row>
    <row r="14" spans="1:26">
      <c r="A14">
        <v>1000515922</v>
      </c>
      <c r="B14" s="3" t="s">
        <v>102</v>
      </c>
      <c r="C14">
        <v>66</v>
      </c>
      <c r="D14" t="s">
        <v>47</v>
      </c>
      <c r="E14" t="s">
        <v>29</v>
      </c>
      <c r="F14" t="s">
        <v>29</v>
      </c>
      <c r="G14" t="s">
        <v>28</v>
      </c>
      <c r="H14">
        <v>5</v>
      </c>
      <c r="I14" t="s">
        <v>30</v>
      </c>
      <c r="J14" t="s">
        <v>103</v>
      </c>
      <c r="K14" t="s">
        <v>104</v>
      </c>
      <c r="L14" t="s">
        <v>105</v>
      </c>
      <c r="M14" s="4" t="s">
        <v>43</v>
      </c>
      <c r="N14" t="s">
        <v>106</v>
      </c>
      <c r="P14" s="3" t="s">
        <v>36</v>
      </c>
      <c r="Q14" s="3" t="s">
        <v>107</v>
      </c>
      <c r="R14">
        <v>1</v>
      </c>
      <c r="S14" s="5">
        <v>45889</v>
      </c>
      <c r="T14" t="s">
        <v>38</v>
      </c>
      <c r="U14">
        <f t="shared" ca="1" si="0"/>
        <v>4</v>
      </c>
      <c r="V14" s="6">
        <f t="shared" ca="1" si="1"/>
        <v>46006</v>
      </c>
      <c r="W14" s="6">
        <f t="shared" ca="1" si="2"/>
        <v>46012</v>
      </c>
      <c r="X14" t="str">
        <f t="shared" ca="1" si="3"/>
        <v>Dec 15 to Dec 21</v>
      </c>
      <c r="Y14" t="str">
        <f t="shared" ca="1" si="4"/>
        <v>🟢 THIS WEEK</v>
      </c>
      <c r="Z14" t="str">
        <f t="shared" ca="1" si="5"/>
        <v>Confirm appointment</v>
      </c>
    </row>
    <row r="15" spans="1:26">
      <c r="A15">
        <v>1000539609</v>
      </c>
      <c r="B15" s="3" t="s">
        <v>108</v>
      </c>
      <c r="C15">
        <v>84</v>
      </c>
      <c r="D15" t="s">
        <v>27</v>
      </c>
      <c r="E15" t="s">
        <v>29</v>
      </c>
      <c r="F15" t="s">
        <v>29</v>
      </c>
      <c r="G15" t="s">
        <v>29</v>
      </c>
      <c r="H15">
        <v>7</v>
      </c>
      <c r="I15" t="s">
        <v>30</v>
      </c>
      <c r="J15" t="s">
        <v>109</v>
      </c>
      <c r="K15" t="s">
        <v>110</v>
      </c>
      <c r="M15" s="4" t="s">
        <v>43</v>
      </c>
      <c r="N15" t="s">
        <v>44</v>
      </c>
      <c r="P15" s="3" t="s">
        <v>36</v>
      </c>
      <c r="Q15" t="s">
        <v>54</v>
      </c>
      <c r="R15">
        <v>1</v>
      </c>
      <c r="S15" s="5">
        <v>45874</v>
      </c>
      <c r="T15" t="s">
        <v>38</v>
      </c>
      <c r="U15">
        <f t="shared" ca="1" si="0"/>
        <v>19</v>
      </c>
      <c r="V15" s="6">
        <f t="shared" ca="1" si="1"/>
        <v>46021</v>
      </c>
      <c r="W15" s="6">
        <f t="shared" ca="1" si="2"/>
        <v>46027</v>
      </c>
      <c r="X15" t="str">
        <f t="shared" ca="1" si="3"/>
        <v>Dec 30 to Jan 5</v>
      </c>
      <c r="Y15" t="str">
        <f t="shared" ca="1" si="4"/>
        <v>⚪ SCHEDULED</v>
      </c>
      <c r="Z15" t="str">
        <f t="shared" ca="1" si="5"/>
        <v>No action needed yet</v>
      </c>
    </row>
    <row r="16" spans="1:26">
      <c r="A16">
        <v>1000548527</v>
      </c>
      <c r="B16" s="3" t="s">
        <v>111</v>
      </c>
      <c r="C16">
        <v>58</v>
      </c>
      <c r="D16" t="s">
        <v>47</v>
      </c>
      <c r="E16" t="s">
        <v>29</v>
      </c>
      <c r="F16" t="s">
        <v>28</v>
      </c>
      <c r="G16" t="s">
        <v>29</v>
      </c>
      <c r="H16">
        <v>4</v>
      </c>
      <c r="I16" t="s">
        <v>66</v>
      </c>
      <c r="J16" t="s">
        <v>112</v>
      </c>
      <c r="K16" t="s">
        <v>113</v>
      </c>
      <c r="L16" t="s">
        <v>114</v>
      </c>
      <c r="M16" s="4" t="s">
        <v>34</v>
      </c>
      <c r="N16" t="s">
        <v>115</v>
      </c>
      <c r="P16" s="3" t="s">
        <v>36</v>
      </c>
      <c r="Q16" s="3" t="s">
        <v>107</v>
      </c>
      <c r="R16">
        <v>2</v>
      </c>
      <c r="S16" s="5">
        <v>45682</v>
      </c>
      <c r="T16" t="s">
        <v>38</v>
      </c>
      <c r="U16">
        <f t="shared" ca="1" si="0"/>
        <v>7</v>
      </c>
      <c r="V16" s="6">
        <f t="shared" ca="1" si="1"/>
        <v>46009</v>
      </c>
      <c r="W16" s="6">
        <f t="shared" ca="1" si="2"/>
        <v>46015</v>
      </c>
      <c r="X16" t="str">
        <f t="shared" ca="1" si="3"/>
        <v>Dec 18 to Dec 24</v>
      </c>
      <c r="Y16" t="str">
        <f t="shared" ca="1" si="4"/>
        <v>🟢 THIS WEEK</v>
      </c>
      <c r="Z16" t="str">
        <f t="shared" ca="1" si="5"/>
        <v>Confirm appointment</v>
      </c>
    </row>
    <row r="17" spans="1:26">
      <c r="A17">
        <v>1000553402</v>
      </c>
      <c r="B17" s="3" t="s">
        <v>116</v>
      </c>
      <c r="C17">
        <v>43</v>
      </c>
      <c r="D17" t="s">
        <v>27</v>
      </c>
      <c r="E17" t="s">
        <v>29</v>
      </c>
      <c r="F17" t="s">
        <v>29</v>
      </c>
      <c r="G17" t="s">
        <v>28</v>
      </c>
      <c r="H17">
        <v>4</v>
      </c>
      <c r="I17" t="s">
        <v>66</v>
      </c>
      <c r="J17" t="s">
        <v>117</v>
      </c>
      <c r="K17" t="s">
        <v>118</v>
      </c>
      <c r="L17" t="s">
        <v>88</v>
      </c>
      <c r="M17" s="4" t="s">
        <v>43</v>
      </c>
      <c r="N17" t="s">
        <v>119</v>
      </c>
      <c r="P17" s="3" t="s">
        <v>36</v>
      </c>
      <c r="Q17" s="3" t="s">
        <v>45</v>
      </c>
      <c r="R17">
        <v>2</v>
      </c>
      <c r="S17" s="5">
        <v>45891</v>
      </c>
      <c r="T17" t="s">
        <v>38</v>
      </c>
      <c r="U17">
        <f t="shared" ca="1" si="0"/>
        <v>6</v>
      </c>
      <c r="V17" s="6">
        <f t="shared" ca="1" si="1"/>
        <v>46008</v>
      </c>
      <c r="W17" s="6">
        <f t="shared" ca="1" si="2"/>
        <v>46014</v>
      </c>
      <c r="X17" t="str">
        <f t="shared" ca="1" si="3"/>
        <v>Dec 17 to Dec 23</v>
      </c>
      <c r="Y17" t="str">
        <f t="shared" ca="1" si="4"/>
        <v>🟢 THIS WEEK</v>
      </c>
      <c r="Z17" t="str">
        <f t="shared" ca="1" si="5"/>
        <v>Confirm appointment</v>
      </c>
    </row>
    <row r="18" spans="1:26">
      <c r="A18">
        <v>1000572055</v>
      </c>
      <c r="B18" s="3" t="s">
        <v>120</v>
      </c>
      <c r="C18">
        <v>72</v>
      </c>
      <c r="D18" t="s">
        <v>47</v>
      </c>
      <c r="E18" t="s">
        <v>29</v>
      </c>
      <c r="F18" t="s">
        <v>29</v>
      </c>
      <c r="G18" t="s">
        <v>28</v>
      </c>
      <c r="H18">
        <v>6</v>
      </c>
      <c r="I18" t="s">
        <v>30</v>
      </c>
      <c r="J18" t="s">
        <v>121</v>
      </c>
      <c r="K18" t="s">
        <v>122</v>
      </c>
      <c r="L18" t="s">
        <v>105</v>
      </c>
      <c r="M18" s="4" t="s">
        <v>34</v>
      </c>
      <c r="N18" t="s">
        <v>106</v>
      </c>
      <c r="P18" s="3" t="s">
        <v>36</v>
      </c>
      <c r="Q18" s="3" t="s">
        <v>123</v>
      </c>
      <c r="R18">
        <v>1</v>
      </c>
      <c r="S18" s="5">
        <v>45478</v>
      </c>
      <c r="T18" t="s">
        <v>38</v>
      </c>
      <c r="U18">
        <f t="shared" ca="1" si="0"/>
        <v>13</v>
      </c>
      <c r="V18" s="6">
        <f t="shared" ca="1" si="1"/>
        <v>46015</v>
      </c>
      <c r="W18" s="6">
        <f t="shared" ca="1" si="2"/>
        <v>46021</v>
      </c>
      <c r="X18" t="str">
        <f t="shared" ca="1" si="3"/>
        <v>Dec 24 to Dec 30</v>
      </c>
      <c r="Y18" t="str">
        <f t="shared" ca="1" si="4"/>
        <v>🔵 NEXT 2 WEEKS</v>
      </c>
      <c r="Z18" t="str">
        <f t="shared" ca="1" si="5"/>
        <v>Send reminder SMS</v>
      </c>
    </row>
    <row r="19" spans="1:26">
      <c r="A19">
        <v>1000573319</v>
      </c>
      <c r="B19" s="3" t="s">
        <v>124</v>
      </c>
      <c r="C19">
        <v>71</v>
      </c>
      <c r="D19" t="s">
        <v>27</v>
      </c>
      <c r="E19" t="s">
        <v>29</v>
      </c>
      <c r="F19" t="s">
        <v>29</v>
      </c>
      <c r="G19" t="s">
        <v>29</v>
      </c>
      <c r="H19">
        <v>7</v>
      </c>
      <c r="I19" t="s">
        <v>30</v>
      </c>
      <c r="J19" t="s">
        <v>125</v>
      </c>
      <c r="K19" t="s">
        <v>126</v>
      </c>
      <c r="L19" t="s">
        <v>69</v>
      </c>
      <c r="M19" s="4" t="s">
        <v>43</v>
      </c>
      <c r="N19" t="s">
        <v>127</v>
      </c>
      <c r="P19" s="3" t="s">
        <v>36</v>
      </c>
      <c r="Q19" s="3" t="s">
        <v>45</v>
      </c>
      <c r="R19">
        <v>2</v>
      </c>
      <c r="S19" s="5">
        <v>45855</v>
      </c>
      <c r="T19" t="s">
        <v>38</v>
      </c>
      <c r="U19">
        <f t="shared" ca="1" si="0"/>
        <v>0</v>
      </c>
      <c r="V19" s="6">
        <f t="shared" ca="1" si="1"/>
        <v>46002</v>
      </c>
      <c r="W19" s="6">
        <f t="shared" ca="1" si="2"/>
        <v>46008</v>
      </c>
      <c r="X19" t="str">
        <f t="shared" ca="1" si="3"/>
        <v>Dec 11 to Dec 17</v>
      </c>
      <c r="Y19" t="str">
        <f t="shared" ca="1" si="4"/>
        <v>🟡 IMMINENT (within 3 days)</v>
      </c>
      <c r="Z19" t="str">
        <f t="shared" ca="1" si="5"/>
        <v>Prepare medications TODAY</v>
      </c>
    </row>
    <row r="20" spans="1:26">
      <c r="A20">
        <v>1000584993</v>
      </c>
      <c r="B20" s="3" t="s">
        <v>128</v>
      </c>
      <c r="C20">
        <v>63</v>
      </c>
      <c r="D20" t="s">
        <v>27</v>
      </c>
      <c r="E20" t="s">
        <v>29</v>
      </c>
      <c r="F20" t="s">
        <v>29</v>
      </c>
      <c r="G20" t="s">
        <v>28</v>
      </c>
      <c r="H20">
        <v>6</v>
      </c>
      <c r="I20" t="s">
        <v>30</v>
      </c>
      <c r="J20" t="s">
        <v>129</v>
      </c>
      <c r="K20" t="s">
        <v>130</v>
      </c>
      <c r="L20" t="s">
        <v>69</v>
      </c>
      <c r="M20" s="4" t="s">
        <v>34</v>
      </c>
      <c r="N20" t="s">
        <v>131</v>
      </c>
      <c r="P20" s="3" t="s">
        <v>36</v>
      </c>
      <c r="Q20" s="3" t="s">
        <v>107</v>
      </c>
      <c r="R20">
        <v>1</v>
      </c>
      <c r="S20" s="5">
        <v>45740</v>
      </c>
      <c r="T20" t="s">
        <v>38</v>
      </c>
      <c r="U20">
        <f t="shared" ca="1" si="0"/>
        <v>5</v>
      </c>
      <c r="V20" s="6">
        <f t="shared" ca="1" si="1"/>
        <v>46007</v>
      </c>
      <c r="W20" s="6">
        <f t="shared" ca="1" si="2"/>
        <v>46013</v>
      </c>
      <c r="X20" t="str">
        <f t="shared" ca="1" si="3"/>
        <v>Dec 16 to Dec 22</v>
      </c>
      <c r="Y20" t="str">
        <f t="shared" ca="1" si="4"/>
        <v>🟢 THIS WEEK</v>
      </c>
      <c r="Z20" t="str">
        <f t="shared" ca="1" si="5"/>
        <v>Confirm appointment</v>
      </c>
    </row>
    <row r="21" spans="1:26">
      <c r="A21">
        <v>1000587343</v>
      </c>
      <c r="B21" s="3" t="s">
        <v>132</v>
      </c>
      <c r="C21">
        <v>50</v>
      </c>
      <c r="D21" t="s">
        <v>27</v>
      </c>
      <c r="E21" t="s">
        <v>28</v>
      </c>
      <c r="F21" t="s">
        <v>29</v>
      </c>
      <c r="G21" t="s">
        <v>28</v>
      </c>
      <c r="H21">
        <v>4</v>
      </c>
      <c r="I21" t="s">
        <v>66</v>
      </c>
      <c r="J21" t="s">
        <v>133</v>
      </c>
      <c r="K21" t="s">
        <v>134</v>
      </c>
      <c r="L21" t="s">
        <v>135</v>
      </c>
      <c r="M21" s="4" t="s">
        <v>43</v>
      </c>
      <c r="N21" t="s">
        <v>70</v>
      </c>
      <c r="P21" s="3" t="s">
        <v>36</v>
      </c>
      <c r="Q21" s="3" t="s">
        <v>52</v>
      </c>
      <c r="R21">
        <v>2</v>
      </c>
      <c r="S21" s="5">
        <v>45860</v>
      </c>
      <c r="T21" t="s">
        <v>38</v>
      </c>
      <c r="U21">
        <f t="shared" ca="1" si="0"/>
        <v>5</v>
      </c>
      <c r="V21" s="6">
        <f t="shared" ca="1" si="1"/>
        <v>46007</v>
      </c>
      <c r="W21" s="6">
        <f t="shared" ca="1" si="2"/>
        <v>46013</v>
      </c>
      <c r="X21" t="str">
        <f t="shared" ca="1" si="3"/>
        <v>Dec 16 to Dec 22</v>
      </c>
      <c r="Y21" t="str">
        <f t="shared" ca="1" si="4"/>
        <v>🟢 THIS WEEK</v>
      </c>
      <c r="Z21" t="str">
        <f t="shared" ca="1" si="5"/>
        <v>Confirm appointment</v>
      </c>
    </row>
    <row r="22" spans="1:26">
      <c r="A22">
        <v>1000611028</v>
      </c>
      <c r="B22" s="3" t="s">
        <v>136</v>
      </c>
      <c r="C22">
        <v>57</v>
      </c>
      <c r="D22" t="s">
        <v>27</v>
      </c>
      <c r="E22" t="s">
        <v>28</v>
      </c>
      <c r="F22" t="s">
        <v>28</v>
      </c>
      <c r="G22" t="s">
        <v>29</v>
      </c>
      <c r="H22">
        <v>4</v>
      </c>
      <c r="I22" t="s">
        <v>66</v>
      </c>
      <c r="J22" t="s">
        <v>137</v>
      </c>
      <c r="K22" t="s">
        <v>138</v>
      </c>
      <c r="L22" t="s">
        <v>139</v>
      </c>
      <c r="M22" s="4" t="s">
        <v>34</v>
      </c>
      <c r="N22" t="s">
        <v>140</v>
      </c>
      <c r="P22" s="3" t="s">
        <v>36</v>
      </c>
      <c r="Q22" s="3" t="s">
        <v>107</v>
      </c>
      <c r="R22">
        <v>1</v>
      </c>
      <c r="S22" s="5">
        <v>45821</v>
      </c>
      <c r="T22" t="s">
        <v>38</v>
      </c>
      <c r="U22">
        <f t="shared" ca="1" si="0"/>
        <v>26</v>
      </c>
      <c r="V22" s="6">
        <f t="shared" ca="1" si="1"/>
        <v>46028</v>
      </c>
      <c r="W22" s="6">
        <f t="shared" ca="1" si="2"/>
        <v>46034</v>
      </c>
      <c r="X22" t="str">
        <f t="shared" ca="1" si="3"/>
        <v>Jan 6 to Jan 12</v>
      </c>
      <c r="Y22" t="str">
        <f t="shared" ca="1" si="4"/>
        <v>⚪ SCHEDULED</v>
      </c>
      <c r="Z22" t="str">
        <f t="shared" ca="1" si="5"/>
        <v>No action needed yet</v>
      </c>
    </row>
    <row r="23" spans="1:26">
      <c r="A23">
        <v>1000612521</v>
      </c>
      <c r="B23" s="3" t="s">
        <v>141</v>
      </c>
      <c r="C23">
        <v>58</v>
      </c>
      <c r="D23" t="s">
        <v>27</v>
      </c>
      <c r="E23" t="s">
        <v>29</v>
      </c>
      <c r="F23" t="s">
        <v>29</v>
      </c>
      <c r="G23" t="s">
        <v>28</v>
      </c>
      <c r="H23">
        <v>4</v>
      </c>
      <c r="I23" t="s">
        <v>66</v>
      </c>
      <c r="J23" t="s">
        <v>142</v>
      </c>
      <c r="K23" t="s">
        <v>143</v>
      </c>
      <c r="M23" s="4" t="s">
        <v>34</v>
      </c>
      <c r="N23" t="s">
        <v>144</v>
      </c>
      <c r="P23" s="3" t="s">
        <v>36</v>
      </c>
      <c r="Q23" s="3" t="s">
        <v>90</v>
      </c>
      <c r="R23">
        <v>2</v>
      </c>
      <c r="S23" s="5">
        <v>45699</v>
      </c>
      <c r="T23" t="s">
        <v>38</v>
      </c>
      <c r="U23">
        <f t="shared" ca="1" si="0"/>
        <v>24</v>
      </c>
      <c r="V23" s="6">
        <f t="shared" ca="1" si="1"/>
        <v>46026</v>
      </c>
      <c r="W23" s="6">
        <f t="shared" ca="1" si="2"/>
        <v>46032</v>
      </c>
      <c r="X23" t="str">
        <f t="shared" ca="1" si="3"/>
        <v>Jan 4 to Jan 10</v>
      </c>
      <c r="Y23" t="str">
        <f t="shared" ca="1" si="4"/>
        <v>⚪ SCHEDULED</v>
      </c>
      <c r="Z23" t="str">
        <f t="shared" ca="1" si="5"/>
        <v>No action needed yet</v>
      </c>
    </row>
    <row r="24" spans="1:26">
      <c r="A24">
        <v>1000638435</v>
      </c>
      <c r="B24" s="3" t="s">
        <v>145</v>
      </c>
      <c r="C24">
        <v>71</v>
      </c>
      <c r="D24" t="s">
        <v>27</v>
      </c>
      <c r="E24" t="s">
        <v>29</v>
      </c>
      <c r="F24" t="s">
        <v>28</v>
      </c>
      <c r="G24" t="s">
        <v>28</v>
      </c>
      <c r="H24">
        <v>6</v>
      </c>
      <c r="I24" t="s">
        <v>30</v>
      </c>
      <c r="J24" t="s">
        <v>146</v>
      </c>
      <c r="K24" t="s">
        <v>147</v>
      </c>
      <c r="M24" s="4" t="s">
        <v>34</v>
      </c>
      <c r="N24" t="s">
        <v>148</v>
      </c>
      <c r="P24" s="3" t="s">
        <v>36</v>
      </c>
      <c r="Q24" s="3" t="s">
        <v>107</v>
      </c>
      <c r="R24">
        <v>1</v>
      </c>
      <c r="S24" s="5">
        <v>45652</v>
      </c>
      <c r="T24" t="s">
        <v>38</v>
      </c>
      <c r="U24">
        <f t="shared" ca="1" si="0"/>
        <v>7</v>
      </c>
      <c r="V24" s="6">
        <f t="shared" ca="1" si="1"/>
        <v>46009</v>
      </c>
      <c r="W24" s="6">
        <f t="shared" ca="1" si="2"/>
        <v>46015</v>
      </c>
      <c r="X24" t="str">
        <f t="shared" ca="1" si="3"/>
        <v>Dec 18 to Dec 24</v>
      </c>
      <c r="Y24" t="str">
        <f t="shared" ca="1" si="4"/>
        <v>🟢 THIS WEEK</v>
      </c>
      <c r="Z24" t="str">
        <f t="shared" ca="1" si="5"/>
        <v>Confirm appointment</v>
      </c>
    </row>
    <row r="25" spans="1:26">
      <c r="A25">
        <v>1000651503</v>
      </c>
      <c r="B25" s="3" t="s">
        <v>149</v>
      </c>
      <c r="C25">
        <v>69</v>
      </c>
      <c r="D25" t="s">
        <v>27</v>
      </c>
      <c r="E25" t="s">
        <v>29</v>
      </c>
      <c r="F25" t="s">
        <v>29</v>
      </c>
      <c r="G25" t="s">
        <v>29</v>
      </c>
      <c r="H25">
        <v>7</v>
      </c>
      <c r="I25" t="s">
        <v>30</v>
      </c>
      <c r="J25" t="s">
        <v>150</v>
      </c>
      <c r="K25" t="s">
        <v>151</v>
      </c>
      <c r="M25" s="4" t="s">
        <v>34</v>
      </c>
      <c r="N25" t="s">
        <v>44</v>
      </c>
      <c r="P25" s="3" t="s">
        <v>36</v>
      </c>
      <c r="Q25" s="3" t="s">
        <v>107</v>
      </c>
      <c r="R25">
        <v>1</v>
      </c>
      <c r="S25" s="5">
        <v>45764</v>
      </c>
      <c r="T25" t="s">
        <v>38</v>
      </c>
      <c r="U25">
        <f t="shared" ca="1" si="0"/>
        <v>29</v>
      </c>
      <c r="V25" s="6">
        <f t="shared" ca="1" si="1"/>
        <v>46031</v>
      </c>
      <c r="W25" s="6">
        <f t="shared" ca="1" si="2"/>
        <v>46037</v>
      </c>
      <c r="X25" t="str">
        <f t="shared" ca="1" si="3"/>
        <v>Jan 9 to Jan 15</v>
      </c>
      <c r="Y25" t="str">
        <f t="shared" ca="1" si="4"/>
        <v>⚪ SCHEDULED</v>
      </c>
      <c r="Z25" t="str">
        <f t="shared" ca="1" si="5"/>
        <v>No action needed yet</v>
      </c>
    </row>
    <row r="26" spans="1:26">
      <c r="A26">
        <v>1000665131</v>
      </c>
      <c r="B26" s="3" t="s">
        <v>152</v>
      </c>
      <c r="C26">
        <v>68</v>
      </c>
      <c r="D26" t="s">
        <v>27</v>
      </c>
      <c r="E26" t="s">
        <v>29</v>
      </c>
      <c r="F26" t="s">
        <v>29</v>
      </c>
      <c r="G26" t="s">
        <v>28</v>
      </c>
      <c r="H26">
        <v>6</v>
      </c>
      <c r="I26" t="s">
        <v>30</v>
      </c>
      <c r="J26" t="s">
        <v>153</v>
      </c>
      <c r="K26" t="s">
        <v>154</v>
      </c>
      <c r="L26" t="s">
        <v>155</v>
      </c>
      <c r="M26" s="4" t="s">
        <v>94</v>
      </c>
      <c r="N26" t="s">
        <v>119</v>
      </c>
      <c r="P26" s="3" t="s">
        <v>36</v>
      </c>
      <c r="Q26" s="3" t="s">
        <v>45</v>
      </c>
      <c r="R26">
        <v>1</v>
      </c>
      <c r="S26" s="5">
        <v>45938</v>
      </c>
      <c r="T26" t="s">
        <v>38</v>
      </c>
      <c r="U26">
        <f t="shared" ca="1" si="0"/>
        <v>23</v>
      </c>
      <c r="V26" s="6">
        <f t="shared" ca="1" si="1"/>
        <v>46025</v>
      </c>
      <c r="W26" s="6">
        <f t="shared" ca="1" si="2"/>
        <v>46031</v>
      </c>
      <c r="X26" t="str">
        <f t="shared" ca="1" si="3"/>
        <v>Jan 3 to Jan 9</v>
      </c>
      <c r="Y26" t="str">
        <f t="shared" ca="1" si="4"/>
        <v>⚪ SCHEDULED</v>
      </c>
      <c r="Z26" t="str">
        <f t="shared" ca="1" si="5"/>
        <v>No action needed yet</v>
      </c>
    </row>
    <row r="27" spans="1:26">
      <c r="A27">
        <v>1000691228</v>
      </c>
      <c r="B27" s="3" t="s">
        <v>156</v>
      </c>
      <c r="C27">
        <v>64</v>
      </c>
      <c r="D27" t="s">
        <v>27</v>
      </c>
      <c r="E27" t="s">
        <v>29</v>
      </c>
      <c r="F27" t="s">
        <v>29</v>
      </c>
      <c r="G27" t="s">
        <v>29</v>
      </c>
      <c r="H27">
        <v>7</v>
      </c>
      <c r="I27" t="s">
        <v>30</v>
      </c>
      <c r="J27" t="s">
        <v>157</v>
      </c>
      <c r="K27" t="s">
        <v>158</v>
      </c>
      <c r="L27" t="s">
        <v>33</v>
      </c>
      <c r="M27" s="4" t="s">
        <v>34</v>
      </c>
      <c r="N27" t="s">
        <v>44</v>
      </c>
      <c r="P27" s="3" t="s">
        <v>36</v>
      </c>
      <c r="Q27" s="3" t="s">
        <v>107</v>
      </c>
      <c r="R27">
        <v>2</v>
      </c>
      <c r="S27" s="5">
        <v>45758</v>
      </c>
      <c r="T27" t="s">
        <v>38</v>
      </c>
      <c r="U27">
        <f t="shared" ca="1" si="0"/>
        <v>23</v>
      </c>
      <c r="V27" s="6">
        <f t="shared" ca="1" si="1"/>
        <v>46025</v>
      </c>
      <c r="W27" s="6">
        <f t="shared" ca="1" si="2"/>
        <v>46031</v>
      </c>
      <c r="X27" t="str">
        <f t="shared" ca="1" si="3"/>
        <v>Jan 3 to Jan 9</v>
      </c>
      <c r="Y27" t="str">
        <f t="shared" ca="1" si="4"/>
        <v>⚪ SCHEDULED</v>
      </c>
      <c r="Z27" t="str">
        <f t="shared" ca="1" si="5"/>
        <v>No action needed yet</v>
      </c>
    </row>
    <row r="28" spans="1:26">
      <c r="A28">
        <v>1000722981</v>
      </c>
      <c r="B28" s="3" t="s">
        <v>159</v>
      </c>
      <c r="C28">
        <v>57</v>
      </c>
      <c r="D28" t="s">
        <v>47</v>
      </c>
      <c r="E28" t="s">
        <v>29</v>
      </c>
      <c r="F28" t="s">
        <v>28</v>
      </c>
      <c r="G28" t="s">
        <v>28</v>
      </c>
      <c r="H28">
        <v>4</v>
      </c>
      <c r="I28" t="s">
        <v>66</v>
      </c>
      <c r="J28" t="s">
        <v>160</v>
      </c>
      <c r="K28" t="s">
        <v>161</v>
      </c>
      <c r="L28" t="s">
        <v>105</v>
      </c>
      <c r="M28" s="4" t="s">
        <v>34</v>
      </c>
      <c r="N28" t="s">
        <v>162</v>
      </c>
      <c r="P28" s="3" t="s">
        <v>36</v>
      </c>
      <c r="Q28" s="3" t="s">
        <v>84</v>
      </c>
      <c r="R28">
        <v>2</v>
      </c>
      <c r="S28" s="5">
        <v>45392</v>
      </c>
      <c r="T28" t="s">
        <v>38</v>
      </c>
      <c r="U28">
        <f t="shared" ca="1" si="0"/>
        <v>17</v>
      </c>
      <c r="V28" s="6">
        <f t="shared" ca="1" si="1"/>
        <v>46019</v>
      </c>
      <c r="W28" s="6">
        <f t="shared" ca="1" si="2"/>
        <v>46025</v>
      </c>
      <c r="X28" t="str">
        <f t="shared" ca="1" si="3"/>
        <v>Dec 28 to Jan 3</v>
      </c>
      <c r="Y28" t="str">
        <f t="shared" ca="1" si="4"/>
        <v>⚪ SCHEDULED</v>
      </c>
      <c r="Z28" t="str">
        <f t="shared" ca="1" si="5"/>
        <v>No action needed yet</v>
      </c>
    </row>
    <row r="29" spans="1:26">
      <c r="A29">
        <v>1000776698</v>
      </c>
      <c r="B29" s="3" t="s">
        <v>163</v>
      </c>
      <c r="C29">
        <v>49</v>
      </c>
      <c r="D29" t="s">
        <v>47</v>
      </c>
      <c r="E29" t="s">
        <v>28</v>
      </c>
      <c r="F29" t="s">
        <v>29</v>
      </c>
      <c r="G29" t="s">
        <v>28</v>
      </c>
      <c r="H29">
        <v>3</v>
      </c>
      <c r="I29" t="s">
        <v>66</v>
      </c>
      <c r="J29" t="s">
        <v>164</v>
      </c>
      <c r="K29" t="s">
        <v>165</v>
      </c>
      <c r="L29" t="s">
        <v>166</v>
      </c>
      <c r="M29" s="4" t="s">
        <v>34</v>
      </c>
      <c r="N29" t="s">
        <v>70</v>
      </c>
      <c r="P29" s="3" t="s">
        <v>36</v>
      </c>
      <c r="Q29" s="3" t="s">
        <v>45</v>
      </c>
      <c r="R29">
        <v>2</v>
      </c>
      <c r="S29" s="5">
        <v>45832</v>
      </c>
      <c r="T29" t="s">
        <v>38</v>
      </c>
      <c r="U29">
        <f t="shared" ca="1" si="0"/>
        <v>7</v>
      </c>
      <c r="V29" s="6">
        <f t="shared" ca="1" si="1"/>
        <v>46009</v>
      </c>
      <c r="W29" s="6">
        <f t="shared" ca="1" si="2"/>
        <v>46015</v>
      </c>
      <c r="X29" t="str">
        <f t="shared" ca="1" si="3"/>
        <v>Dec 18 to Dec 24</v>
      </c>
      <c r="Y29" t="str">
        <f t="shared" ca="1" si="4"/>
        <v>🟢 THIS WEEK</v>
      </c>
      <c r="Z29" t="str">
        <f t="shared" ca="1" si="5"/>
        <v>Confirm appointment</v>
      </c>
    </row>
    <row r="30" spans="1:26">
      <c r="A30">
        <v>1000827921</v>
      </c>
      <c r="B30" s="3" t="s">
        <v>167</v>
      </c>
      <c r="C30">
        <v>74</v>
      </c>
      <c r="D30" t="s">
        <v>27</v>
      </c>
      <c r="E30" t="s">
        <v>29</v>
      </c>
      <c r="F30" t="s">
        <v>29</v>
      </c>
      <c r="G30" t="s">
        <v>29</v>
      </c>
      <c r="H30">
        <v>8</v>
      </c>
      <c r="I30" t="s">
        <v>30</v>
      </c>
      <c r="J30" t="s">
        <v>168</v>
      </c>
      <c r="K30" t="s">
        <v>169</v>
      </c>
      <c r="L30" t="s">
        <v>170</v>
      </c>
      <c r="M30" s="4" t="s">
        <v>34</v>
      </c>
      <c r="N30" t="s">
        <v>171</v>
      </c>
      <c r="P30" s="3" t="s">
        <v>36</v>
      </c>
      <c r="Q30" s="3" t="s">
        <v>107</v>
      </c>
      <c r="R30">
        <v>2</v>
      </c>
      <c r="S30" s="5">
        <v>45723</v>
      </c>
      <c r="T30" t="s">
        <v>38</v>
      </c>
      <c r="U30">
        <f t="shared" ca="1" si="0"/>
        <v>18</v>
      </c>
      <c r="V30" s="6">
        <f t="shared" ca="1" si="1"/>
        <v>46020</v>
      </c>
      <c r="W30" s="6">
        <f t="shared" ca="1" si="2"/>
        <v>46026</v>
      </c>
      <c r="X30" t="str">
        <f t="shared" ca="1" si="3"/>
        <v>Dec 29 to Jan 4</v>
      </c>
      <c r="Y30" t="str">
        <f t="shared" ca="1" si="4"/>
        <v>⚪ SCHEDULED</v>
      </c>
      <c r="Z30" t="str">
        <f t="shared" ca="1" si="5"/>
        <v>No action needed yet</v>
      </c>
    </row>
    <row r="31" spans="1:26">
      <c r="A31">
        <v>1000827947</v>
      </c>
      <c r="B31" s="3" t="s">
        <v>172</v>
      </c>
      <c r="C31">
        <v>46</v>
      </c>
      <c r="D31" t="s">
        <v>47</v>
      </c>
      <c r="E31" t="s">
        <v>29</v>
      </c>
      <c r="F31" t="s">
        <v>28</v>
      </c>
      <c r="G31" t="s">
        <v>29</v>
      </c>
      <c r="H31">
        <v>3</v>
      </c>
      <c r="I31" t="s">
        <v>66</v>
      </c>
      <c r="J31" t="s">
        <v>173</v>
      </c>
      <c r="K31" t="s">
        <v>174</v>
      </c>
      <c r="M31" s="4" t="s">
        <v>43</v>
      </c>
      <c r="N31" t="s">
        <v>95</v>
      </c>
      <c r="P31" s="3" t="s">
        <v>36</v>
      </c>
      <c r="Q31" s="3" t="s">
        <v>175</v>
      </c>
      <c r="R31">
        <v>2</v>
      </c>
      <c r="S31" s="5">
        <v>45924</v>
      </c>
      <c r="T31" t="s">
        <v>38</v>
      </c>
      <c r="U31">
        <f t="shared" ca="1" si="0"/>
        <v>9</v>
      </c>
      <c r="V31" s="6">
        <f t="shared" ca="1" si="1"/>
        <v>46011</v>
      </c>
      <c r="W31" s="6">
        <f t="shared" ca="1" si="2"/>
        <v>46017</v>
      </c>
      <c r="X31" t="str">
        <f t="shared" ca="1" si="3"/>
        <v>Dec 20 to Dec 26</v>
      </c>
      <c r="Y31" t="str">
        <f t="shared" ca="1" si="4"/>
        <v>🔵 NEXT 2 WEEKS</v>
      </c>
      <c r="Z31" t="str">
        <f t="shared" ca="1" si="5"/>
        <v>Send reminder SMS</v>
      </c>
    </row>
    <row r="32" spans="1:26">
      <c r="A32">
        <v>1000832533</v>
      </c>
      <c r="B32" s="3" t="s">
        <v>176</v>
      </c>
      <c r="C32">
        <v>71</v>
      </c>
      <c r="D32" t="s">
        <v>27</v>
      </c>
      <c r="E32" t="s">
        <v>28</v>
      </c>
      <c r="F32" t="s">
        <v>29</v>
      </c>
      <c r="G32" t="s">
        <v>29</v>
      </c>
      <c r="H32">
        <v>7</v>
      </c>
      <c r="I32" t="s">
        <v>30</v>
      </c>
      <c r="J32" t="s">
        <v>177</v>
      </c>
      <c r="K32" t="s">
        <v>178</v>
      </c>
      <c r="M32" s="4" t="s">
        <v>94</v>
      </c>
      <c r="N32" t="s">
        <v>35</v>
      </c>
      <c r="P32" s="3" t="s">
        <v>36</v>
      </c>
      <c r="Q32" s="3" t="s">
        <v>90</v>
      </c>
      <c r="R32">
        <v>1</v>
      </c>
      <c r="S32" s="5">
        <v>45959</v>
      </c>
      <c r="T32" t="s">
        <v>38</v>
      </c>
      <c r="U32">
        <f t="shared" ca="1" si="0"/>
        <v>14</v>
      </c>
      <c r="V32" s="6">
        <f t="shared" ca="1" si="1"/>
        <v>46016</v>
      </c>
      <c r="W32" s="6">
        <f t="shared" ca="1" si="2"/>
        <v>46022</v>
      </c>
      <c r="X32" t="str">
        <f t="shared" ca="1" si="3"/>
        <v>Dec 25 to Dec 31</v>
      </c>
      <c r="Y32" t="str">
        <f t="shared" ca="1" si="4"/>
        <v>🔵 NEXT 2 WEEKS</v>
      </c>
      <c r="Z32" t="str">
        <f t="shared" ca="1" si="5"/>
        <v>Send reminder SMS</v>
      </c>
    </row>
    <row r="33" spans="1:26">
      <c r="A33">
        <v>1000848612</v>
      </c>
      <c r="B33" s="3" t="s">
        <v>179</v>
      </c>
      <c r="C33">
        <v>67</v>
      </c>
      <c r="D33" t="s">
        <v>47</v>
      </c>
      <c r="E33" t="s">
        <v>29</v>
      </c>
      <c r="F33" t="s">
        <v>28</v>
      </c>
      <c r="G33" t="s">
        <v>29</v>
      </c>
      <c r="H33">
        <v>5</v>
      </c>
      <c r="I33" t="s">
        <v>30</v>
      </c>
      <c r="J33" t="s">
        <v>180</v>
      </c>
      <c r="K33" t="s">
        <v>181</v>
      </c>
      <c r="L33" t="s">
        <v>170</v>
      </c>
      <c r="M33" s="4" t="s">
        <v>43</v>
      </c>
      <c r="N33" t="s">
        <v>182</v>
      </c>
      <c r="P33" s="3" t="s">
        <v>36</v>
      </c>
      <c r="Q33" s="3" t="s">
        <v>45</v>
      </c>
      <c r="R33">
        <v>1</v>
      </c>
      <c r="S33" s="5">
        <v>45913</v>
      </c>
      <c r="T33" t="s">
        <v>38</v>
      </c>
      <c r="U33">
        <f t="shared" ca="1" si="0"/>
        <v>28</v>
      </c>
      <c r="V33" s="6">
        <f t="shared" ca="1" si="1"/>
        <v>46030</v>
      </c>
      <c r="W33" s="6">
        <f t="shared" ca="1" si="2"/>
        <v>46036</v>
      </c>
      <c r="X33" t="str">
        <f t="shared" ca="1" si="3"/>
        <v>Jan 8 to Jan 14</v>
      </c>
      <c r="Y33" t="str">
        <f t="shared" ca="1" si="4"/>
        <v>⚪ SCHEDULED</v>
      </c>
      <c r="Z33" t="str">
        <f t="shared" ca="1" si="5"/>
        <v>No action needed yet</v>
      </c>
    </row>
    <row r="34" spans="1:26">
      <c r="A34">
        <v>1000856946</v>
      </c>
      <c r="B34" s="3" t="s">
        <v>183</v>
      </c>
      <c r="C34">
        <v>62</v>
      </c>
      <c r="D34" t="s">
        <v>27</v>
      </c>
      <c r="E34" t="s">
        <v>28</v>
      </c>
      <c r="F34" t="s">
        <v>29</v>
      </c>
      <c r="G34" t="s">
        <v>28</v>
      </c>
      <c r="H34">
        <v>5</v>
      </c>
      <c r="I34" t="s">
        <v>30</v>
      </c>
      <c r="J34" t="s">
        <v>184</v>
      </c>
      <c r="K34" t="s">
        <v>185</v>
      </c>
      <c r="L34" t="s">
        <v>186</v>
      </c>
      <c r="M34" s="4" t="s">
        <v>43</v>
      </c>
      <c r="N34" t="s">
        <v>64</v>
      </c>
      <c r="P34" s="3" t="s">
        <v>36</v>
      </c>
      <c r="Q34" s="3" t="s">
        <v>84</v>
      </c>
      <c r="R34">
        <v>1</v>
      </c>
      <c r="S34" s="5">
        <v>45857</v>
      </c>
      <c r="T34" t="s">
        <v>38</v>
      </c>
      <c r="U34">
        <f t="shared" ca="1" si="0"/>
        <v>2</v>
      </c>
      <c r="V34" s="6">
        <f t="shared" ca="1" si="1"/>
        <v>46004</v>
      </c>
      <c r="W34" s="6">
        <f t="shared" ca="1" si="2"/>
        <v>46010</v>
      </c>
      <c r="X34" t="str">
        <f t="shared" ca="1" si="3"/>
        <v>Dec 13 to Dec 19</v>
      </c>
      <c r="Y34" t="str">
        <f t="shared" ca="1" si="4"/>
        <v>🟡 IMMINENT (within 3 days)</v>
      </c>
      <c r="Z34" t="str">
        <f t="shared" ca="1" si="5"/>
        <v>Prepare medications TODAY</v>
      </c>
    </row>
    <row r="35" spans="1:26">
      <c r="A35">
        <v>1000920601</v>
      </c>
      <c r="B35" s="3" t="s">
        <v>187</v>
      </c>
      <c r="C35">
        <v>46</v>
      </c>
      <c r="D35" t="s">
        <v>47</v>
      </c>
      <c r="E35" t="s">
        <v>29</v>
      </c>
      <c r="F35" t="s">
        <v>29</v>
      </c>
      <c r="G35" t="s">
        <v>29</v>
      </c>
      <c r="H35">
        <v>5</v>
      </c>
      <c r="I35" t="s">
        <v>30</v>
      </c>
      <c r="J35" t="s">
        <v>188</v>
      </c>
      <c r="K35" t="s">
        <v>189</v>
      </c>
      <c r="L35" t="s">
        <v>88</v>
      </c>
      <c r="M35" s="4" t="s">
        <v>94</v>
      </c>
      <c r="N35" t="s">
        <v>89</v>
      </c>
      <c r="P35" s="3" t="s">
        <v>36</v>
      </c>
      <c r="Q35" s="3" t="s">
        <v>107</v>
      </c>
      <c r="R35">
        <v>2</v>
      </c>
      <c r="S35" s="5">
        <v>45946</v>
      </c>
      <c r="T35" t="s">
        <v>38</v>
      </c>
      <c r="U35">
        <f t="shared" ca="1" si="0"/>
        <v>1</v>
      </c>
      <c r="V35" s="6">
        <f t="shared" ca="1" si="1"/>
        <v>46003</v>
      </c>
      <c r="W35" s="6">
        <f t="shared" ca="1" si="2"/>
        <v>46009</v>
      </c>
      <c r="X35" t="str">
        <f t="shared" ca="1" si="3"/>
        <v>Dec 12 to Dec 18</v>
      </c>
      <c r="Y35" t="str">
        <f t="shared" ca="1" si="4"/>
        <v>🟡 IMMINENT (within 3 days)</v>
      </c>
      <c r="Z35" t="str">
        <f t="shared" ca="1" si="5"/>
        <v>Prepare medications TODAY</v>
      </c>
    </row>
    <row r="36" spans="1:26">
      <c r="A36">
        <v>1000924009</v>
      </c>
      <c r="B36" s="3" t="s">
        <v>190</v>
      </c>
      <c r="C36">
        <v>68</v>
      </c>
      <c r="D36" t="s">
        <v>47</v>
      </c>
      <c r="E36" t="s">
        <v>29</v>
      </c>
      <c r="F36" t="s">
        <v>29</v>
      </c>
      <c r="G36" t="s">
        <v>28</v>
      </c>
      <c r="H36">
        <v>6</v>
      </c>
      <c r="I36" t="s">
        <v>30</v>
      </c>
      <c r="J36" t="s">
        <v>191</v>
      </c>
      <c r="K36" t="s">
        <v>192</v>
      </c>
      <c r="L36" t="s">
        <v>193</v>
      </c>
      <c r="M36" s="4" t="s">
        <v>34</v>
      </c>
      <c r="N36" t="s">
        <v>131</v>
      </c>
      <c r="P36" s="3" t="s">
        <v>36</v>
      </c>
      <c r="Q36" s="3" t="s">
        <v>107</v>
      </c>
      <c r="R36">
        <v>1</v>
      </c>
      <c r="S36" s="5">
        <v>45832</v>
      </c>
      <c r="T36" t="s">
        <v>38</v>
      </c>
      <c r="U36">
        <f t="shared" ca="1" si="0"/>
        <v>7</v>
      </c>
      <c r="V36" s="6">
        <f t="shared" ca="1" si="1"/>
        <v>46009</v>
      </c>
      <c r="W36" s="6">
        <f t="shared" ca="1" si="2"/>
        <v>46015</v>
      </c>
      <c r="X36" t="str">
        <f t="shared" ca="1" si="3"/>
        <v>Dec 18 to Dec 24</v>
      </c>
      <c r="Y36" t="str">
        <f t="shared" ca="1" si="4"/>
        <v>🟢 THIS WEEK</v>
      </c>
      <c r="Z36" t="str">
        <f t="shared" ca="1" si="5"/>
        <v>Confirm appointment</v>
      </c>
    </row>
    <row r="37" spans="1:26">
      <c r="A37">
        <v>1000996601</v>
      </c>
      <c r="B37" s="3" t="s">
        <v>194</v>
      </c>
      <c r="C37">
        <v>65</v>
      </c>
      <c r="D37" t="s">
        <v>27</v>
      </c>
      <c r="E37" t="s">
        <v>29</v>
      </c>
      <c r="F37" t="s">
        <v>29</v>
      </c>
      <c r="G37" t="s">
        <v>29</v>
      </c>
      <c r="H37">
        <v>6</v>
      </c>
      <c r="I37" t="s">
        <v>30</v>
      </c>
      <c r="J37" t="s">
        <v>195</v>
      </c>
      <c r="K37" t="s">
        <v>196</v>
      </c>
      <c r="M37" s="4" t="s">
        <v>43</v>
      </c>
      <c r="N37" t="s">
        <v>44</v>
      </c>
      <c r="P37" s="3" t="s">
        <v>36</v>
      </c>
      <c r="Q37" s="3" t="s">
        <v>107</v>
      </c>
      <c r="R37">
        <v>1</v>
      </c>
      <c r="S37" s="5">
        <v>45917</v>
      </c>
      <c r="T37" t="s">
        <v>38</v>
      </c>
      <c r="U37">
        <f t="shared" ca="1" si="0"/>
        <v>2</v>
      </c>
      <c r="V37" s="6">
        <f t="shared" ca="1" si="1"/>
        <v>46004</v>
      </c>
      <c r="W37" s="6">
        <f t="shared" ca="1" si="2"/>
        <v>46010</v>
      </c>
      <c r="X37" t="str">
        <f t="shared" ca="1" si="3"/>
        <v>Dec 13 to Dec 19</v>
      </c>
      <c r="Y37" t="str">
        <f t="shared" ca="1" si="4"/>
        <v>🟡 IMMINENT (within 3 days)</v>
      </c>
      <c r="Z37" t="str">
        <f t="shared" ca="1" si="5"/>
        <v>Prepare medications TODAY</v>
      </c>
    </row>
    <row r="38" spans="1:26">
      <c r="A38">
        <v>1001182011</v>
      </c>
      <c r="B38" s="3" t="s">
        <v>197</v>
      </c>
      <c r="C38">
        <v>68</v>
      </c>
      <c r="D38" t="s">
        <v>27</v>
      </c>
      <c r="E38" t="s">
        <v>29</v>
      </c>
      <c r="F38" t="s">
        <v>29</v>
      </c>
      <c r="G38" t="s">
        <v>29</v>
      </c>
      <c r="H38">
        <v>7</v>
      </c>
      <c r="I38" t="s">
        <v>30</v>
      </c>
      <c r="J38" t="s">
        <v>198</v>
      </c>
      <c r="K38" t="s">
        <v>199</v>
      </c>
      <c r="L38" t="s">
        <v>200</v>
      </c>
      <c r="M38" s="4" t="s">
        <v>34</v>
      </c>
      <c r="N38" t="s">
        <v>201</v>
      </c>
      <c r="P38" s="3" t="s">
        <v>36</v>
      </c>
      <c r="Q38" s="3" t="s">
        <v>107</v>
      </c>
      <c r="R38">
        <v>1</v>
      </c>
      <c r="S38" s="5">
        <v>45535</v>
      </c>
      <c r="T38" t="s">
        <v>38</v>
      </c>
      <c r="U38">
        <f t="shared" ca="1" si="0"/>
        <v>10</v>
      </c>
      <c r="V38" s="6">
        <f t="shared" ca="1" si="1"/>
        <v>46012</v>
      </c>
      <c r="W38" s="6">
        <f t="shared" ca="1" si="2"/>
        <v>46018</v>
      </c>
      <c r="X38" t="str">
        <f t="shared" ca="1" si="3"/>
        <v>Dec 21 to Dec 27</v>
      </c>
      <c r="Y38" t="str">
        <f t="shared" ca="1" si="4"/>
        <v>🔵 NEXT 2 WEEKS</v>
      </c>
      <c r="Z38" t="str">
        <f t="shared" ca="1" si="5"/>
        <v>Send reminder SMS</v>
      </c>
    </row>
    <row r="39" spans="1:26">
      <c r="A39">
        <v>1001285426</v>
      </c>
      <c r="B39" s="3" t="s">
        <v>202</v>
      </c>
      <c r="C39">
        <v>59</v>
      </c>
      <c r="D39" t="s">
        <v>47</v>
      </c>
      <c r="E39" t="s">
        <v>29</v>
      </c>
      <c r="F39" t="s">
        <v>29</v>
      </c>
      <c r="G39" t="s">
        <v>28</v>
      </c>
      <c r="H39">
        <v>5</v>
      </c>
      <c r="I39" t="s">
        <v>30</v>
      </c>
      <c r="J39" t="s">
        <v>203</v>
      </c>
      <c r="K39" t="s">
        <v>204</v>
      </c>
      <c r="L39" t="s">
        <v>75</v>
      </c>
      <c r="M39" s="4" t="s">
        <v>43</v>
      </c>
      <c r="N39" t="s">
        <v>119</v>
      </c>
      <c r="P39" s="3" t="s">
        <v>36</v>
      </c>
      <c r="Q39" t="s">
        <v>54</v>
      </c>
      <c r="R39">
        <v>1</v>
      </c>
      <c r="S39" s="5">
        <v>45854</v>
      </c>
      <c r="T39" t="s">
        <v>38</v>
      </c>
      <c r="U39">
        <f t="shared" ca="1" si="0"/>
        <v>29</v>
      </c>
      <c r="V39" s="6">
        <f t="shared" ca="1" si="1"/>
        <v>46031</v>
      </c>
      <c r="W39" s="6">
        <f t="shared" ca="1" si="2"/>
        <v>46037</v>
      </c>
      <c r="X39" t="str">
        <f t="shared" ca="1" si="3"/>
        <v>Jan 9 to Jan 15</v>
      </c>
      <c r="Y39" t="str">
        <f t="shared" ca="1" si="4"/>
        <v>⚪ SCHEDULED</v>
      </c>
      <c r="Z39" t="str">
        <f t="shared" ca="1" si="5"/>
        <v>No action needed yet</v>
      </c>
    </row>
    <row r="40" spans="1:26">
      <c r="A40">
        <v>1001286754</v>
      </c>
      <c r="B40" s="3" t="s">
        <v>205</v>
      </c>
      <c r="C40">
        <v>57</v>
      </c>
      <c r="D40" t="s">
        <v>27</v>
      </c>
      <c r="E40" t="s">
        <v>28</v>
      </c>
      <c r="F40" t="s">
        <v>29</v>
      </c>
      <c r="G40" t="s">
        <v>29</v>
      </c>
      <c r="H40">
        <v>5</v>
      </c>
      <c r="I40" t="s">
        <v>30</v>
      </c>
      <c r="J40" t="s">
        <v>206</v>
      </c>
      <c r="K40" t="s">
        <v>207</v>
      </c>
      <c r="L40" t="s">
        <v>208</v>
      </c>
      <c r="M40" s="4" t="s">
        <v>34</v>
      </c>
      <c r="N40" t="s">
        <v>209</v>
      </c>
      <c r="P40" s="3" t="s">
        <v>36</v>
      </c>
      <c r="Q40" s="3" t="s">
        <v>84</v>
      </c>
      <c r="R40">
        <v>1</v>
      </c>
      <c r="S40" s="5">
        <v>45815</v>
      </c>
      <c r="T40" t="s">
        <v>38</v>
      </c>
      <c r="U40">
        <f t="shared" ca="1" si="0"/>
        <v>20</v>
      </c>
      <c r="V40" s="6">
        <f t="shared" ca="1" si="1"/>
        <v>46022</v>
      </c>
      <c r="W40" s="6">
        <f t="shared" ca="1" si="2"/>
        <v>46028</v>
      </c>
      <c r="X40" t="str">
        <f t="shared" ca="1" si="3"/>
        <v>Dec 31 to Jan 6</v>
      </c>
      <c r="Y40" t="str">
        <f t="shared" ca="1" si="4"/>
        <v>⚪ SCHEDULED</v>
      </c>
      <c r="Z40" t="str">
        <f t="shared" ca="1" si="5"/>
        <v>No action needed yet</v>
      </c>
    </row>
    <row r="41" spans="1:26">
      <c r="A41">
        <v>1001448321</v>
      </c>
      <c r="B41" s="3" t="s">
        <v>210</v>
      </c>
      <c r="C41">
        <v>64</v>
      </c>
      <c r="D41" t="s">
        <v>47</v>
      </c>
      <c r="E41" t="s">
        <v>29</v>
      </c>
      <c r="F41" t="s">
        <v>28</v>
      </c>
      <c r="G41" t="s">
        <v>29</v>
      </c>
      <c r="H41">
        <v>5</v>
      </c>
      <c r="I41" t="s">
        <v>30</v>
      </c>
      <c r="J41" t="s">
        <v>211</v>
      </c>
      <c r="K41" t="s">
        <v>212</v>
      </c>
      <c r="L41" t="s">
        <v>213</v>
      </c>
      <c r="M41" s="4" t="s">
        <v>43</v>
      </c>
      <c r="N41" t="s">
        <v>51</v>
      </c>
      <c r="P41" s="3" t="s">
        <v>36</v>
      </c>
      <c r="Q41" s="3" t="s">
        <v>107</v>
      </c>
      <c r="R41">
        <v>2</v>
      </c>
      <c r="S41" s="5">
        <v>45876</v>
      </c>
      <c r="T41" t="s">
        <v>38</v>
      </c>
      <c r="U41">
        <f t="shared" ca="1" si="0"/>
        <v>21</v>
      </c>
      <c r="V41" s="6">
        <f t="shared" ca="1" si="1"/>
        <v>46023</v>
      </c>
      <c r="W41" s="6">
        <f t="shared" ca="1" si="2"/>
        <v>46029</v>
      </c>
      <c r="X41" t="str">
        <f t="shared" ca="1" si="3"/>
        <v>Jan 1 to Jan 7</v>
      </c>
      <c r="Y41" t="str">
        <f t="shared" ca="1" si="4"/>
        <v>⚪ SCHEDULED</v>
      </c>
      <c r="Z41" t="str">
        <f t="shared" ca="1" si="5"/>
        <v>No action needed yet</v>
      </c>
    </row>
    <row r="42" spans="1:26">
      <c r="A42">
        <v>1001479425</v>
      </c>
      <c r="B42" s="3" t="s">
        <v>214</v>
      </c>
      <c r="C42">
        <v>77</v>
      </c>
      <c r="D42" t="s">
        <v>27</v>
      </c>
      <c r="E42" t="s">
        <v>29</v>
      </c>
      <c r="F42" t="s">
        <v>29</v>
      </c>
      <c r="G42" t="s">
        <v>29</v>
      </c>
      <c r="H42">
        <v>7</v>
      </c>
      <c r="I42" t="s">
        <v>30</v>
      </c>
      <c r="J42" t="s">
        <v>215</v>
      </c>
      <c r="K42" t="s">
        <v>216</v>
      </c>
      <c r="L42" t="s">
        <v>217</v>
      </c>
      <c r="M42" s="4" t="s">
        <v>34</v>
      </c>
      <c r="N42" t="s">
        <v>76</v>
      </c>
      <c r="P42" s="3" t="s">
        <v>36</v>
      </c>
      <c r="Q42" s="3" t="s">
        <v>90</v>
      </c>
      <c r="R42">
        <v>1</v>
      </c>
      <c r="S42" s="5">
        <v>45745</v>
      </c>
      <c r="T42" t="s">
        <v>38</v>
      </c>
      <c r="U42">
        <f t="shared" ca="1" si="0"/>
        <v>10</v>
      </c>
      <c r="V42" s="6">
        <f t="shared" ca="1" si="1"/>
        <v>46012</v>
      </c>
      <c r="W42" s="6">
        <f t="shared" ca="1" si="2"/>
        <v>46018</v>
      </c>
      <c r="X42" t="str">
        <f t="shared" ca="1" si="3"/>
        <v>Dec 21 to Dec 27</v>
      </c>
      <c r="Y42" t="str">
        <f t="shared" ca="1" si="4"/>
        <v>🔵 NEXT 2 WEEKS</v>
      </c>
      <c r="Z42" t="str">
        <f t="shared" ca="1" si="5"/>
        <v>Send reminder SMS</v>
      </c>
    </row>
    <row r="43" spans="1:26">
      <c r="A43">
        <v>1001489655</v>
      </c>
      <c r="B43" s="3" t="s">
        <v>218</v>
      </c>
      <c r="C43">
        <v>60</v>
      </c>
      <c r="D43" t="s">
        <v>27</v>
      </c>
      <c r="E43" t="s">
        <v>29</v>
      </c>
      <c r="F43" t="s">
        <v>28</v>
      </c>
      <c r="G43" t="s">
        <v>28</v>
      </c>
      <c r="H43">
        <v>4</v>
      </c>
      <c r="I43" t="s">
        <v>66</v>
      </c>
      <c r="J43" t="s">
        <v>219</v>
      </c>
      <c r="K43" t="s">
        <v>220</v>
      </c>
      <c r="L43" t="s">
        <v>221</v>
      </c>
      <c r="M43" s="4" t="s">
        <v>34</v>
      </c>
      <c r="N43" t="s">
        <v>162</v>
      </c>
      <c r="P43" s="3" t="s">
        <v>36</v>
      </c>
      <c r="Q43" s="3" t="s">
        <v>45</v>
      </c>
      <c r="R43">
        <v>1</v>
      </c>
      <c r="S43" s="5">
        <v>45482</v>
      </c>
      <c r="T43" t="s">
        <v>38</v>
      </c>
      <c r="U43">
        <f t="shared" ca="1" si="0"/>
        <v>17</v>
      </c>
      <c r="V43" s="6">
        <f t="shared" ca="1" si="1"/>
        <v>46019</v>
      </c>
      <c r="W43" s="6">
        <f t="shared" ca="1" si="2"/>
        <v>46025</v>
      </c>
      <c r="X43" t="str">
        <f t="shared" ca="1" si="3"/>
        <v>Dec 28 to Jan 3</v>
      </c>
      <c r="Y43" t="str">
        <f t="shared" ca="1" si="4"/>
        <v>⚪ SCHEDULED</v>
      </c>
      <c r="Z43" t="str">
        <f t="shared" ca="1" si="5"/>
        <v>No action needed yet</v>
      </c>
    </row>
    <row r="44" spans="1:26">
      <c r="A44">
        <v>1001546603</v>
      </c>
      <c r="B44" s="3" t="s">
        <v>222</v>
      </c>
      <c r="C44">
        <v>48</v>
      </c>
      <c r="D44" t="s">
        <v>27</v>
      </c>
      <c r="E44" t="s">
        <v>28</v>
      </c>
      <c r="F44" t="s">
        <v>29</v>
      </c>
      <c r="G44" t="s">
        <v>29</v>
      </c>
      <c r="H44">
        <v>4</v>
      </c>
      <c r="I44" t="s">
        <v>66</v>
      </c>
      <c r="J44" t="s">
        <v>146</v>
      </c>
      <c r="K44" t="s">
        <v>223</v>
      </c>
      <c r="M44" s="4" t="s">
        <v>94</v>
      </c>
      <c r="N44" t="s">
        <v>35</v>
      </c>
      <c r="P44" s="3" t="s">
        <v>36</v>
      </c>
      <c r="Q44" s="3" t="s">
        <v>45</v>
      </c>
      <c r="R44">
        <v>1</v>
      </c>
      <c r="S44" s="5">
        <v>45958</v>
      </c>
      <c r="T44" t="s">
        <v>38</v>
      </c>
      <c r="U44">
        <f t="shared" ca="1" si="0"/>
        <v>13</v>
      </c>
      <c r="V44" s="6">
        <f t="shared" ca="1" si="1"/>
        <v>46015</v>
      </c>
      <c r="W44" s="6">
        <f t="shared" ca="1" si="2"/>
        <v>46021</v>
      </c>
      <c r="X44" t="str">
        <f t="shared" ca="1" si="3"/>
        <v>Dec 24 to Dec 30</v>
      </c>
      <c r="Y44" t="str">
        <f t="shared" ca="1" si="4"/>
        <v>🔵 NEXT 2 WEEKS</v>
      </c>
      <c r="Z44" t="str">
        <f t="shared" ca="1" si="5"/>
        <v>Send reminder SMS</v>
      </c>
    </row>
    <row r="45" spans="1:26">
      <c r="A45">
        <v>1001566650</v>
      </c>
      <c r="B45" s="3" t="s">
        <v>224</v>
      </c>
      <c r="C45">
        <v>80</v>
      </c>
      <c r="D45" t="s">
        <v>47</v>
      </c>
      <c r="E45" t="s">
        <v>29</v>
      </c>
      <c r="F45" t="s">
        <v>28</v>
      </c>
      <c r="G45" t="s">
        <v>28</v>
      </c>
      <c r="H45">
        <v>6</v>
      </c>
      <c r="I45" t="s">
        <v>30</v>
      </c>
      <c r="J45" t="s">
        <v>225</v>
      </c>
      <c r="K45" t="s">
        <v>226</v>
      </c>
      <c r="L45" t="s">
        <v>170</v>
      </c>
      <c r="M45" s="4" t="s">
        <v>43</v>
      </c>
      <c r="N45" t="s">
        <v>162</v>
      </c>
      <c r="P45" s="3" t="s">
        <v>36</v>
      </c>
      <c r="Q45" s="3" t="s">
        <v>123</v>
      </c>
      <c r="R45">
        <v>2</v>
      </c>
      <c r="S45" s="5">
        <v>45857</v>
      </c>
      <c r="T45" t="s">
        <v>38</v>
      </c>
      <c r="U45">
        <f t="shared" ca="1" si="0"/>
        <v>2</v>
      </c>
      <c r="V45" s="6">
        <f t="shared" ca="1" si="1"/>
        <v>46004</v>
      </c>
      <c r="W45" s="6">
        <f t="shared" ca="1" si="2"/>
        <v>46010</v>
      </c>
      <c r="X45" t="str">
        <f t="shared" ca="1" si="3"/>
        <v>Dec 13 to Dec 19</v>
      </c>
      <c r="Y45" t="str">
        <f t="shared" ca="1" si="4"/>
        <v>🟡 IMMINENT (within 3 days)</v>
      </c>
      <c r="Z45" t="str">
        <f t="shared" ca="1" si="5"/>
        <v>Prepare medications TODAY</v>
      </c>
    </row>
    <row r="46" spans="1:26">
      <c r="A46">
        <v>1001566700</v>
      </c>
      <c r="B46" s="3" t="s">
        <v>227</v>
      </c>
      <c r="C46">
        <v>45</v>
      </c>
      <c r="D46" t="s">
        <v>47</v>
      </c>
      <c r="E46" t="s">
        <v>29</v>
      </c>
      <c r="F46" t="s">
        <v>29</v>
      </c>
      <c r="G46" t="s">
        <v>28</v>
      </c>
      <c r="H46">
        <v>3</v>
      </c>
      <c r="I46" t="s">
        <v>66</v>
      </c>
      <c r="J46" t="s">
        <v>228</v>
      </c>
      <c r="K46" t="s">
        <v>229</v>
      </c>
      <c r="L46" t="s">
        <v>105</v>
      </c>
      <c r="M46" s="4" t="s">
        <v>43</v>
      </c>
      <c r="N46" t="s">
        <v>106</v>
      </c>
      <c r="P46" s="3" t="s">
        <v>36</v>
      </c>
      <c r="Q46" s="3" t="s">
        <v>230</v>
      </c>
      <c r="R46">
        <v>1</v>
      </c>
      <c r="S46" s="5">
        <v>45930</v>
      </c>
      <c r="T46" t="s">
        <v>38</v>
      </c>
      <c r="U46">
        <f t="shared" ca="1" si="0"/>
        <v>15</v>
      </c>
      <c r="V46" s="6">
        <f t="shared" ca="1" si="1"/>
        <v>46017</v>
      </c>
      <c r="W46" s="6">
        <f t="shared" ca="1" si="2"/>
        <v>46023</v>
      </c>
      <c r="X46" t="str">
        <f t="shared" ca="1" si="3"/>
        <v>Dec 26 to Jan 1</v>
      </c>
      <c r="Y46" t="str">
        <f t="shared" ca="1" si="4"/>
        <v>⚪ SCHEDULED</v>
      </c>
      <c r="Z46" t="str">
        <f t="shared" ca="1" si="5"/>
        <v>No action needed yet</v>
      </c>
    </row>
    <row r="47" spans="1:26">
      <c r="A47">
        <v>1001576485</v>
      </c>
      <c r="B47" s="3" t="s">
        <v>231</v>
      </c>
      <c r="C47">
        <v>68</v>
      </c>
      <c r="D47" t="s">
        <v>27</v>
      </c>
      <c r="E47" t="s">
        <v>29</v>
      </c>
      <c r="F47" t="s">
        <v>28</v>
      </c>
      <c r="G47" t="s">
        <v>29</v>
      </c>
      <c r="H47">
        <v>5</v>
      </c>
      <c r="I47" t="s">
        <v>30</v>
      </c>
      <c r="J47" t="s">
        <v>232</v>
      </c>
      <c r="K47" t="s">
        <v>233</v>
      </c>
      <c r="L47" t="s">
        <v>234</v>
      </c>
      <c r="M47" s="4" t="s">
        <v>34</v>
      </c>
      <c r="N47" t="s">
        <v>51</v>
      </c>
      <c r="P47" s="3" t="s">
        <v>36</v>
      </c>
      <c r="Q47" s="3" t="s">
        <v>230</v>
      </c>
      <c r="R47">
        <v>1</v>
      </c>
      <c r="S47" s="5">
        <v>45714</v>
      </c>
      <c r="T47" t="s">
        <v>38</v>
      </c>
      <c r="U47">
        <f t="shared" ca="1" si="0"/>
        <v>9</v>
      </c>
      <c r="V47" s="6">
        <f t="shared" ca="1" si="1"/>
        <v>46011</v>
      </c>
      <c r="W47" s="6">
        <f t="shared" ca="1" si="2"/>
        <v>46017</v>
      </c>
      <c r="X47" t="str">
        <f t="shared" ca="1" si="3"/>
        <v>Dec 20 to Dec 26</v>
      </c>
      <c r="Y47" t="str">
        <f t="shared" ca="1" si="4"/>
        <v>🔵 NEXT 2 WEEKS</v>
      </c>
      <c r="Z47" t="str">
        <f t="shared" ca="1" si="5"/>
        <v>Send reminder SMS</v>
      </c>
    </row>
    <row r="48" spans="1:26">
      <c r="A48">
        <v>1001746047</v>
      </c>
      <c r="B48" s="3" t="s">
        <v>235</v>
      </c>
      <c r="C48">
        <v>59</v>
      </c>
      <c r="D48" t="s">
        <v>47</v>
      </c>
      <c r="E48" t="s">
        <v>29</v>
      </c>
      <c r="F48" t="s">
        <v>28</v>
      </c>
      <c r="G48" t="s">
        <v>29</v>
      </c>
      <c r="H48">
        <v>4</v>
      </c>
      <c r="I48" t="s">
        <v>66</v>
      </c>
      <c r="J48" t="s">
        <v>236</v>
      </c>
      <c r="K48" t="s">
        <v>237</v>
      </c>
      <c r="M48" s="4" t="s">
        <v>34</v>
      </c>
      <c r="N48" t="s">
        <v>95</v>
      </c>
      <c r="P48" s="3" t="s">
        <v>36</v>
      </c>
      <c r="Q48" s="3" t="s">
        <v>77</v>
      </c>
      <c r="R48">
        <v>1</v>
      </c>
      <c r="S48" s="5">
        <v>45792</v>
      </c>
      <c r="T48" t="s">
        <v>38</v>
      </c>
      <c r="U48">
        <f t="shared" ca="1" si="0"/>
        <v>27</v>
      </c>
      <c r="V48" s="6">
        <f t="shared" ca="1" si="1"/>
        <v>46029</v>
      </c>
      <c r="W48" s="6">
        <f t="shared" ca="1" si="2"/>
        <v>46035</v>
      </c>
      <c r="X48" t="str">
        <f t="shared" ca="1" si="3"/>
        <v>Jan 7 to Jan 13</v>
      </c>
      <c r="Y48" t="str">
        <f t="shared" ca="1" si="4"/>
        <v>⚪ SCHEDULED</v>
      </c>
      <c r="Z48" t="str">
        <f t="shared" ca="1" si="5"/>
        <v>No action needed yet</v>
      </c>
    </row>
    <row r="49" spans="1:26">
      <c r="A49">
        <v>1001746815</v>
      </c>
      <c r="B49" s="3" t="s">
        <v>238</v>
      </c>
      <c r="C49">
        <v>52</v>
      </c>
      <c r="D49" t="s">
        <v>47</v>
      </c>
      <c r="E49" t="s">
        <v>29</v>
      </c>
      <c r="F49" t="s">
        <v>29</v>
      </c>
      <c r="G49" t="s">
        <v>28</v>
      </c>
      <c r="H49">
        <v>5</v>
      </c>
      <c r="I49" t="s">
        <v>30</v>
      </c>
      <c r="J49" t="s">
        <v>239</v>
      </c>
      <c r="K49" t="s">
        <v>240</v>
      </c>
      <c r="L49" t="s">
        <v>234</v>
      </c>
      <c r="M49" s="4" t="s">
        <v>94</v>
      </c>
      <c r="N49" t="s">
        <v>106</v>
      </c>
      <c r="P49" s="3" t="s">
        <v>36</v>
      </c>
      <c r="Q49" s="3" t="s">
        <v>45</v>
      </c>
      <c r="R49">
        <v>1</v>
      </c>
      <c r="S49" s="5">
        <v>45949</v>
      </c>
      <c r="T49" t="s">
        <v>38</v>
      </c>
      <c r="U49">
        <f t="shared" ca="1" si="0"/>
        <v>4</v>
      </c>
      <c r="V49" s="6">
        <f t="shared" ca="1" si="1"/>
        <v>46006</v>
      </c>
      <c r="W49" s="6">
        <f t="shared" ca="1" si="2"/>
        <v>46012</v>
      </c>
      <c r="X49" t="str">
        <f t="shared" ca="1" si="3"/>
        <v>Dec 15 to Dec 21</v>
      </c>
      <c r="Y49" t="str">
        <f t="shared" ca="1" si="4"/>
        <v>🟢 THIS WEEK</v>
      </c>
      <c r="Z49" t="str">
        <f t="shared" ca="1" si="5"/>
        <v>Confirm appointment</v>
      </c>
    </row>
    <row r="50" spans="1:26">
      <c r="A50">
        <v>1001757739</v>
      </c>
      <c r="B50" s="3" t="s">
        <v>241</v>
      </c>
      <c r="C50">
        <v>63</v>
      </c>
      <c r="D50" t="s">
        <v>47</v>
      </c>
      <c r="E50" t="s">
        <v>29</v>
      </c>
      <c r="F50" t="s">
        <v>28</v>
      </c>
      <c r="G50" t="s">
        <v>29</v>
      </c>
      <c r="H50">
        <v>5</v>
      </c>
      <c r="I50" t="s">
        <v>30</v>
      </c>
      <c r="J50" t="s">
        <v>242</v>
      </c>
      <c r="K50" t="s">
        <v>243</v>
      </c>
      <c r="L50" t="s">
        <v>244</v>
      </c>
      <c r="M50" s="4" t="s">
        <v>34</v>
      </c>
      <c r="N50" t="s">
        <v>182</v>
      </c>
      <c r="P50" s="3" t="s">
        <v>36</v>
      </c>
      <c r="Q50" s="3" t="s">
        <v>245</v>
      </c>
      <c r="R50">
        <v>2</v>
      </c>
      <c r="S50" s="5">
        <v>45562</v>
      </c>
      <c r="T50" t="s">
        <v>38</v>
      </c>
      <c r="U50">
        <f t="shared" ca="1" si="0"/>
        <v>7</v>
      </c>
      <c r="V50" s="6">
        <f t="shared" ca="1" si="1"/>
        <v>46009</v>
      </c>
      <c r="W50" s="6">
        <f t="shared" ca="1" si="2"/>
        <v>46015</v>
      </c>
      <c r="X50" t="str">
        <f t="shared" ca="1" si="3"/>
        <v>Dec 18 to Dec 24</v>
      </c>
      <c r="Y50" t="str">
        <f t="shared" ca="1" si="4"/>
        <v>🟢 THIS WEEK</v>
      </c>
      <c r="Z50" t="str">
        <f t="shared" ca="1" si="5"/>
        <v>Confirm appointment</v>
      </c>
    </row>
    <row r="51" spans="1:26">
      <c r="A51">
        <v>1001809027</v>
      </c>
      <c r="B51" s="3" t="s">
        <v>246</v>
      </c>
      <c r="C51">
        <v>62</v>
      </c>
      <c r="D51" t="s">
        <v>27</v>
      </c>
      <c r="E51" t="s">
        <v>29</v>
      </c>
      <c r="F51" t="s">
        <v>29</v>
      </c>
      <c r="G51" t="s">
        <v>29</v>
      </c>
      <c r="H51">
        <v>7</v>
      </c>
      <c r="I51" t="s">
        <v>30</v>
      </c>
      <c r="J51" t="s">
        <v>247</v>
      </c>
      <c r="K51" t="s">
        <v>248</v>
      </c>
      <c r="M51" s="4" t="s">
        <v>43</v>
      </c>
      <c r="N51" t="s">
        <v>44</v>
      </c>
      <c r="P51" s="3" t="s">
        <v>36</v>
      </c>
      <c r="Q51" s="3" t="s">
        <v>123</v>
      </c>
      <c r="R51">
        <v>1</v>
      </c>
      <c r="S51" s="5">
        <v>45891</v>
      </c>
      <c r="T51" t="s">
        <v>38</v>
      </c>
      <c r="U51">
        <f t="shared" ca="1" si="0"/>
        <v>6</v>
      </c>
      <c r="V51" s="6">
        <f t="shared" ca="1" si="1"/>
        <v>46008</v>
      </c>
      <c r="W51" s="6">
        <f t="shared" ca="1" si="2"/>
        <v>46014</v>
      </c>
      <c r="X51" t="str">
        <f t="shared" ca="1" si="3"/>
        <v>Dec 17 to Dec 23</v>
      </c>
      <c r="Y51" t="str">
        <f t="shared" ca="1" si="4"/>
        <v>🟢 THIS WEEK</v>
      </c>
      <c r="Z51" t="str">
        <f t="shared" ca="1" si="5"/>
        <v>Confirm appointment</v>
      </c>
    </row>
    <row r="52" spans="1:26">
      <c r="A52">
        <v>1001852407</v>
      </c>
      <c r="B52" s="3" t="s">
        <v>249</v>
      </c>
      <c r="C52">
        <v>51</v>
      </c>
      <c r="D52" t="s">
        <v>27</v>
      </c>
      <c r="E52" t="s">
        <v>29</v>
      </c>
      <c r="F52" t="s">
        <v>29</v>
      </c>
      <c r="G52" t="s">
        <v>28</v>
      </c>
      <c r="H52">
        <v>5</v>
      </c>
      <c r="I52" t="s">
        <v>30</v>
      </c>
      <c r="J52" t="s">
        <v>250</v>
      </c>
      <c r="K52" t="s">
        <v>251</v>
      </c>
      <c r="L52" t="s">
        <v>58</v>
      </c>
      <c r="M52" s="4" t="s">
        <v>34</v>
      </c>
      <c r="N52" t="s">
        <v>119</v>
      </c>
      <c r="P52" s="3" t="s">
        <v>36</v>
      </c>
      <c r="Q52" s="3" t="s">
        <v>45</v>
      </c>
      <c r="R52">
        <v>1</v>
      </c>
      <c r="S52" s="5">
        <v>45735</v>
      </c>
      <c r="T52" t="s">
        <v>38</v>
      </c>
      <c r="U52">
        <f t="shared" ca="1" si="0"/>
        <v>0</v>
      </c>
      <c r="V52" s="6">
        <f t="shared" ca="1" si="1"/>
        <v>46002</v>
      </c>
      <c r="W52" s="6">
        <f t="shared" ca="1" si="2"/>
        <v>46008</v>
      </c>
      <c r="X52" t="str">
        <f t="shared" ca="1" si="3"/>
        <v>Dec 11 to Dec 17</v>
      </c>
      <c r="Y52" t="str">
        <f t="shared" ca="1" si="4"/>
        <v>🟡 IMMINENT (within 3 days)</v>
      </c>
      <c r="Z52" t="str">
        <f t="shared" ca="1" si="5"/>
        <v>Prepare medications TODAY</v>
      </c>
    </row>
    <row r="53" spans="1:26">
      <c r="A53">
        <v>1001853082</v>
      </c>
      <c r="B53" s="3" t="s">
        <v>252</v>
      </c>
      <c r="C53">
        <v>67</v>
      </c>
      <c r="D53" t="s">
        <v>27</v>
      </c>
      <c r="E53" t="s">
        <v>29</v>
      </c>
      <c r="F53" t="s">
        <v>29</v>
      </c>
      <c r="G53" t="s">
        <v>29</v>
      </c>
      <c r="H53">
        <v>6</v>
      </c>
      <c r="I53" t="s">
        <v>30</v>
      </c>
      <c r="J53" t="s">
        <v>253</v>
      </c>
      <c r="K53" t="s">
        <v>254</v>
      </c>
      <c r="L53" t="s">
        <v>33</v>
      </c>
      <c r="M53" s="4" t="s">
        <v>34</v>
      </c>
      <c r="N53" t="s">
        <v>44</v>
      </c>
      <c r="P53" s="3" t="s">
        <v>36</v>
      </c>
      <c r="Q53" s="3" t="s">
        <v>90</v>
      </c>
      <c r="R53">
        <v>2</v>
      </c>
      <c r="S53" s="5">
        <v>45736</v>
      </c>
      <c r="T53" t="s">
        <v>38</v>
      </c>
      <c r="U53">
        <f t="shared" ca="1" si="0"/>
        <v>1</v>
      </c>
      <c r="V53" s="6">
        <f t="shared" ca="1" si="1"/>
        <v>46003</v>
      </c>
      <c r="W53" s="6">
        <f t="shared" ca="1" si="2"/>
        <v>46009</v>
      </c>
      <c r="X53" t="str">
        <f t="shared" ca="1" si="3"/>
        <v>Dec 12 to Dec 18</v>
      </c>
      <c r="Y53" t="str">
        <f t="shared" ca="1" si="4"/>
        <v>🟡 IMMINENT (within 3 days)</v>
      </c>
      <c r="Z53" t="str">
        <f t="shared" ca="1" si="5"/>
        <v>Prepare medications TODAY</v>
      </c>
    </row>
    <row r="54" spans="1:26">
      <c r="A54">
        <v>1001857984</v>
      </c>
      <c r="B54" s="3" t="s">
        <v>255</v>
      </c>
      <c r="C54">
        <v>57</v>
      </c>
      <c r="D54" t="s">
        <v>27</v>
      </c>
      <c r="E54" t="s">
        <v>29</v>
      </c>
      <c r="F54" t="s">
        <v>29</v>
      </c>
      <c r="G54" t="s">
        <v>29</v>
      </c>
      <c r="H54">
        <v>6</v>
      </c>
      <c r="I54" t="s">
        <v>30</v>
      </c>
      <c r="J54" t="s">
        <v>256</v>
      </c>
      <c r="K54" t="s">
        <v>257</v>
      </c>
      <c r="L54" t="s">
        <v>258</v>
      </c>
      <c r="M54" s="4" t="s">
        <v>34</v>
      </c>
      <c r="N54" t="s">
        <v>201</v>
      </c>
      <c r="P54" s="3" t="s">
        <v>36</v>
      </c>
      <c r="Q54" t="s">
        <v>54</v>
      </c>
      <c r="R54">
        <v>1</v>
      </c>
      <c r="S54" s="5">
        <v>45835</v>
      </c>
      <c r="T54" t="s">
        <v>38</v>
      </c>
      <c r="U54">
        <f t="shared" ca="1" si="0"/>
        <v>10</v>
      </c>
      <c r="V54" s="6">
        <f t="shared" ca="1" si="1"/>
        <v>46012</v>
      </c>
      <c r="W54" s="6">
        <f t="shared" ca="1" si="2"/>
        <v>46018</v>
      </c>
      <c r="X54" t="str">
        <f t="shared" ca="1" si="3"/>
        <v>Dec 21 to Dec 27</v>
      </c>
      <c r="Y54" t="str">
        <f t="shared" ca="1" si="4"/>
        <v>🔵 NEXT 2 WEEKS</v>
      </c>
      <c r="Z54" t="str">
        <f t="shared" ca="1" si="5"/>
        <v>Send reminder SMS</v>
      </c>
    </row>
    <row r="55" spans="1:26">
      <c r="A55">
        <v>1001866480</v>
      </c>
      <c r="B55" s="3" t="s">
        <v>259</v>
      </c>
      <c r="C55">
        <v>58</v>
      </c>
      <c r="D55" t="s">
        <v>27</v>
      </c>
      <c r="E55" t="s">
        <v>29</v>
      </c>
      <c r="F55" t="s">
        <v>29</v>
      </c>
      <c r="G55" t="s">
        <v>29</v>
      </c>
      <c r="H55">
        <v>6</v>
      </c>
      <c r="I55" t="s">
        <v>30</v>
      </c>
      <c r="J55" t="s">
        <v>260</v>
      </c>
      <c r="K55" t="s">
        <v>261</v>
      </c>
      <c r="M55" s="4" t="s">
        <v>43</v>
      </c>
      <c r="N55" t="s">
        <v>44</v>
      </c>
      <c r="P55" s="3" t="s">
        <v>36</v>
      </c>
      <c r="Q55" s="3" t="s">
        <v>262</v>
      </c>
      <c r="R55">
        <v>2</v>
      </c>
      <c r="S55" s="5">
        <v>45854</v>
      </c>
      <c r="T55" t="s">
        <v>38</v>
      </c>
      <c r="U55">
        <f t="shared" ca="1" si="0"/>
        <v>29</v>
      </c>
      <c r="V55" s="6">
        <f t="shared" ca="1" si="1"/>
        <v>46031</v>
      </c>
      <c r="W55" s="6">
        <f t="shared" ca="1" si="2"/>
        <v>46037</v>
      </c>
      <c r="X55" t="str">
        <f t="shared" ca="1" si="3"/>
        <v>Jan 9 to Jan 15</v>
      </c>
      <c r="Y55" t="str">
        <f t="shared" ca="1" si="4"/>
        <v>⚪ SCHEDULED</v>
      </c>
      <c r="Z55" t="str">
        <f t="shared" ca="1" si="5"/>
        <v>No action needed yet</v>
      </c>
    </row>
    <row r="56" spans="1:26">
      <c r="A56">
        <v>1001880663</v>
      </c>
      <c r="B56" s="3" t="s">
        <v>263</v>
      </c>
      <c r="C56">
        <v>45</v>
      </c>
      <c r="D56" t="s">
        <v>47</v>
      </c>
      <c r="E56" t="s">
        <v>29</v>
      </c>
      <c r="F56" t="s">
        <v>28</v>
      </c>
      <c r="G56" t="s">
        <v>28</v>
      </c>
      <c r="H56">
        <v>4</v>
      </c>
      <c r="I56" t="s">
        <v>66</v>
      </c>
      <c r="J56" t="s">
        <v>264</v>
      </c>
      <c r="K56" t="s">
        <v>265</v>
      </c>
      <c r="M56" s="4" t="s">
        <v>43</v>
      </c>
      <c r="N56" t="s">
        <v>148</v>
      </c>
      <c r="P56" s="3" t="s">
        <v>36</v>
      </c>
      <c r="Q56" s="3" t="s">
        <v>107</v>
      </c>
      <c r="R56">
        <v>1</v>
      </c>
      <c r="S56" s="5">
        <v>45920</v>
      </c>
      <c r="T56" t="s">
        <v>38</v>
      </c>
      <c r="U56">
        <f t="shared" ca="1" si="0"/>
        <v>5</v>
      </c>
      <c r="V56" s="6">
        <f t="shared" ca="1" si="1"/>
        <v>46007</v>
      </c>
      <c r="W56" s="6">
        <f t="shared" ca="1" si="2"/>
        <v>46013</v>
      </c>
      <c r="X56" t="str">
        <f t="shared" ca="1" si="3"/>
        <v>Dec 16 to Dec 22</v>
      </c>
      <c r="Y56" t="str">
        <f t="shared" ca="1" si="4"/>
        <v>🟢 THIS WEEK</v>
      </c>
      <c r="Z56" t="str">
        <f t="shared" ca="1" si="5"/>
        <v>Confirm appointment</v>
      </c>
    </row>
    <row r="57" spans="1:26">
      <c r="A57">
        <v>1001886421</v>
      </c>
      <c r="B57" s="3" t="s">
        <v>266</v>
      </c>
      <c r="C57">
        <v>56</v>
      </c>
      <c r="D57" t="s">
        <v>47</v>
      </c>
      <c r="E57" t="s">
        <v>29</v>
      </c>
      <c r="F57" t="s">
        <v>28</v>
      </c>
      <c r="G57" t="s">
        <v>28</v>
      </c>
      <c r="H57">
        <v>4</v>
      </c>
      <c r="I57" t="s">
        <v>66</v>
      </c>
      <c r="J57" t="s">
        <v>267</v>
      </c>
      <c r="K57" t="s">
        <v>268</v>
      </c>
      <c r="L57" t="s">
        <v>269</v>
      </c>
      <c r="M57" s="4" t="s">
        <v>43</v>
      </c>
      <c r="N57" t="s">
        <v>162</v>
      </c>
      <c r="P57" s="3" t="s">
        <v>36</v>
      </c>
      <c r="Q57" s="3" t="s">
        <v>90</v>
      </c>
      <c r="R57">
        <v>1</v>
      </c>
      <c r="S57" s="5">
        <v>45902</v>
      </c>
      <c r="T57" t="s">
        <v>38</v>
      </c>
      <c r="U57">
        <f t="shared" ca="1" si="0"/>
        <v>17</v>
      </c>
      <c r="V57" s="6">
        <f t="shared" ca="1" si="1"/>
        <v>46019</v>
      </c>
      <c r="W57" s="6">
        <f t="shared" ca="1" si="2"/>
        <v>46025</v>
      </c>
      <c r="X57" t="str">
        <f t="shared" ca="1" si="3"/>
        <v>Dec 28 to Jan 3</v>
      </c>
      <c r="Y57" t="str">
        <f t="shared" ca="1" si="4"/>
        <v>⚪ SCHEDULED</v>
      </c>
      <c r="Z57" t="str">
        <f t="shared" ca="1" si="5"/>
        <v>No action needed yet</v>
      </c>
    </row>
    <row r="58" spans="1:26">
      <c r="A58">
        <v>1001902293</v>
      </c>
      <c r="B58" s="3" t="s">
        <v>270</v>
      </c>
      <c r="C58">
        <v>47</v>
      </c>
      <c r="D58" t="s">
        <v>47</v>
      </c>
      <c r="E58" t="s">
        <v>29</v>
      </c>
      <c r="F58" t="s">
        <v>29</v>
      </c>
      <c r="G58" t="s">
        <v>28</v>
      </c>
      <c r="H58">
        <v>4</v>
      </c>
      <c r="I58" t="s">
        <v>66</v>
      </c>
      <c r="J58" t="s">
        <v>271</v>
      </c>
      <c r="K58" t="s">
        <v>272</v>
      </c>
      <c r="L58" t="s">
        <v>69</v>
      </c>
      <c r="M58" s="4" t="s">
        <v>94</v>
      </c>
      <c r="N58" t="s">
        <v>131</v>
      </c>
      <c r="P58" s="3" t="s">
        <v>36</v>
      </c>
      <c r="Q58" s="3" t="s">
        <v>273</v>
      </c>
      <c r="R58">
        <v>1</v>
      </c>
      <c r="S58" s="5">
        <v>45948</v>
      </c>
      <c r="T58" t="s">
        <v>38</v>
      </c>
      <c r="U58">
        <f t="shared" ca="1" si="0"/>
        <v>3</v>
      </c>
      <c r="V58" s="6">
        <f t="shared" ca="1" si="1"/>
        <v>46005</v>
      </c>
      <c r="W58" s="6">
        <f t="shared" ca="1" si="2"/>
        <v>46011</v>
      </c>
      <c r="X58" t="str">
        <f t="shared" ca="1" si="3"/>
        <v>Dec 14 to Dec 20</v>
      </c>
      <c r="Y58" t="str">
        <f t="shared" ca="1" si="4"/>
        <v>🟡 IMMINENT (within 3 days)</v>
      </c>
      <c r="Z58" t="str">
        <f t="shared" ca="1" si="5"/>
        <v>Prepare medications TODAY</v>
      </c>
    </row>
    <row r="59" spans="1:26">
      <c r="A59">
        <v>1001921400</v>
      </c>
      <c r="B59" s="3" t="s">
        <v>274</v>
      </c>
      <c r="C59">
        <v>72</v>
      </c>
      <c r="D59" t="s">
        <v>47</v>
      </c>
      <c r="E59" t="s">
        <v>29</v>
      </c>
      <c r="F59" t="s">
        <v>29</v>
      </c>
      <c r="G59" t="s">
        <v>29</v>
      </c>
      <c r="H59">
        <v>7</v>
      </c>
      <c r="I59" t="s">
        <v>30</v>
      </c>
      <c r="J59" t="s">
        <v>275</v>
      </c>
      <c r="K59" t="s">
        <v>276</v>
      </c>
      <c r="L59" t="s">
        <v>208</v>
      </c>
      <c r="M59" s="4" t="s">
        <v>94</v>
      </c>
      <c r="N59" t="s">
        <v>201</v>
      </c>
      <c r="P59" s="3" t="s">
        <v>36</v>
      </c>
      <c r="Q59" s="3" t="s">
        <v>107</v>
      </c>
      <c r="R59">
        <v>1</v>
      </c>
      <c r="S59" s="5">
        <v>45934</v>
      </c>
      <c r="T59" t="s">
        <v>38</v>
      </c>
      <c r="U59">
        <f t="shared" ca="1" si="0"/>
        <v>19</v>
      </c>
      <c r="V59" s="6">
        <f t="shared" ca="1" si="1"/>
        <v>46021</v>
      </c>
      <c r="W59" s="6">
        <f t="shared" ca="1" si="2"/>
        <v>46027</v>
      </c>
      <c r="X59" t="str">
        <f t="shared" ca="1" si="3"/>
        <v>Dec 30 to Jan 5</v>
      </c>
      <c r="Y59" t="str">
        <f t="shared" ca="1" si="4"/>
        <v>⚪ SCHEDULED</v>
      </c>
      <c r="Z59" t="str">
        <f t="shared" ca="1" si="5"/>
        <v>No action needed yet</v>
      </c>
    </row>
    <row r="60" spans="1:26">
      <c r="A60">
        <v>1001951712</v>
      </c>
      <c r="B60" s="3" t="s">
        <v>277</v>
      </c>
      <c r="C60">
        <v>57</v>
      </c>
      <c r="D60" t="s">
        <v>47</v>
      </c>
      <c r="E60" t="s">
        <v>29</v>
      </c>
      <c r="F60" t="s">
        <v>28</v>
      </c>
      <c r="G60" t="s">
        <v>28</v>
      </c>
      <c r="H60">
        <v>3</v>
      </c>
      <c r="I60" t="s">
        <v>66</v>
      </c>
      <c r="J60" t="s">
        <v>278</v>
      </c>
      <c r="K60" t="s">
        <v>279</v>
      </c>
      <c r="L60" t="s">
        <v>170</v>
      </c>
      <c r="M60" s="4" t="s">
        <v>34</v>
      </c>
      <c r="N60" t="s">
        <v>162</v>
      </c>
      <c r="P60" s="3" t="s">
        <v>36</v>
      </c>
      <c r="Q60" s="3" t="s">
        <v>90</v>
      </c>
      <c r="R60">
        <v>1</v>
      </c>
      <c r="S60" s="5">
        <v>45710</v>
      </c>
      <c r="T60" t="s">
        <v>38</v>
      </c>
      <c r="U60">
        <f t="shared" ca="1" si="0"/>
        <v>5</v>
      </c>
      <c r="V60" s="6">
        <f t="shared" ca="1" si="1"/>
        <v>46007</v>
      </c>
      <c r="W60" s="6">
        <f t="shared" ca="1" si="2"/>
        <v>46013</v>
      </c>
      <c r="X60" t="str">
        <f t="shared" ca="1" si="3"/>
        <v>Dec 16 to Dec 22</v>
      </c>
      <c r="Y60" t="str">
        <f t="shared" ca="1" si="4"/>
        <v>🟢 THIS WEEK</v>
      </c>
      <c r="Z60" t="str">
        <f t="shared" ca="1" si="5"/>
        <v>Confirm appointment</v>
      </c>
    </row>
    <row r="61" spans="1:26">
      <c r="A61">
        <v>1001955531</v>
      </c>
      <c r="B61" s="3" t="s">
        <v>280</v>
      </c>
      <c r="C61">
        <v>68</v>
      </c>
      <c r="D61" t="s">
        <v>47</v>
      </c>
      <c r="E61" t="s">
        <v>29</v>
      </c>
      <c r="F61" t="s">
        <v>29</v>
      </c>
      <c r="G61" t="s">
        <v>29</v>
      </c>
      <c r="H61">
        <v>6</v>
      </c>
      <c r="I61" t="s">
        <v>30</v>
      </c>
      <c r="J61" t="s">
        <v>281</v>
      </c>
      <c r="K61" t="s">
        <v>282</v>
      </c>
      <c r="L61" t="s">
        <v>75</v>
      </c>
      <c r="M61" s="4" t="s">
        <v>34</v>
      </c>
      <c r="N61" t="s">
        <v>76</v>
      </c>
      <c r="P61" s="3" t="s">
        <v>36</v>
      </c>
      <c r="Q61" s="3" t="s">
        <v>77</v>
      </c>
      <c r="R61">
        <v>2</v>
      </c>
      <c r="S61" s="5">
        <v>45546</v>
      </c>
      <c r="T61" t="s">
        <v>38</v>
      </c>
      <c r="U61">
        <f t="shared" ca="1" si="0"/>
        <v>21</v>
      </c>
      <c r="V61" s="6">
        <f t="shared" ca="1" si="1"/>
        <v>46023</v>
      </c>
      <c r="W61" s="6">
        <f t="shared" ca="1" si="2"/>
        <v>46029</v>
      </c>
      <c r="X61" t="str">
        <f t="shared" ca="1" si="3"/>
        <v>Jan 1 to Jan 7</v>
      </c>
      <c r="Y61" t="str">
        <f t="shared" ca="1" si="4"/>
        <v>⚪ SCHEDULED</v>
      </c>
      <c r="Z61" t="str">
        <f t="shared" ca="1" si="5"/>
        <v>No action needed yet</v>
      </c>
    </row>
    <row r="62" spans="1:26">
      <c r="A62">
        <v>1001996105</v>
      </c>
      <c r="B62" s="3" t="s">
        <v>283</v>
      </c>
      <c r="C62">
        <v>60</v>
      </c>
      <c r="D62" t="s">
        <v>47</v>
      </c>
      <c r="E62" t="s">
        <v>29</v>
      </c>
      <c r="F62" t="s">
        <v>29</v>
      </c>
      <c r="G62" t="s">
        <v>29</v>
      </c>
      <c r="H62">
        <v>7</v>
      </c>
      <c r="I62" t="s">
        <v>30</v>
      </c>
      <c r="J62" t="s">
        <v>253</v>
      </c>
      <c r="K62" t="s">
        <v>284</v>
      </c>
      <c r="L62" t="s">
        <v>33</v>
      </c>
      <c r="M62" s="4" t="s">
        <v>34</v>
      </c>
      <c r="N62" t="s">
        <v>44</v>
      </c>
      <c r="P62" s="3" t="s">
        <v>36</v>
      </c>
      <c r="Q62" s="3" t="s">
        <v>52</v>
      </c>
      <c r="R62">
        <v>2</v>
      </c>
      <c r="S62" s="5">
        <v>45808</v>
      </c>
      <c r="T62" t="s">
        <v>38</v>
      </c>
      <c r="U62">
        <f t="shared" ca="1" si="0"/>
        <v>13</v>
      </c>
      <c r="V62" s="6">
        <f t="shared" ca="1" si="1"/>
        <v>46015</v>
      </c>
      <c r="W62" s="6">
        <f t="shared" ca="1" si="2"/>
        <v>46021</v>
      </c>
      <c r="X62" t="str">
        <f t="shared" ca="1" si="3"/>
        <v>Dec 24 to Dec 30</v>
      </c>
      <c r="Y62" t="str">
        <f t="shared" ca="1" si="4"/>
        <v>🔵 NEXT 2 WEEKS</v>
      </c>
      <c r="Z62" t="str">
        <f t="shared" ca="1" si="5"/>
        <v>Send reminder SMS</v>
      </c>
    </row>
    <row r="63" spans="1:26">
      <c r="A63">
        <v>1002024808</v>
      </c>
      <c r="B63" s="3" t="s">
        <v>285</v>
      </c>
      <c r="C63">
        <v>72</v>
      </c>
      <c r="D63" t="s">
        <v>47</v>
      </c>
      <c r="E63" t="s">
        <v>28</v>
      </c>
      <c r="F63" t="s">
        <v>28</v>
      </c>
      <c r="G63" t="s">
        <v>28</v>
      </c>
      <c r="H63">
        <v>5</v>
      </c>
      <c r="I63" t="s">
        <v>30</v>
      </c>
      <c r="J63" t="s">
        <v>286</v>
      </c>
      <c r="K63" t="s">
        <v>287</v>
      </c>
      <c r="L63" t="s">
        <v>135</v>
      </c>
      <c r="M63" s="4" t="s">
        <v>43</v>
      </c>
      <c r="N63" t="s">
        <v>59</v>
      </c>
      <c r="P63" s="3" t="s">
        <v>36</v>
      </c>
      <c r="Q63" s="3" t="s">
        <v>45</v>
      </c>
      <c r="R63">
        <v>1</v>
      </c>
      <c r="S63" s="5">
        <v>45863</v>
      </c>
      <c r="T63" t="s">
        <v>38</v>
      </c>
      <c r="U63">
        <f t="shared" ca="1" si="0"/>
        <v>8</v>
      </c>
      <c r="V63" s="6">
        <f t="shared" ca="1" si="1"/>
        <v>46010</v>
      </c>
      <c r="W63" s="6">
        <f t="shared" ca="1" si="2"/>
        <v>46016</v>
      </c>
      <c r="X63" t="str">
        <f t="shared" ca="1" si="3"/>
        <v>Dec 19 to Dec 25</v>
      </c>
      <c r="Y63" t="str">
        <f t="shared" ca="1" si="4"/>
        <v>🔵 NEXT 2 WEEKS</v>
      </c>
      <c r="Z63" t="str">
        <f t="shared" ca="1" si="5"/>
        <v>Send reminder SMS</v>
      </c>
    </row>
    <row r="64" spans="1:26">
      <c r="A64">
        <v>1002049367</v>
      </c>
      <c r="B64" s="3" t="s">
        <v>288</v>
      </c>
      <c r="C64">
        <v>57</v>
      </c>
      <c r="D64" t="s">
        <v>47</v>
      </c>
      <c r="E64" t="s">
        <v>29</v>
      </c>
      <c r="F64" t="s">
        <v>29</v>
      </c>
      <c r="G64" t="s">
        <v>29</v>
      </c>
      <c r="H64">
        <v>6</v>
      </c>
      <c r="I64" t="s">
        <v>30</v>
      </c>
      <c r="J64" t="s">
        <v>253</v>
      </c>
      <c r="K64" t="s">
        <v>289</v>
      </c>
      <c r="L64" t="s">
        <v>33</v>
      </c>
      <c r="M64" s="4" t="s">
        <v>43</v>
      </c>
      <c r="N64" t="s">
        <v>44</v>
      </c>
      <c r="P64" s="3" t="s">
        <v>36</v>
      </c>
      <c r="Q64" s="3" t="s">
        <v>84</v>
      </c>
      <c r="R64">
        <v>2</v>
      </c>
      <c r="S64" s="5">
        <v>45869</v>
      </c>
      <c r="T64" t="s">
        <v>38</v>
      </c>
      <c r="U64">
        <f t="shared" ca="1" si="0"/>
        <v>14</v>
      </c>
      <c r="V64" s="6">
        <f t="shared" ca="1" si="1"/>
        <v>46016</v>
      </c>
      <c r="W64" s="6">
        <f t="shared" ca="1" si="2"/>
        <v>46022</v>
      </c>
      <c r="X64" t="str">
        <f t="shared" ca="1" si="3"/>
        <v>Dec 25 to Dec 31</v>
      </c>
      <c r="Y64" t="str">
        <f t="shared" ca="1" si="4"/>
        <v>🔵 NEXT 2 WEEKS</v>
      </c>
      <c r="Z64" t="str">
        <f t="shared" ca="1" si="5"/>
        <v>Send reminder SMS</v>
      </c>
    </row>
    <row r="65" spans="1:26">
      <c r="A65">
        <v>1002061537</v>
      </c>
      <c r="B65" s="3" t="s">
        <v>290</v>
      </c>
      <c r="C65">
        <v>69</v>
      </c>
      <c r="D65" t="s">
        <v>47</v>
      </c>
      <c r="E65" t="s">
        <v>29</v>
      </c>
      <c r="F65" t="s">
        <v>29</v>
      </c>
      <c r="G65" t="s">
        <v>29</v>
      </c>
      <c r="H65">
        <v>7</v>
      </c>
      <c r="I65" t="s">
        <v>30</v>
      </c>
      <c r="J65" t="s">
        <v>291</v>
      </c>
      <c r="K65" t="s">
        <v>292</v>
      </c>
      <c r="L65" t="s">
        <v>155</v>
      </c>
      <c r="M65" s="4" t="s">
        <v>34</v>
      </c>
      <c r="N65" t="s">
        <v>76</v>
      </c>
      <c r="P65" s="3" t="s">
        <v>36</v>
      </c>
      <c r="Q65" s="3" t="s">
        <v>107</v>
      </c>
      <c r="R65">
        <v>2</v>
      </c>
      <c r="S65" s="5">
        <v>45804</v>
      </c>
      <c r="T65" t="s">
        <v>38</v>
      </c>
      <c r="U65">
        <f t="shared" ca="1" si="0"/>
        <v>9</v>
      </c>
      <c r="V65" s="6">
        <f t="shared" ca="1" si="1"/>
        <v>46011</v>
      </c>
      <c r="W65" s="6">
        <f t="shared" ca="1" si="2"/>
        <v>46017</v>
      </c>
      <c r="X65" t="str">
        <f t="shared" ca="1" si="3"/>
        <v>Dec 20 to Dec 26</v>
      </c>
      <c r="Y65" t="str">
        <f t="shared" ca="1" si="4"/>
        <v>🔵 NEXT 2 WEEKS</v>
      </c>
      <c r="Z65" t="str">
        <f t="shared" ca="1" si="5"/>
        <v>Send reminder SMS</v>
      </c>
    </row>
    <row r="66" spans="1:26">
      <c r="A66">
        <v>1002066726</v>
      </c>
      <c r="B66" s="3" t="s">
        <v>293</v>
      </c>
      <c r="C66">
        <v>87</v>
      </c>
      <c r="D66" t="s">
        <v>27</v>
      </c>
      <c r="E66" t="s">
        <v>28</v>
      </c>
      <c r="F66" t="s">
        <v>29</v>
      </c>
      <c r="G66" t="s">
        <v>28</v>
      </c>
      <c r="H66">
        <v>5</v>
      </c>
      <c r="I66" t="s">
        <v>30</v>
      </c>
      <c r="J66" t="s">
        <v>79</v>
      </c>
      <c r="K66" t="s">
        <v>294</v>
      </c>
      <c r="L66" t="s">
        <v>33</v>
      </c>
      <c r="M66" s="4" t="s">
        <v>34</v>
      </c>
      <c r="N66" t="s">
        <v>64</v>
      </c>
      <c r="P66" s="3" t="s">
        <v>36</v>
      </c>
      <c r="Q66" s="3" t="s">
        <v>84</v>
      </c>
      <c r="R66">
        <v>2</v>
      </c>
      <c r="S66" s="5">
        <v>45714</v>
      </c>
      <c r="T66" t="s">
        <v>38</v>
      </c>
      <c r="U66">
        <f t="shared" ref="U66:U129" ca="1" si="6">IF(S66&gt;=TODAY(),S66,S66+CEILING((TODAY()-S66)/IF(T66="Monthly",30,IF(T66="Bi-Monthly",60,90)),1)*IF(T66="Monthly",30,IF(T66="Bi-Monthly",60,90)))-TODAY()</f>
        <v>9</v>
      </c>
      <c r="V66" s="6">
        <f t="shared" ref="V66:V129" ca="1" si="7">IF(S66&gt;=TODAY(),S66,S66+CEILING((TODAY()-S66)/IF(T66="Monthly",30,IF(T66="Bi-Monthly",60,90)),1)*IF(T66="Monthly",30,IF(T66="Bi-Monthly",60,90)))-3</f>
        <v>46011</v>
      </c>
      <c r="W66" s="6">
        <f t="shared" ref="W66:W129" ca="1" si="8">IF(S66&gt;=TODAY(),S66,S66+CEILING((TODAY()-S66)/IF(T66="Monthly",30,IF(T66="Bi-Monthly",60,90)),1)*IF(T66="Monthly",30,IF(T66="Bi-Monthly",60,90)))+3</f>
        <v>46017</v>
      </c>
      <c r="X66" t="str">
        <f t="shared" ref="X66:X129" ca="1" si="9">TEXT(V66,"MMM D")&amp;" to "&amp;TEXT(W66,"MMM D")</f>
        <v>Dec 20 to Dec 26</v>
      </c>
      <c r="Y66" t="str">
        <f t="shared" ref="Y66:Y129" ca="1" si="10">IF(U66&lt;=3,"🟡 IMMINENT (within 3 days)",IF(U66&lt;=7,"🟢 THIS WEEK",IF(U66&lt;=14,"🔵 NEXT 2 WEEKS","⚪ SCHEDULED")))</f>
        <v>🔵 NEXT 2 WEEKS</v>
      </c>
      <c r="Z66" t="str">
        <f t="shared" ref="Z66:Z129" ca="1" si="11">IF(U66&lt;=3,"Prepare medications TODAY",IF(U66&lt;=7,"Confirm appointment",IF(U66&lt;=14,"Send reminder SMS","No action needed yet")))</f>
        <v>Send reminder SMS</v>
      </c>
    </row>
    <row r="67" spans="1:26">
      <c r="A67">
        <v>1002066817</v>
      </c>
      <c r="B67" s="3" t="s">
        <v>295</v>
      </c>
      <c r="C67">
        <v>58</v>
      </c>
      <c r="D67" t="s">
        <v>27</v>
      </c>
      <c r="E67" t="s">
        <v>29</v>
      </c>
      <c r="F67" t="s">
        <v>28</v>
      </c>
      <c r="G67" t="s">
        <v>29</v>
      </c>
      <c r="H67">
        <v>4</v>
      </c>
      <c r="I67" t="s">
        <v>66</v>
      </c>
      <c r="J67" t="s">
        <v>296</v>
      </c>
      <c r="K67" t="s">
        <v>297</v>
      </c>
      <c r="M67" s="4" t="s">
        <v>94</v>
      </c>
      <c r="N67" t="s">
        <v>95</v>
      </c>
      <c r="P67" s="3" t="s">
        <v>36</v>
      </c>
      <c r="Q67" s="3" t="s">
        <v>107</v>
      </c>
      <c r="R67">
        <v>2</v>
      </c>
      <c r="S67" s="5">
        <v>45944</v>
      </c>
      <c r="T67" t="s">
        <v>38</v>
      </c>
      <c r="U67">
        <f t="shared" ca="1" si="6"/>
        <v>29</v>
      </c>
      <c r="V67" s="6">
        <f t="shared" ca="1" si="7"/>
        <v>46031</v>
      </c>
      <c r="W67" s="6">
        <f t="shared" ca="1" si="8"/>
        <v>46037</v>
      </c>
      <c r="X67" t="str">
        <f t="shared" ca="1" si="9"/>
        <v>Jan 9 to Jan 15</v>
      </c>
      <c r="Y67" t="str">
        <f t="shared" ca="1" si="10"/>
        <v>⚪ SCHEDULED</v>
      </c>
      <c r="Z67" t="str">
        <f t="shared" ca="1" si="11"/>
        <v>No action needed yet</v>
      </c>
    </row>
    <row r="68" spans="1:26">
      <c r="A68">
        <v>1002081618</v>
      </c>
      <c r="B68" s="3" t="s">
        <v>298</v>
      </c>
      <c r="C68">
        <v>58</v>
      </c>
      <c r="D68" t="s">
        <v>47</v>
      </c>
      <c r="E68" t="s">
        <v>29</v>
      </c>
      <c r="F68" t="s">
        <v>28</v>
      </c>
      <c r="G68" t="s">
        <v>29</v>
      </c>
      <c r="H68">
        <v>4</v>
      </c>
      <c r="I68" t="s">
        <v>66</v>
      </c>
      <c r="J68" t="s">
        <v>299</v>
      </c>
      <c r="K68" t="s">
        <v>300</v>
      </c>
      <c r="M68" s="4" t="s">
        <v>94</v>
      </c>
      <c r="N68" t="s">
        <v>95</v>
      </c>
      <c r="P68" s="3" t="s">
        <v>36</v>
      </c>
      <c r="Q68" s="3" t="s">
        <v>84</v>
      </c>
      <c r="R68">
        <v>2</v>
      </c>
      <c r="S68" s="5">
        <v>45955</v>
      </c>
      <c r="T68" t="s">
        <v>38</v>
      </c>
      <c r="U68">
        <f t="shared" ca="1" si="6"/>
        <v>10</v>
      </c>
      <c r="V68" s="6">
        <f t="shared" ca="1" si="7"/>
        <v>46012</v>
      </c>
      <c r="W68" s="6">
        <f t="shared" ca="1" si="8"/>
        <v>46018</v>
      </c>
      <c r="X68" t="str">
        <f t="shared" ca="1" si="9"/>
        <v>Dec 21 to Dec 27</v>
      </c>
      <c r="Y68" t="str">
        <f t="shared" ca="1" si="10"/>
        <v>🔵 NEXT 2 WEEKS</v>
      </c>
      <c r="Z68" t="str">
        <f t="shared" ca="1" si="11"/>
        <v>Send reminder SMS</v>
      </c>
    </row>
    <row r="69" spans="1:26">
      <c r="A69">
        <v>1002085783</v>
      </c>
      <c r="B69" s="3" t="s">
        <v>301</v>
      </c>
      <c r="C69">
        <v>85</v>
      </c>
      <c r="D69" t="s">
        <v>47</v>
      </c>
      <c r="E69" t="s">
        <v>29</v>
      </c>
      <c r="F69" t="s">
        <v>29</v>
      </c>
      <c r="G69" t="s">
        <v>29</v>
      </c>
      <c r="H69">
        <v>7</v>
      </c>
      <c r="I69" t="s">
        <v>30</v>
      </c>
      <c r="J69" t="s">
        <v>302</v>
      </c>
      <c r="K69" t="s">
        <v>303</v>
      </c>
      <c r="M69" s="4" t="s">
        <v>43</v>
      </c>
      <c r="N69" t="s">
        <v>44</v>
      </c>
      <c r="P69" s="3" t="s">
        <v>36</v>
      </c>
      <c r="Q69" s="3" t="s">
        <v>90</v>
      </c>
      <c r="R69">
        <v>2</v>
      </c>
      <c r="S69" s="5">
        <v>45916</v>
      </c>
      <c r="T69" t="s">
        <v>38</v>
      </c>
      <c r="U69">
        <f t="shared" ca="1" si="6"/>
        <v>1</v>
      </c>
      <c r="V69" s="6">
        <f t="shared" ca="1" si="7"/>
        <v>46003</v>
      </c>
      <c r="W69" s="6">
        <f t="shared" ca="1" si="8"/>
        <v>46009</v>
      </c>
      <c r="X69" t="str">
        <f t="shared" ca="1" si="9"/>
        <v>Dec 12 to Dec 18</v>
      </c>
      <c r="Y69" t="str">
        <f t="shared" ca="1" si="10"/>
        <v>🟡 IMMINENT (within 3 days)</v>
      </c>
      <c r="Z69" t="str">
        <f t="shared" ca="1" si="11"/>
        <v>Prepare medications TODAY</v>
      </c>
    </row>
    <row r="70" spans="1:26">
      <c r="A70">
        <v>1002143525</v>
      </c>
      <c r="B70" s="3" t="s">
        <v>304</v>
      </c>
      <c r="C70">
        <v>75</v>
      </c>
      <c r="D70" t="s">
        <v>47</v>
      </c>
      <c r="E70" t="s">
        <v>29</v>
      </c>
      <c r="F70" t="s">
        <v>29</v>
      </c>
      <c r="G70" t="s">
        <v>28</v>
      </c>
      <c r="H70">
        <v>7</v>
      </c>
      <c r="I70" t="s">
        <v>30</v>
      </c>
      <c r="J70" t="s">
        <v>305</v>
      </c>
      <c r="K70" t="s">
        <v>306</v>
      </c>
      <c r="L70" t="s">
        <v>100</v>
      </c>
      <c r="M70" s="4" t="s">
        <v>34</v>
      </c>
      <c r="N70" t="s">
        <v>119</v>
      </c>
      <c r="P70" s="3" t="s">
        <v>36</v>
      </c>
      <c r="Q70" s="3" t="s">
        <v>107</v>
      </c>
      <c r="R70">
        <v>2</v>
      </c>
      <c r="S70" s="5">
        <v>45512</v>
      </c>
      <c r="T70" t="s">
        <v>38</v>
      </c>
      <c r="U70">
        <f t="shared" ca="1" si="6"/>
        <v>17</v>
      </c>
      <c r="V70" s="6">
        <f t="shared" ca="1" si="7"/>
        <v>46019</v>
      </c>
      <c r="W70" s="6">
        <f t="shared" ca="1" si="8"/>
        <v>46025</v>
      </c>
      <c r="X70" t="str">
        <f t="shared" ca="1" si="9"/>
        <v>Dec 28 to Jan 3</v>
      </c>
      <c r="Y70" t="str">
        <f t="shared" ca="1" si="10"/>
        <v>⚪ SCHEDULED</v>
      </c>
      <c r="Z70" t="str">
        <f t="shared" ca="1" si="11"/>
        <v>No action needed yet</v>
      </c>
    </row>
    <row r="71" spans="1:26">
      <c r="A71">
        <v>1002151221</v>
      </c>
      <c r="B71" s="3" t="s">
        <v>307</v>
      </c>
      <c r="C71">
        <v>69</v>
      </c>
      <c r="D71" t="s">
        <v>47</v>
      </c>
      <c r="E71" t="s">
        <v>28</v>
      </c>
      <c r="F71" t="s">
        <v>28</v>
      </c>
      <c r="G71" t="s">
        <v>28</v>
      </c>
      <c r="H71">
        <v>3</v>
      </c>
      <c r="I71" t="s">
        <v>66</v>
      </c>
      <c r="J71" t="s">
        <v>260</v>
      </c>
      <c r="K71" t="s">
        <v>308</v>
      </c>
      <c r="M71" s="4" t="s">
        <v>43</v>
      </c>
      <c r="N71" t="s">
        <v>59</v>
      </c>
      <c r="P71" s="3" t="s">
        <v>36</v>
      </c>
      <c r="Q71" s="3" t="s">
        <v>309</v>
      </c>
      <c r="R71">
        <v>1</v>
      </c>
      <c r="S71" s="5">
        <v>45916</v>
      </c>
      <c r="T71" t="s">
        <v>38</v>
      </c>
      <c r="U71">
        <f t="shared" ca="1" si="6"/>
        <v>1</v>
      </c>
      <c r="V71" s="6">
        <f t="shared" ca="1" si="7"/>
        <v>46003</v>
      </c>
      <c r="W71" s="6">
        <f t="shared" ca="1" si="8"/>
        <v>46009</v>
      </c>
      <c r="X71" t="str">
        <f t="shared" ca="1" si="9"/>
        <v>Dec 12 to Dec 18</v>
      </c>
      <c r="Y71" t="str">
        <f t="shared" ca="1" si="10"/>
        <v>🟡 IMMINENT (within 3 days)</v>
      </c>
      <c r="Z71" t="str">
        <f t="shared" ca="1" si="11"/>
        <v>Prepare medications TODAY</v>
      </c>
    </row>
    <row r="72" spans="1:26">
      <c r="A72">
        <v>1002261434</v>
      </c>
      <c r="B72" s="3" t="s">
        <v>310</v>
      </c>
      <c r="C72">
        <v>57</v>
      </c>
      <c r="D72" t="s">
        <v>27</v>
      </c>
      <c r="E72" t="s">
        <v>28</v>
      </c>
      <c r="F72" t="s">
        <v>29</v>
      </c>
      <c r="G72" t="s">
        <v>28</v>
      </c>
      <c r="H72">
        <v>3</v>
      </c>
      <c r="I72" t="s">
        <v>66</v>
      </c>
      <c r="J72" t="s">
        <v>311</v>
      </c>
      <c r="K72" t="s">
        <v>312</v>
      </c>
      <c r="L72" t="s">
        <v>69</v>
      </c>
      <c r="M72" s="4" t="s">
        <v>43</v>
      </c>
      <c r="N72" t="s">
        <v>70</v>
      </c>
      <c r="P72" s="3" t="s">
        <v>36</v>
      </c>
      <c r="Q72" s="3" t="s">
        <v>313</v>
      </c>
      <c r="R72">
        <v>1</v>
      </c>
      <c r="S72" s="5">
        <v>45856</v>
      </c>
      <c r="T72" t="s">
        <v>38</v>
      </c>
      <c r="U72">
        <f t="shared" ca="1" si="6"/>
        <v>1</v>
      </c>
      <c r="V72" s="6">
        <f t="shared" ca="1" si="7"/>
        <v>46003</v>
      </c>
      <c r="W72" s="6">
        <f t="shared" ca="1" si="8"/>
        <v>46009</v>
      </c>
      <c r="X72" t="str">
        <f t="shared" ca="1" si="9"/>
        <v>Dec 12 to Dec 18</v>
      </c>
      <c r="Y72" t="str">
        <f t="shared" ca="1" si="10"/>
        <v>🟡 IMMINENT (within 3 days)</v>
      </c>
      <c r="Z72" t="str">
        <f t="shared" ca="1" si="11"/>
        <v>Prepare medications TODAY</v>
      </c>
    </row>
    <row r="73" spans="1:26">
      <c r="A73">
        <v>1002264602</v>
      </c>
      <c r="B73" s="3" t="s">
        <v>314</v>
      </c>
      <c r="C73">
        <v>57</v>
      </c>
      <c r="D73" t="s">
        <v>47</v>
      </c>
      <c r="E73" t="s">
        <v>29</v>
      </c>
      <c r="F73" t="s">
        <v>29</v>
      </c>
      <c r="G73" t="s">
        <v>29</v>
      </c>
      <c r="H73">
        <v>6</v>
      </c>
      <c r="I73" t="s">
        <v>30</v>
      </c>
      <c r="J73" t="s">
        <v>315</v>
      </c>
      <c r="K73" t="s">
        <v>316</v>
      </c>
      <c r="L73" t="s">
        <v>317</v>
      </c>
      <c r="M73" s="4" t="s">
        <v>34</v>
      </c>
      <c r="N73" t="s">
        <v>76</v>
      </c>
      <c r="P73" s="3" t="s">
        <v>36</v>
      </c>
      <c r="Q73" s="3" t="s">
        <v>84</v>
      </c>
      <c r="R73">
        <v>1</v>
      </c>
      <c r="S73" s="5">
        <v>45832</v>
      </c>
      <c r="T73" t="s">
        <v>38</v>
      </c>
      <c r="U73">
        <f t="shared" ca="1" si="6"/>
        <v>7</v>
      </c>
      <c r="V73" s="6">
        <f t="shared" ca="1" si="7"/>
        <v>46009</v>
      </c>
      <c r="W73" s="6">
        <f t="shared" ca="1" si="8"/>
        <v>46015</v>
      </c>
      <c r="X73" t="str">
        <f t="shared" ca="1" si="9"/>
        <v>Dec 18 to Dec 24</v>
      </c>
      <c r="Y73" t="str">
        <f t="shared" ca="1" si="10"/>
        <v>🟢 THIS WEEK</v>
      </c>
      <c r="Z73" t="str">
        <f t="shared" ca="1" si="11"/>
        <v>Confirm appointment</v>
      </c>
    </row>
    <row r="74" spans="1:26">
      <c r="A74">
        <v>1002272159</v>
      </c>
      <c r="B74" s="3" t="s">
        <v>318</v>
      </c>
      <c r="C74">
        <v>58</v>
      </c>
      <c r="D74" t="s">
        <v>27</v>
      </c>
      <c r="E74" t="s">
        <v>28</v>
      </c>
      <c r="F74" t="s">
        <v>29</v>
      </c>
      <c r="G74" t="s">
        <v>29</v>
      </c>
      <c r="H74">
        <v>4</v>
      </c>
      <c r="I74" t="s">
        <v>66</v>
      </c>
      <c r="J74" t="s">
        <v>319</v>
      </c>
      <c r="K74" t="s">
        <v>320</v>
      </c>
      <c r="M74" s="4" t="s">
        <v>43</v>
      </c>
      <c r="N74" t="s">
        <v>35</v>
      </c>
      <c r="P74" s="3" t="s">
        <v>36</v>
      </c>
      <c r="Q74" s="3" t="s">
        <v>107</v>
      </c>
      <c r="R74">
        <v>2</v>
      </c>
      <c r="S74" s="5">
        <v>45870</v>
      </c>
      <c r="T74" t="s">
        <v>38</v>
      </c>
      <c r="U74">
        <f t="shared" ca="1" si="6"/>
        <v>15</v>
      </c>
      <c r="V74" s="6">
        <f t="shared" ca="1" si="7"/>
        <v>46017</v>
      </c>
      <c r="W74" s="6">
        <f t="shared" ca="1" si="8"/>
        <v>46023</v>
      </c>
      <c r="X74" t="str">
        <f t="shared" ca="1" si="9"/>
        <v>Dec 26 to Jan 1</v>
      </c>
      <c r="Y74" t="str">
        <f t="shared" ca="1" si="10"/>
        <v>⚪ SCHEDULED</v>
      </c>
      <c r="Z74" t="str">
        <f t="shared" ca="1" si="11"/>
        <v>No action needed yet</v>
      </c>
    </row>
    <row r="75" spans="1:26">
      <c r="A75">
        <v>1002275905</v>
      </c>
      <c r="B75" s="3" t="s">
        <v>321</v>
      </c>
      <c r="C75">
        <v>59</v>
      </c>
      <c r="D75" t="s">
        <v>27</v>
      </c>
      <c r="E75" t="s">
        <v>28</v>
      </c>
      <c r="F75" t="s">
        <v>28</v>
      </c>
      <c r="G75" t="s">
        <v>29</v>
      </c>
      <c r="H75">
        <v>3</v>
      </c>
      <c r="I75" t="s">
        <v>66</v>
      </c>
      <c r="J75" t="s">
        <v>322</v>
      </c>
      <c r="K75" t="s">
        <v>323</v>
      </c>
      <c r="L75" t="s">
        <v>139</v>
      </c>
      <c r="M75" s="4" t="s">
        <v>34</v>
      </c>
      <c r="N75" t="s">
        <v>140</v>
      </c>
      <c r="P75" s="3" t="s">
        <v>36</v>
      </c>
      <c r="Q75" s="3" t="s">
        <v>45</v>
      </c>
      <c r="R75">
        <v>2</v>
      </c>
      <c r="S75" s="5">
        <v>45652</v>
      </c>
      <c r="T75" t="s">
        <v>38</v>
      </c>
      <c r="U75">
        <f t="shared" ca="1" si="6"/>
        <v>7</v>
      </c>
      <c r="V75" s="6">
        <f t="shared" ca="1" si="7"/>
        <v>46009</v>
      </c>
      <c r="W75" s="6">
        <f t="shared" ca="1" si="8"/>
        <v>46015</v>
      </c>
      <c r="X75" t="str">
        <f t="shared" ca="1" si="9"/>
        <v>Dec 18 to Dec 24</v>
      </c>
      <c r="Y75" t="str">
        <f t="shared" ca="1" si="10"/>
        <v>🟢 THIS WEEK</v>
      </c>
      <c r="Z75" t="str">
        <f t="shared" ca="1" si="11"/>
        <v>Confirm appointment</v>
      </c>
    </row>
    <row r="76" spans="1:26">
      <c r="A76">
        <v>1002312997</v>
      </c>
      <c r="B76" s="3" t="s">
        <v>324</v>
      </c>
      <c r="C76">
        <v>73</v>
      </c>
      <c r="D76" t="s">
        <v>47</v>
      </c>
      <c r="E76" t="s">
        <v>29</v>
      </c>
      <c r="F76" t="s">
        <v>29</v>
      </c>
      <c r="G76" t="s">
        <v>29</v>
      </c>
      <c r="H76">
        <v>8</v>
      </c>
      <c r="I76" t="s">
        <v>30</v>
      </c>
      <c r="J76" t="s">
        <v>325</v>
      </c>
      <c r="K76" t="s">
        <v>326</v>
      </c>
      <c r="L76" t="s">
        <v>327</v>
      </c>
      <c r="M76" s="4" t="s">
        <v>34</v>
      </c>
      <c r="N76" t="s">
        <v>76</v>
      </c>
      <c r="P76" s="3" t="s">
        <v>36</v>
      </c>
      <c r="Q76" t="s">
        <v>54</v>
      </c>
      <c r="R76">
        <v>1</v>
      </c>
      <c r="S76" s="5">
        <v>45745</v>
      </c>
      <c r="T76" t="s">
        <v>38</v>
      </c>
      <c r="U76">
        <f t="shared" ca="1" si="6"/>
        <v>10</v>
      </c>
      <c r="V76" s="6">
        <f t="shared" ca="1" si="7"/>
        <v>46012</v>
      </c>
      <c r="W76" s="6">
        <f t="shared" ca="1" si="8"/>
        <v>46018</v>
      </c>
      <c r="X76" t="str">
        <f t="shared" ca="1" si="9"/>
        <v>Dec 21 to Dec 27</v>
      </c>
      <c r="Y76" t="str">
        <f t="shared" ca="1" si="10"/>
        <v>🔵 NEXT 2 WEEKS</v>
      </c>
      <c r="Z76" t="str">
        <f t="shared" ca="1" si="11"/>
        <v>Send reminder SMS</v>
      </c>
    </row>
    <row r="77" spans="1:26">
      <c r="A77">
        <v>1002315388</v>
      </c>
      <c r="B77" s="3" t="s">
        <v>328</v>
      </c>
      <c r="C77">
        <v>58</v>
      </c>
      <c r="D77" t="s">
        <v>47</v>
      </c>
      <c r="E77" t="s">
        <v>28</v>
      </c>
      <c r="F77" t="s">
        <v>29</v>
      </c>
      <c r="G77" t="s">
        <v>28</v>
      </c>
      <c r="H77">
        <v>4</v>
      </c>
      <c r="I77" t="s">
        <v>66</v>
      </c>
      <c r="J77" t="s">
        <v>173</v>
      </c>
      <c r="K77" t="s">
        <v>329</v>
      </c>
      <c r="M77" s="4" t="s">
        <v>43</v>
      </c>
      <c r="N77" t="s">
        <v>64</v>
      </c>
      <c r="P77" s="3" t="s">
        <v>36</v>
      </c>
      <c r="Q77" s="3" t="s">
        <v>107</v>
      </c>
      <c r="R77">
        <v>1</v>
      </c>
      <c r="S77" s="5">
        <v>45925</v>
      </c>
      <c r="T77" t="s">
        <v>38</v>
      </c>
      <c r="U77">
        <f t="shared" ca="1" si="6"/>
        <v>10</v>
      </c>
      <c r="V77" s="6">
        <f t="shared" ca="1" si="7"/>
        <v>46012</v>
      </c>
      <c r="W77" s="6">
        <f t="shared" ca="1" si="8"/>
        <v>46018</v>
      </c>
      <c r="X77" t="str">
        <f t="shared" ca="1" si="9"/>
        <v>Dec 21 to Dec 27</v>
      </c>
      <c r="Y77" t="str">
        <f t="shared" ca="1" si="10"/>
        <v>🔵 NEXT 2 WEEKS</v>
      </c>
      <c r="Z77" t="str">
        <f t="shared" ca="1" si="11"/>
        <v>Send reminder SMS</v>
      </c>
    </row>
    <row r="78" spans="1:26">
      <c r="A78">
        <v>1002325569</v>
      </c>
      <c r="B78" s="3" t="s">
        <v>330</v>
      </c>
      <c r="C78">
        <v>46</v>
      </c>
      <c r="D78" t="s">
        <v>47</v>
      </c>
      <c r="E78" t="s">
        <v>28</v>
      </c>
      <c r="F78" t="s">
        <v>29</v>
      </c>
      <c r="G78" t="s">
        <v>29</v>
      </c>
      <c r="H78">
        <v>4</v>
      </c>
      <c r="I78" t="s">
        <v>66</v>
      </c>
      <c r="J78" t="s">
        <v>331</v>
      </c>
      <c r="K78" t="s">
        <v>332</v>
      </c>
      <c r="L78" t="s">
        <v>166</v>
      </c>
      <c r="M78" s="4" t="s">
        <v>34</v>
      </c>
      <c r="N78" t="s">
        <v>333</v>
      </c>
      <c r="P78" s="3" t="s">
        <v>36</v>
      </c>
      <c r="Q78" s="3" t="s">
        <v>334</v>
      </c>
      <c r="R78">
        <v>2</v>
      </c>
      <c r="S78" s="5">
        <v>45715</v>
      </c>
      <c r="T78" t="s">
        <v>38</v>
      </c>
      <c r="U78">
        <f t="shared" ca="1" si="6"/>
        <v>10</v>
      </c>
      <c r="V78" s="6">
        <f t="shared" ca="1" si="7"/>
        <v>46012</v>
      </c>
      <c r="W78" s="6">
        <f t="shared" ca="1" si="8"/>
        <v>46018</v>
      </c>
      <c r="X78" t="str">
        <f t="shared" ca="1" si="9"/>
        <v>Dec 21 to Dec 27</v>
      </c>
      <c r="Y78" t="str">
        <f t="shared" ca="1" si="10"/>
        <v>🔵 NEXT 2 WEEKS</v>
      </c>
      <c r="Z78" t="str">
        <f t="shared" ca="1" si="11"/>
        <v>Send reminder SMS</v>
      </c>
    </row>
    <row r="79" spans="1:26">
      <c r="A79">
        <v>1002363990</v>
      </c>
      <c r="B79" s="3" t="s">
        <v>335</v>
      </c>
      <c r="C79">
        <v>54</v>
      </c>
      <c r="D79" t="s">
        <v>27</v>
      </c>
      <c r="E79" t="s">
        <v>28</v>
      </c>
      <c r="F79" t="s">
        <v>29</v>
      </c>
      <c r="G79" t="s">
        <v>28</v>
      </c>
      <c r="H79">
        <v>4</v>
      </c>
      <c r="I79" t="s">
        <v>66</v>
      </c>
      <c r="J79" t="s">
        <v>336</v>
      </c>
      <c r="K79" t="s">
        <v>337</v>
      </c>
      <c r="L79" t="s">
        <v>338</v>
      </c>
      <c r="M79" s="4" t="s">
        <v>43</v>
      </c>
      <c r="N79" t="s">
        <v>70</v>
      </c>
      <c r="P79" s="3" t="s">
        <v>36</v>
      </c>
      <c r="Q79" s="3" t="s">
        <v>107</v>
      </c>
      <c r="R79">
        <v>1</v>
      </c>
      <c r="S79" s="5">
        <v>45912</v>
      </c>
      <c r="T79" t="s">
        <v>38</v>
      </c>
      <c r="U79">
        <f t="shared" ca="1" si="6"/>
        <v>27</v>
      </c>
      <c r="V79" s="6">
        <f t="shared" ca="1" si="7"/>
        <v>46029</v>
      </c>
      <c r="W79" s="6">
        <f t="shared" ca="1" si="8"/>
        <v>46035</v>
      </c>
      <c r="X79" t="str">
        <f t="shared" ca="1" si="9"/>
        <v>Jan 7 to Jan 13</v>
      </c>
      <c r="Y79" t="str">
        <f t="shared" ca="1" si="10"/>
        <v>⚪ SCHEDULED</v>
      </c>
      <c r="Z79" t="str">
        <f t="shared" ca="1" si="11"/>
        <v>No action needed yet</v>
      </c>
    </row>
    <row r="80" spans="1:26">
      <c r="A80">
        <v>1002367348</v>
      </c>
      <c r="B80" s="3" t="s">
        <v>339</v>
      </c>
      <c r="C80">
        <v>61</v>
      </c>
      <c r="D80" t="s">
        <v>47</v>
      </c>
      <c r="E80" t="s">
        <v>54</v>
      </c>
      <c r="F80" t="s">
        <v>54</v>
      </c>
      <c r="G80" t="s">
        <v>54</v>
      </c>
      <c r="H80">
        <v>3</v>
      </c>
      <c r="I80" t="s">
        <v>66</v>
      </c>
      <c r="J80" t="s">
        <v>340</v>
      </c>
      <c r="K80" t="s">
        <v>341</v>
      </c>
      <c r="L80" t="s">
        <v>170</v>
      </c>
      <c r="M80" s="4" t="s">
        <v>34</v>
      </c>
      <c r="N80" t="s">
        <v>59</v>
      </c>
      <c r="P80" s="3" t="s">
        <v>36</v>
      </c>
      <c r="Q80" t="s">
        <v>54</v>
      </c>
      <c r="R80">
        <v>1</v>
      </c>
      <c r="S80" s="5">
        <v>45381</v>
      </c>
      <c r="T80" t="s">
        <v>38</v>
      </c>
      <c r="U80">
        <f t="shared" ca="1" si="6"/>
        <v>6</v>
      </c>
      <c r="V80" s="6">
        <f t="shared" ca="1" si="7"/>
        <v>46008</v>
      </c>
      <c r="W80" s="6">
        <f t="shared" ca="1" si="8"/>
        <v>46014</v>
      </c>
      <c r="X80" t="str">
        <f t="shared" ca="1" si="9"/>
        <v>Dec 17 to Dec 23</v>
      </c>
      <c r="Y80" t="str">
        <f t="shared" ca="1" si="10"/>
        <v>🟢 THIS WEEK</v>
      </c>
      <c r="Z80" t="str">
        <f t="shared" ca="1" si="11"/>
        <v>Confirm appointment</v>
      </c>
    </row>
    <row r="81" spans="1:26">
      <c r="A81">
        <v>1002399218</v>
      </c>
      <c r="B81" s="3" t="s">
        <v>342</v>
      </c>
      <c r="C81">
        <v>73</v>
      </c>
      <c r="D81" t="s">
        <v>27</v>
      </c>
      <c r="E81" t="s">
        <v>29</v>
      </c>
      <c r="F81" t="s">
        <v>29</v>
      </c>
      <c r="G81" t="s">
        <v>29</v>
      </c>
      <c r="H81">
        <v>7</v>
      </c>
      <c r="I81" t="s">
        <v>30</v>
      </c>
      <c r="J81" t="s">
        <v>343</v>
      </c>
      <c r="K81" t="s">
        <v>344</v>
      </c>
      <c r="L81" t="s">
        <v>345</v>
      </c>
      <c r="M81" s="4" t="s">
        <v>34</v>
      </c>
      <c r="N81" t="s">
        <v>76</v>
      </c>
      <c r="P81" s="3" t="s">
        <v>36</v>
      </c>
      <c r="Q81" s="3" t="s">
        <v>45</v>
      </c>
      <c r="R81">
        <v>2</v>
      </c>
      <c r="S81" s="5">
        <v>45833</v>
      </c>
      <c r="T81" t="s">
        <v>38</v>
      </c>
      <c r="U81">
        <f t="shared" ca="1" si="6"/>
        <v>8</v>
      </c>
      <c r="V81" s="6">
        <f t="shared" ca="1" si="7"/>
        <v>46010</v>
      </c>
      <c r="W81" s="6">
        <f t="shared" ca="1" si="8"/>
        <v>46016</v>
      </c>
      <c r="X81" t="str">
        <f t="shared" ca="1" si="9"/>
        <v>Dec 19 to Dec 25</v>
      </c>
      <c r="Y81" t="str">
        <f t="shared" ca="1" si="10"/>
        <v>🔵 NEXT 2 WEEKS</v>
      </c>
      <c r="Z81" t="str">
        <f t="shared" ca="1" si="11"/>
        <v>Send reminder SMS</v>
      </c>
    </row>
    <row r="82" spans="1:26">
      <c r="A82">
        <v>1002435210</v>
      </c>
      <c r="B82" s="3" t="s">
        <v>346</v>
      </c>
      <c r="C82">
        <v>61</v>
      </c>
      <c r="D82" t="s">
        <v>27</v>
      </c>
      <c r="E82" t="s">
        <v>29</v>
      </c>
      <c r="F82" t="s">
        <v>29</v>
      </c>
      <c r="G82" t="s">
        <v>29</v>
      </c>
      <c r="H82">
        <v>6</v>
      </c>
      <c r="I82" t="s">
        <v>30</v>
      </c>
      <c r="J82" t="s">
        <v>347</v>
      </c>
      <c r="K82" t="s">
        <v>348</v>
      </c>
      <c r="M82" s="4" t="s">
        <v>43</v>
      </c>
      <c r="N82" t="s">
        <v>44</v>
      </c>
      <c r="P82" s="3" t="s">
        <v>36</v>
      </c>
      <c r="Q82" s="3" t="s">
        <v>84</v>
      </c>
      <c r="R82">
        <v>1</v>
      </c>
      <c r="S82" s="5">
        <v>45920</v>
      </c>
      <c r="T82" t="s">
        <v>38</v>
      </c>
      <c r="U82">
        <f t="shared" ca="1" si="6"/>
        <v>5</v>
      </c>
      <c r="V82" s="6">
        <f t="shared" ca="1" si="7"/>
        <v>46007</v>
      </c>
      <c r="W82" s="6">
        <f t="shared" ca="1" si="8"/>
        <v>46013</v>
      </c>
      <c r="X82" t="str">
        <f t="shared" ca="1" si="9"/>
        <v>Dec 16 to Dec 22</v>
      </c>
      <c r="Y82" t="str">
        <f t="shared" ca="1" si="10"/>
        <v>🟢 THIS WEEK</v>
      </c>
      <c r="Z82" t="str">
        <f t="shared" ca="1" si="11"/>
        <v>Confirm appointment</v>
      </c>
    </row>
    <row r="83" spans="1:26">
      <c r="A83">
        <v>1002435236</v>
      </c>
      <c r="B83" s="3" t="s">
        <v>349</v>
      </c>
      <c r="C83">
        <v>75</v>
      </c>
      <c r="D83" t="s">
        <v>47</v>
      </c>
      <c r="E83" t="s">
        <v>54</v>
      </c>
      <c r="F83" t="s">
        <v>54</v>
      </c>
      <c r="G83" t="s">
        <v>54</v>
      </c>
      <c r="H83">
        <v>4</v>
      </c>
      <c r="I83" t="s">
        <v>66</v>
      </c>
      <c r="J83" t="s">
        <v>350</v>
      </c>
      <c r="K83" t="s">
        <v>351</v>
      </c>
      <c r="L83" t="s">
        <v>170</v>
      </c>
      <c r="M83" s="4" t="s">
        <v>34</v>
      </c>
      <c r="N83" t="s">
        <v>59</v>
      </c>
      <c r="P83" s="3" t="s">
        <v>36</v>
      </c>
      <c r="Q83" s="3" t="s">
        <v>107</v>
      </c>
      <c r="R83">
        <v>1</v>
      </c>
      <c r="S83" s="5">
        <v>45596</v>
      </c>
      <c r="T83" t="s">
        <v>38</v>
      </c>
      <c r="U83">
        <f t="shared" ca="1" si="6"/>
        <v>11</v>
      </c>
      <c r="V83" s="6">
        <f t="shared" ca="1" si="7"/>
        <v>46013</v>
      </c>
      <c r="W83" s="6">
        <f t="shared" ca="1" si="8"/>
        <v>46019</v>
      </c>
      <c r="X83" t="str">
        <f t="shared" ca="1" si="9"/>
        <v>Dec 22 to Dec 28</v>
      </c>
      <c r="Y83" t="str">
        <f t="shared" ca="1" si="10"/>
        <v>🔵 NEXT 2 WEEKS</v>
      </c>
      <c r="Z83" t="str">
        <f t="shared" ca="1" si="11"/>
        <v>Send reminder SMS</v>
      </c>
    </row>
    <row r="84" spans="1:26">
      <c r="A84">
        <v>1002523106</v>
      </c>
      <c r="B84" s="3" t="s">
        <v>352</v>
      </c>
      <c r="C84">
        <v>65</v>
      </c>
      <c r="D84" t="s">
        <v>27</v>
      </c>
      <c r="E84" t="s">
        <v>29</v>
      </c>
      <c r="F84" t="s">
        <v>29</v>
      </c>
      <c r="G84" t="s">
        <v>29</v>
      </c>
      <c r="H84">
        <v>6</v>
      </c>
      <c r="I84" t="s">
        <v>30</v>
      </c>
      <c r="J84" t="s">
        <v>353</v>
      </c>
      <c r="K84" t="s">
        <v>354</v>
      </c>
      <c r="L84" t="s">
        <v>355</v>
      </c>
      <c r="M84" s="4" t="s">
        <v>34</v>
      </c>
      <c r="N84" t="s">
        <v>76</v>
      </c>
      <c r="P84" s="3" t="s">
        <v>36</v>
      </c>
      <c r="Q84" s="3" t="s">
        <v>84</v>
      </c>
      <c r="R84">
        <v>1</v>
      </c>
      <c r="S84" s="5">
        <v>45584</v>
      </c>
      <c r="T84" t="s">
        <v>38</v>
      </c>
      <c r="U84">
        <f t="shared" ca="1" si="6"/>
        <v>29</v>
      </c>
      <c r="V84" s="6">
        <f t="shared" ca="1" si="7"/>
        <v>46031</v>
      </c>
      <c r="W84" s="6">
        <f t="shared" ca="1" si="8"/>
        <v>46037</v>
      </c>
      <c r="X84" t="str">
        <f t="shared" ca="1" si="9"/>
        <v>Jan 9 to Jan 15</v>
      </c>
      <c r="Y84" t="str">
        <f t="shared" ca="1" si="10"/>
        <v>⚪ SCHEDULED</v>
      </c>
      <c r="Z84" t="str">
        <f t="shared" ca="1" si="11"/>
        <v>No action needed yet</v>
      </c>
    </row>
    <row r="85" spans="1:26">
      <c r="A85">
        <v>1002662979</v>
      </c>
      <c r="B85" s="3" t="s">
        <v>356</v>
      </c>
      <c r="C85">
        <v>71</v>
      </c>
      <c r="D85" t="s">
        <v>27</v>
      </c>
      <c r="E85" t="s">
        <v>29</v>
      </c>
      <c r="F85" t="s">
        <v>29</v>
      </c>
      <c r="G85" t="s">
        <v>28</v>
      </c>
      <c r="H85">
        <v>7</v>
      </c>
      <c r="I85" t="s">
        <v>30</v>
      </c>
      <c r="J85" t="s">
        <v>357</v>
      </c>
      <c r="K85" t="s">
        <v>358</v>
      </c>
      <c r="L85" t="s">
        <v>69</v>
      </c>
      <c r="M85" s="4" t="s">
        <v>43</v>
      </c>
      <c r="N85" t="s">
        <v>131</v>
      </c>
      <c r="P85" s="3" t="s">
        <v>36</v>
      </c>
      <c r="Q85" s="3" t="s">
        <v>96</v>
      </c>
      <c r="R85">
        <v>2</v>
      </c>
      <c r="S85" s="5">
        <v>45911</v>
      </c>
      <c r="T85" t="s">
        <v>38</v>
      </c>
      <c r="U85">
        <f t="shared" ca="1" si="6"/>
        <v>26</v>
      </c>
      <c r="V85" s="6">
        <f t="shared" ca="1" si="7"/>
        <v>46028</v>
      </c>
      <c r="W85" s="6">
        <f t="shared" ca="1" si="8"/>
        <v>46034</v>
      </c>
      <c r="X85" t="str">
        <f t="shared" ca="1" si="9"/>
        <v>Jan 6 to Jan 12</v>
      </c>
      <c r="Y85" t="str">
        <f t="shared" ca="1" si="10"/>
        <v>⚪ SCHEDULED</v>
      </c>
      <c r="Z85" t="str">
        <f t="shared" ca="1" si="11"/>
        <v>No action needed yet</v>
      </c>
    </row>
    <row r="86" spans="1:26">
      <c r="A86">
        <v>1002709077</v>
      </c>
      <c r="B86" s="3" t="s">
        <v>359</v>
      </c>
      <c r="C86">
        <v>71</v>
      </c>
      <c r="D86" t="s">
        <v>27</v>
      </c>
      <c r="E86" t="s">
        <v>29</v>
      </c>
      <c r="F86" t="s">
        <v>28</v>
      </c>
      <c r="G86" t="s">
        <v>28</v>
      </c>
      <c r="H86">
        <v>5</v>
      </c>
      <c r="I86" t="s">
        <v>30</v>
      </c>
      <c r="J86" t="s">
        <v>360</v>
      </c>
      <c r="K86" t="s">
        <v>361</v>
      </c>
      <c r="L86" t="s">
        <v>170</v>
      </c>
      <c r="M86" s="4" t="s">
        <v>34</v>
      </c>
      <c r="N86" t="s">
        <v>162</v>
      </c>
      <c r="P86" s="3" t="s">
        <v>36</v>
      </c>
      <c r="Q86" s="3" t="s">
        <v>45</v>
      </c>
      <c r="R86">
        <v>2</v>
      </c>
      <c r="S86" s="5">
        <v>45659</v>
      </c>
      <c r="T86" t="s">
        <v>38</v>
      </c>
      <c r="U86">
        <f t="shared" ca="1" si="6"/>
        <v>14</v>
      </c>
      <c r="V86" s="6">
        <f t="shared" ca="1" si="7"/>
        <v>46016</v>
      </c>
      <c r="W86" s="6">
        <f t="shared" ca="1" si="8"/>
        <v>46022</v>
      </c>
      <c r="X86" t="str">
        <f t="shared" ca="1" si="9"/>
        <v>Dec 25 to Dec 31</v>
      </c>
      <c r="Y86" t="str">
        <f t="shared" ca="1" si="10"/>
        <v>🔵 NEXT 2 WEEKS</v>
      </c>
      <c r="Z86" t="str">
        <f t="shared" ca="1" si="11"/>
        <v>Send reminder SMS</v>
      </c>
    </row>
    <row r="87" spans="1:26">
      <c r="A87">
        <v>1002806360</v>
      </c>
      <c r="B87" s="3" t="s">
        <v>362</v>
      </c>
      <c r="C87">
        <v>68</v>
      </c>
      <c r="D87" t="s">
        <v>47</v>
      </c>
      <c r="E87" t="s">
        <v>29</v>
      </c>
      <c r="F87" t="s">
        <v>29</v>
      </c>
      <c r="G87" t="s">
        <v>28</v>
      </c>
      <c r="H87">
        <v>6</v>
      </c>
      <c r="I87" t="s">
        <v>30</v>
      </c>
      <c r="J87" t="s">
        <v>363</v>
      </c>
      <c r="K87" t="s">
        <v>364</v>
      </c>
      <c r="M87" s="4" t="s">
        <v>94</v>
      </c>
      <c r="N87" t="s">
        <v>144</v>
      </c>
      <c r="P87" s="3" t="s">
        <v>36</v>
      </c>
      <c r="Q87" s="3" t="s">
        <v>365</v>
      </c>
      <c r="R87">
        <v>2</v>
      </c>
      <c r="S87" s="5">
        <v>45938</v>
      </c>
      <c r="T87" t="s">
        <v>38</v>
      </c>
      <c r="U87">
        <f t="shared" ca="1" si="6"/>
        <v>23</v>
      </c>
      <c r="V87" s="6">
        <f t="shared" ca="1" si="7"/>
        <v>46025</v>
      </c>
      <c r="W87" s="6">
        <f t="shared" ca="1" si="8"/>
        <v>46031</v>
      </c>
      <c r="X87" t="str">
        <f t="shared" ca="1" si="9"/>
        <v>Jan 3 to Jan 9</v>
      </c>
      <c r="Y87" t="str">
        <f t="shared" ca="1" si="10"/>
        <v>⚪ SCHEDULED</v>
      </c>
      <c r="Z87" t="str">
        <f t="shared" ca="1" si="11"/>
        <v>No action needed yet</v>
      </c>
    </row>
    <row r="88" spans="1:26">
      <c r="A88">
        <v>1002828794</v>
      </c>
      <c r="B88" s="3" t="s">
        <v>366</v>
      </c>
      <c r="C88">
        <v>65</v>
      </c>
      <c r="D88" t="s">
        <v>47</v>
      </c>
      <c r="E88" t="s">
        <v>29</v>
      </c>
      <c r="F88" t="s">
        <v>29</v>
      </c>
      <c r="G88" t="s">
        <v>29</v>
      </c>
      <c r="H88">
        <v>7</v>
      </c>
      <c r="I88" t="s">
        <v>30</v>
      </c>
      <c r="J88" t="s">
        <v>367</v>
      </c>
      <c r="K88" t="s">
        <v>368</v>
      </c>
      <c r="M88" s="4" t="s">
        <v>43</v>
      </c>
      <c r="N88" t="s">
        <v>44</v>
      </c>
      <c r="P88" s="3" t="s">
        <v>36</v>
      </c>
      <c r="Q88" t="s">
        <v>54</v>
      </c>
      <c r="R88">
        <v>1</v>
      </c>
      <c r="S88" s="5">
        <v>45912</v>
      </c>
      <c r="T88" t="s">
        <v>38</v>
      </c>
      <c r="U88">
        <f t="shared" ca="1" si="6"/>
        <v>27</v>
      </c>
      <c r="V88" s="6">
        <f t="shared" ca="1" si="7"/>
        <v>46029</v>
      </c>
      <c r="W88" s="6">
        <f t="shared" ca="1" si="8"/>
        <v>46035</v>
      </c>
      <c r="X88" t="str">
        <f t="shared" ca="1" si="9"/>
        <v>Jan 7 to Jan 13</v>
      </c>
      <c r="Y88" t="str">
        <f t="shared" ca="1" si="10"/>
        <v>⚪ SCHEDULED</v>
      </c>
      <c r="Z88" t="str">
        <f t="shared" ca="1" si="11"/>
        <v>No action needed yet</v>
      </c>
    </row>
    <row r="89" spans="1:26">
      <c r="A89">
        <v>1002852620</v>
      </c>
      <c r="B89" s="3" t="s">
        <v>369</v>
      </c>
      <c r="C89">
        <v>58</v>
      </c>
      <c r="D89" t="s">
        <v>27</v>
      </c>
      <c r="E89" t="s">
        <v>28</v>
      </c>
      <c r="F89" t="s">
        <v>28</v>
      </c>
      <c r="G89" t="s">
        <v>28</v>
      </c>
      <c r="H89">
        <v>3</v>
      </c>
      <c r="I89" t="s">
        <v>66</v>
      </c>
      <c r="J89" t="s">
        <v>370</v>
      </c>
      <c r="K89" t="s">
        <v>371</v>
      </c>
      <c r="L89" t="s">
        <v>139</v>
      </c>
      <c r="M89" s="4" t="s">
        <v>34</v>
      </c>
      <c r="N89" t="s">
        <v>59</v>
      </c>
      <c r="P89" s="3" t="s">
        <v>36</v>
      </c>
      <c r="Q89" s="3" t="s">
        <v>107</v>
      </c>
      <c r="R89">
        <v>1</v>
      </c>
      <c r="S89" s="5">
        <v>45808</v>
      </c>
      <c r="T89" t="s">
        <v>38</v>
      </c>
      <c r="U89">
        <f t="shared" ca="1" si="6"/>
        <v>13</v>
      </c>
      <c r="V89" s="6">
        <f t="shared" ca="1" si="7"/>
        <v>46015</v>
      </c>
      <c r="W89" s="6">
        <f t="shared" ca="1" si="8"/>
        <v>46021</v>
      </c>
      <c r="X89" t="str">
        <f t="shared" ca="1" si="9"/>
        <v>Dec 24 to Dec 30</v>
      </c>
      <c r="Y89" t="str">
        <f t="shared" ca="1" si="10"/>
        <v>🔵 NEXT 2 WEEKS</v>
      </c>
      <c r="Z89" t="str">
        <f t="shared" ca="1" si="11"/>
        <v>Send reminder SMS</v>
      </c>
    </row>
    <row r="90" spans="1:26">
      <c r="A90">
        <v>1002881348</v>
      </c>
      <c r="B90" s="3" t="s">
        <v>372</v>
      </c>
      <c r="C90">
        <v>51</v>
      </c>
      <c r="D90" t="s">
        <v>27</v>
      </c>
      <c r="E90" t="s">
        <v>29</v>
      </c>
      <c r="F90" t="s">
        <v>28</v>
      </c>
      <c r="G90" t="s">
        <v>28</v>
      </c>
      <c r="H90">
        <v>4</v>
      </c>
      <c r="I90" t="s">
        <v>66</v>
      </c>
      <c r="J90" t="s">
        <v>373</v>
      </c>
      <c r="K90" t="s">
        <v>374</v>
      </c>
      <c r="L90" t="s">
        <v>105</v>
      </c>
      <c r="M90" s="4" t="s">
        <v>34</v>
      </c>
      <c r="N90" t="s">
        <v>162</v>
      </c>
      <c r="P90" s="3" t="s">
        <v>36</v>
      </c>
      <c r="Q90" t="s">
        <v>54</v>
      </c>
      <c r="R90">
        <v>2</v>
      </c>
      <c r="S90" s="5">
        <v>45570</v>
      </c>
      <c r="T90" t="s">
        <v>38</v>
      </c>
      <c r="U90">
        <f t="shared" ca="1" si="6"/>
        <v>15</v>
      </c>
      <c r="V90" s="6">
        <f t="shared" ca="1" si="7"/>
        <v>46017</v>
      </c>
      <c r="W90" s="6">
        <f t="shared" ca="1" si="8"/>
        <v>46023</v>
      </c>
      <c r="X90" t="str">
        <f t="shared" ca="1" si="9"/>
        <v>Dec 26 to Jan 1</v>
      </c>
      <c r="Y90" t="str">
        <f t="shared" ca="1" si="10"/>
        <v>⚪ SCHEDULED</v>
      </c>
      <c r="Z90" t="str">
        <f t="shared" ca="1" si="11"/>
        <v>No action needed yet</v>
      </c>
    </row>
    <row r="91" spans="1:26">
      <c r="A91">
        <v>1002884540</v>
      </c>
      <c r="B91" s="3" t="s">
        <v>375</v>
      </c>
      <c r="C91">
        <v>67</v>
      </c>
      <c r="D91" t="s">
        <v>47</v>
      </c>
      <c r="E91" t="s">
        <v>29</v>
      </c>
      <c r="F91" t="s">
        <v>29</v>
      </c>
      <c r="G91" t="s">
        <v>29</v>
      </c>
      <c r="H91">
        <v>6</v>
      </c>
      <c r="I91" t="s">
        <v>30</v>
      </c>
      <c r="J91" t="s">
        <v>184</v>
      </c>
      <c r="K91" t="s">
        <v>376</v>
      </c>
      <c r="L91" t="s">
        <v>186</v>
      </c>
      <c r="M91" s="4" t="s">
        <v>43</v>
      </c>
      <c r="N91" t="s">
        <v>44</v>
      </c>
      <c r="P91" s="3" t="s">
        <v>36</v>
      </c>
      <c r="Q91" s="3" t="s">
        <v>77</v>
      </c>
      <c r="R91">
        <v>1</v>
      </c>
      <c r="S91" s="5">
        <v>45889</v>
      </c>
      <c r="T91" t="s">
        <v>38</v>
      </c>
      <c r="U91">
        <f t="shared" ca="1" si="6"/>
        <v>4</v>
      </c>
      <c r="V91" s="6">
        <f t="shared" ca="1" si="7"/>
        <v>46006</v>
      </c>
      <c r="W91" s="6">
        <f t="shared" ca="1" si="8"/>
        <v>46012</v>
      </c>
      <c r="X91" t="str">
        <f t="shared" ca="1" si="9"/>
        <v>Dec 15 to Dec 21</v>
      </c>
      <c r="Y91" t="str">
        <f t="shared" ca="1" si="10"/>
        <v>🟢 THIS WEEK</v>
      </c>
      <c r="Z91" t="str">
        <f t="shared" ca="1" si="11"/>
        <v>Confirm appointment</v>
      </c>
    </row>
    <row r="92" spans="1:26">
      <c r="A92">
        <v>1002901674</v>
      </c>
      <c r="B92" s="3" t="s">
        <v>377</v>
      </c>
      <c r="C92">
        <v>77</v>
      </c>
      <c r="D92" t="s">
        <v>47</v>
      </c>
      <c r="E92" t="s">
        <v>28</v>
      </c>
      <c r="F92" t="s">
        <v>29</v>
      </c>
      <c r="G92" t="s">
        <v>28</v>
      </c>
      <c r="H92">
        <v>6</v>
      </c>
      <c r="I92" t="s">
        <v>30</v>
      </c>
      <c r="J92" t="s">
        <v>378</v>
      </c>
      <c r="K92" t="s">
        <v>379</v>
      </c>
      <c r="L92" t="s">
        <v>380</v>
      </c>
      <c r="M92" s="4" t="s">
        <v>43</v>
      </c>
      <c r="N92" t="s">
        <v>70</v>
      </c>
      <c r="P92" s="3" t="s">
        <v>36</v>
      </c>
      <c r="Q92" s="3" t="s">
        <v>381</v>
      </c>
      <c r="R92">
        <v>2</v>
      </c>
      <c r="S92" s="5">
        <v>45888</v>
      </c>
      <c r="T92" t="s">
        <v>38</v>
      </c>
      <c r="U92">
        <f t="shared" ca="1" si="6"/>
        <v>3</v>
      </c>
      <c r="V92" s="6">
        <f t="shared" ca="1" si="7"/>
        <v>46005</v>
      </c>
      <c r="W92" s="6">
        <f t="shared" ca="1" si="8"/>
        <v>46011</v>
      </c>
      <c r="X92" t="str">
        <f t="shared" ca="1" si="9"/>
        <v>Dec 14 to Dec 20</v>
      </c>
      <c r="Y92" t="str">
        <f t="shared" ca="1" si="10"/>
        <v>🟡 IMMINENT (within 3 days)</v>
      </c>
      <c r="Z92" t="str">
        <f t="shared" ca="1" si="11"/>
        <v>Prepare medications TODAY</v>
      </c>
    </row>
    <row r="93" spans="1:26">
      <c r="A93">
        <v>1002945077</v>
      </c>
      <c r="B93" s="3" t="s">
        <v>382</v>
      </c>
      <c r="C93">
        <v>61</v>
      </c>
      <c r="D93" t="s">
        <v>27</v>
      </c>
      <c r="E93" t="s">
        <v>28</v>
      </c>
      <c r="F93" t="s">
        <v>29</v>
      </c>
      <c r="G93" t="s">
        <v>28</v>
      </c>
      <c r="H93">
        <v>5</v>
      </c>
      <c r="I93" t="s">
        <v>30</v>
      </c>
      <c r="J93" t="s">
        <v>125</v>
      </c>
      <c r="K93" t="s">
        <v>383</v>
      </c>
      <c r="L93" t="s">
        <v>69</v>
      </c>
      <c r="M93" s="4" t="s">
        <v>34</v>
      </c>
      <c r="N93" t="s">
        <v>70</v>
      </c>
      <c r="P93" s="3" t="s">
        <v>36</v>
      </c>
      <c r="Q93" s="3" t="s">
        <v>84</v>
      </c>
      <c r="R93">
        <v>1</v>
      </c>
      <c r="S93" s="5">
        <v>45402</v>
      </c>
      <c r="T93" t="s">
        <v>38</v>
      </c>
      <c r="U93">
        <f t="shared" ca="1" si="6"/>
        <v>27</v>
      </c>
      <c r="V93" s="6">
        <f t="shared" ca="1" si="7"/>
        <v>46029</v>
      </c>
      <c r="W93" s="6">
        <f t="shared" ca="1" si="8"/>
        <v>46035</v>
      </c>
      <c r="X93" t="str">
        <f t="shared" ca="1" si="9"/>
        <v>Jan 7 to Jan 13</v>
      </c>
      <c r="Y93" t="str">
        <f t="shared" ca="1" si="10"/>
        <v>⚪ SCHEDULED</v>
      </c>
      <c r="Z93" t="str">
        <f t="shared" ca="1" si="11"/>
        <v>No action needed yet</v>
      </c>
    </row>
    <row r="94" spans="1:26">
      <c r="A94">
        <v>1002954418</v>
      </c>
      <c r="B94" s="3" t="s">
        <v>384</v>
      </c>
      <c r="C94">
        <v>63</v>
      </c>
      <c r="D94" t="s">
        <v>47</v>
      </c>
      <c r="E94" t="s">
        <v>28</v>
      </c>
      <c r="F94" t="s">
        <v>29</v>
      </c>
      <c r="G94" t="s">
        <v>29</v>
      </c>
      <c r="H94">
        <v>5</v>
      </c>
      <c r="I94" t="s">
        <v>30</v>
      </c>
      <c r="J94" t="s">
        <v>385</v>
      </c>
      <c r="K94" t="s">
        <v>386</v>
      </c>
      <c r="L94" t="s">
        <v>135</v>
      </c>
      <c r="M94" s="4" t="s">
        <v>43</v>
      </c>
      <c r="N94" t="s">
        <v>333</v>
      </c>
      <c r="P94" s="3" t="s">
        <v>36</v>
      </c>
      <c r="Q94" s="3" t="s">
        <v>96</v>
      </c>
      <c r="R94">
        <v>2</v>
      </c>
      <c r="S94" s="5">
        <v>45863</v>
      </c>
      <c r="T94" t="s">
        <v>38</v>
      </c>
      <c r="U94">
        <f t="shared" ca="1" si="6"/>
        <v>8</v>
      </c>
      <c r="V94" s="6">
        <f t="shared" ca="1" si="7"/>
        <v>46010</v>
      </c>
      <c r="W94" s="6">
        <f t="shared" ca="1" si="8"/>
        <v>46016</v>
      </c>
      <c r="X94" t="str">
        <f t="shared" ca="1" si="9"/>
        <v>Dec 19 to Dec 25</v>
      </c>
      <c r="Y94" t="str">
        <f t="shared" ca="1" si="10"/>
        <v>🔵 NEXT 2 WEEKS</v>
      </c>
      <c r="Z94" t="str">
        <f t="shared" ca="1" si="11"/>
        <v>Send reminder SMS</v>
      </c>
    </row>
    <row r="95" spans="1:26">
      <c r="A95">
        <v>1002970174</v>
      </c>
      <c r="B95" s="3" t="s">
        <v>387</v>
      </c>
      <c r="C95">
        <v>50</v>
      </c>
      <c r="D95" t="s">
        <v>27</v>
      </c>
      <c r="E95" t="s">
        <v>54</v>
      </c>
      <c r="F95" t="s">
        <v>54</v>
      </c>
      <c r="G95" t="s">
        <v>54</v>
      </c>
      <c r="H95">
        <v>2</v>
      </c>
      <c r="I95" t="s">
        <v>55</v>
      </c>
      <c r="J95" t="s">
        <v>388</v>
      </c>
      <c r="K95" t="s">
        <v>389</v>
      </c>
      <c r="L95" t="s">
        <v>33</v>
      </c>
      <c r="M95" s="4" t="s">
        <v>43</v>
      </c>
      <c r="N95" t="s">
        <v>59</v>
      </c>
      <c r="P95" s="3" t="s">
        <v>36</v>
      </c>
      <c r="Q95" t="s">
        <v>54</v>
      </c>
      <c r="R95">
        <v>2</v>
      </c>
      <c r="S95" s="5">
        <v>45905</v>
      </c>
      <c r="T95" t="s">
        <v>60</v>
      </c>
      <c r="U95">
        <f t="shared" ca="1" si="6"/>
        <v>20</v>
      </c>
      <c r="V95" s="6">
        <f t="shared" ca="1" si="7"/>
        <v>46022</v>
      </c>
      <c r="W95" s="6">
        <f t="shared" ca="1" si="8"/>
        <v>46028</v>
      </c>
      <c r="X95" t="str">
        <f t="shared" ca="1" si="9"/>
        <v>Dec 31 to Jan 6</v>
      </c>
      <c r="Y95" t="str">
        <f t="shared" ca="1" si="10"/>
        <v>⚪ SCHEDULED</v>
      </c>
      <c r="Z95" t="str">
        <f t="shared" ca="1" si="11"/>
        <v>No action needed yet</v>
      </c>
    </row>
    <row r="96" spans="1:26">
      <c r="A96">
        <v>1002991931</v>
      </c>
      <c r="B96" s="3" t="s">
        <v>390</v>
      </c>
      <c r="C96">
        <v>44</v>
      </c>
      <c r="D96" t="s">
        <v>47</v>
      </c>
      <c r="E96" t="s">
        <v>54</v>
      </c>
      <c r="F96" t="s">
        <v>54</v>
      </c>
      <c r="G96" t="s">
        <v>54</v>
      </c>
      <c r="H96">
        <v>1</v>
      </c>
      <c r="I96" t="s">
        <v>55</v>
      </c>
      <c r="J96" t="s">
        <v>391</v>
      </c>
      <c r="K96" t="s">
        <v>392</v>
      </c>
      <c r="L96" t="s">
        <v>170</v>
      </c>
      <c r="M96" s="4" t="s">
        <v>43</v>
      </c>
      <c r="N96" t="s">
        <v>59</v>
      </c>
      <c r="P96" s="3" t="s">
        <v>36</v>
      </c>
      <c r="Q96" s="3" t="s">
        <v>107</v>
      </c>
      <c r="R96">
        <v>1</v>
      </c>
      <c r="S96" s="5">
        <v>45971</v>
      </c>
      <c r="T96" t="s">
        <v>393</v>
      </c>
      <c r="U96">
        <f t="shared" ca="1" si="6"/>
        <v>56</v>
      </c>
      <c r="V96" s="6">
        <f t="shared" ca="1" si="7"/>
        <v>46058</v>
      </c>
      <c r="W96" s="6">
        <f t="shared" ca="1" si="8"/>
        <v>46064</v>
      </c>
      <c r="X96" t="str">
        <f t="shared" ca="1" si="9"/>
        <v>Feb 5 to Feb 11</v>
      </c>
      <c r="Y96" t="str">
        <f t="shared" ca="1" si="10"/>
        <v>⚪ SCHEDULED</v>
      </c>
      <c r="Z96" t="str">
        <f t="shared" ca="1" si="11"/>
        <v>No action needed yet</v>
      </c>
    </row>
    <row r="97" spans="1:26">
      <c r="A97">
        <v>1003026547</v>
      </c>
      <c r="B97" s="3" t="s">
        <v>394</v>
      </c>
      <c r="C97">
        <v>57</v>
      </c>
      <c r="D97" t="s">
        <v>27</v>
      </c>
      <c r="E97" t="s">
        <v>29</v>
      </c>
      <c r="F97" t="s">
        <v>28</v>
      </c>
      <c r="G97" t="s">
        <v>29</v>
      </c>
      <c r="H97">
        <v>4</v>
      </c>
      <c r="I97" t="s">
        <v>66</v>
      </c>
      <c r="J97" t="s">
        <v>395</v>
      </c>
      <c r="K97" t="s">
        <v>396</v>
      </c>
      <c r="L97" t="s">
        <v>234</v>
      </c>
      <c r="M97" s="4" t="s">
        <v>43</v>
      </c>
      <c r="N97" t="s">
        <v>51</v>
      </c>
      <c r="P97" s="3" t="s">
        <v>36</v>
      </c>
      <c r="Q97" s="3" t="s">
        <v>230</v>
      </c>
      <c r="R97">
        <v>1</v>
      </c>
      <c r="S97" s="5">
        <v>45860</v>
      </c>
      <c r="T97" t="s">
        <v>38</v>
      </c>
      <c r="U97">
        <f t="shared" ca="1" si="6"/>
        <v>5</v>
      </c>
      <c r="V97" s="6">
        <f t="shared" ca="1" si="7"/>
        <v>46007</v>
      </c>
      <c r="W97" s="6">
        <f t="shared" ca="1" si="8"/>
        <v>46013</v>
      </c>
      <c r="X97" t="str">
        <f t="shared" ca="1" si="9"/>
        <v>Dec 16 to Dec 22</v>
      </c>
      <c r="Y97" t="str">
        <f t="shared" ca="1" si="10"/>
        <v>🟢 THIS WEEK</v>
      </c>
      <c r="Z97" t="str">
        <f t="shared" ca="1" si="11"/>
        <v>Confirm appointment</v>
      </c>
    </row>
    <row r="98" spans="1:26">
      <c r="A98">
        <v>1003050224</v>
      </c>
      <c r="B98" s="3" t="s">
        <v>397</v>
      </c>
      <c r="C98">
        <v>43</v>
      </c>
      <c r="D98" t="s">
        <v>47</v>
      </c>
      <c r="E98" t="s">
        <v>28</v>
      </c>
      <c r="F98" t="s">
        <v>29</v>
      </c>
      <c r="G98" t="s">
        <v>28</v>
      </c>
      <c r="H98">
        <v>3</v>
      </c>
      <c r="I98" t="s">
        <v>66</v>
      </c>
      <c r="J98" t="s">
        <v>398</v>
      </c>
      <c r="K98" t="s">
        <v>399</v>
      </c>
      <c r="L98" t="s">
        <v>69</v>
      </c>
      <c r="M98" s="4" t="s">
        <v>43</v>
      </c>
      <c r="N98" t="s">
        <v>70</v>
      </c>
      <c r="P98" s="3" t="s">
        <v>36</v>
      </c>
      <c r="Q98" s="3" t="s">
        <v>84</v>
      </c>
      <c r="R98">
        <v>1</v>
      </c>
      <c r="S98" s="5">
        <v>45863</v>
      </c>
      <c r="T98" t="s">
        <v>38</v>
      </c>
      <c r="U98">
        <f t="shared" ca="1" si="6"/>
        <v>8</v>
      </c>
      <c r="V98" s="6">
        <f t="shared" ca="1" si="7"/>
        <v>46010</v>
      </c>
      <c r="W98" s="6">
        <f t="shared" ca="1" si="8"/>
        <v>46016</v>
      </c>
      <c r="X98" t="str">
        <f t="shared" ca="1" si="9"/>
        <v>Dec 19 to Dec 25</v>
      </c>
      <c r="Y98" t="str">
        <f t="shared" ca="1" si="10"/>
        <v>🔵 NEXT 2 WEEKS</v>
      </c>
      <c r="Z98" t="str">
        <f t="shared" ca="1" si="11"/>
        <v>Send reminder SMS</v>
      </c>
    </row>
    <row r="99" spans="1:26">
      <c r="A99">
        <v>1003102991</v>
      </c>
      <c r="B99" s="3" t="s">
        <v>400</v>
      </c>
      <c r="C99">
        <v>66</v>
      </c>
      <c r="D99" t="s">
        <v>27</v>
      </c>
      <c r="E99" t="s">
        <v>29</v>
      </c>
      <c r="F99" t="s">
        <v>29</v>
      </c>
      <c r="G99" t="s">
        <v>29</v>
      </c>
      <c r="H99">
        <v>7</v>
      </c>
      <c r="I99" t="s">
        <v>30</v>
      </c>
      <c r="J99" t="s">
        <v>401</v>
      </c>
      <c r="K99" t="s">
        <v>402</v>
      </c>
      <c r="L99" t="s">
        <v>75</v>
      </c>
      <c r="M99" s="4" t="s">
        <v>34</v>
      </c>
      <c r="N99" t="s">
        <v>76</v>
      </c>
      <c r="P99" s="3" t="s">
        <v>36</v>
      </c>
      <c r="Q99" s="3" t="s">
        <v>84</v>
      </c>
      <c r="R99">
        <v>1</v>
      </c>
      <c r="S99" s="5">
        <v>45818</v>
      </c>
      <c r="T99" t="s">
        <v>38</v>
      </c>
      <c r="U99">
        <f t="shared" ca="1" si="6"/>
        <v>23</v>
      </c>
      <c r="V99" s="6">
        <f t="shared" ca="1" si="7"/>
        <v>46025</v>
      </c>
      <c r="W99" s="6">
        <f t="shared" ca="1" si="8"/>
        <v>46031</v>
      </c>
      <c r="X99" t="str">
        <f t="shared" ca="1" si="9"/>
        <v>Jan 3 to Jan 9</v>
      </c>
      <c r="Y99" t="str">
        <f t="shared" ca="1" si="10"/>
        <v>⚪ SCHEDULED</v>
      </c>
      <c r="Z99" t="str">
        <f t="shared" ca="1" si="11"/>
        <v>No action needed yet</v>
      </c>
    </row>
    <row r="100" spans="1:26">
      <c r="A100">
        <v>1003127253</v>
      </c>
      <c r="B100" s="3" t="s">
        <v>403</v>
      </c>
      <c r="C100">
        <v>58</v>
      </c>
      <c r="D100" t="s">
        <v>47</v>
      </c>
      <c r="E100" t="s">
        <v>28</v>
      </c>
      <c r="F100" t="s">
        <v>29</v>
      </c>
      <c r="G100" t="s">
        <v>29</v>
      </c>
      <c r="H100">
        <v>4</v>
      </c>
      <c r="I100" t="s">
        <v>66</v>
      </c>
      <c r="J100" t="s">
        <v>404</v>
      </c>
      <c r="K100" t="s">
        <v>405</v>
      </c>
      <c r="L100" t="s">
        <v>135</v>
      </c>
      <c r="M100" s="4" t="s">
        <v>94</v>
      </c>
      <c r="N100" t="s">
        <v>333</v>
      </c>
      <c r="P100" s="3" t="s">
        <v>36</v>
      </c>
      <c r="Q100" s="3" t="s">
        <v>84</v>
      </c>
      <c r="R100">
        <v>1</v>
      </c>
      <c r="S100" s="5">
        <v>45959</v>
      </c>
      <c r="T100" t="s">
        <v>38</v>
      </c>
      <c r="U100">
        <f t="shared" ca="1" si="6"/>
        <v>14</v>
      </c>
      <c r="V100" s="6">
        <f t="shared" ca="1" si="7"/>
        <v>46016</v>
      </c>
      <c r="W100" s="6">
        <f t="shared" ca="1" si="8"/>
        <v>46022</v>
      </c>
      <c r="X100" t="str">
        <f t="shared" ca="1" si="9"/>
        <v>Dec 25 to Dec 31</v>
      </c>
      <c r="Y100" t="str">
        <f t="shared" ca="1" si="10"/>
        <v>🔵 NEXT 2 WEEKS</v>
      </c>
      <c r="Z100" t="str">
        <f t="shared" ca="1" si="11"/>
        <v>Send reminder SMS</v>
      </c>
    </row>
    <row r="101" spans="1:26">
      <c r="A101">
        <v>1003318423</v>
      </c>
      <c r="B101" s="3" t="s">
        <v>406</v>
      </c>
      <c r="C101">
        <v>62</v>
      </c>
      <c r="D101" t="s">
        <v>27</v>
      </c>
      <c r="E101" t="s">
        <v>28</v>
      </c>
      <c r="F101" t="s">
        <v>28</v>
      </c>
      <c r="G101" t="s">
        <v>28</v>
      </c>
      <c r="H101">
        <v>5</v>
      </c>
      <c r="I101" t="s">
        <v>30</v>
      </c>
      <c r="J101" t="s">
        <v>407</v>
      </c>
      <c r="K101" t="s">
        <v>408</v>
      </c>
      <c r="M101" s="4" t="s">
        <v>94</v>
      </c>
      <c r="N101" t="s">
        <v>59</v>
      </c>
      <c r="P101" s="3" t="s">
        <v>36</v>
      </c>
      <c r="Q101" s="3" t="s">
        <v>45</v>
      </c>
      <c r="R101">
        <v>2</v>
      </c>
      <c r="S101" s="5">
        <v>45952</v>
      </c>
      <c r="T101" t="s">
        <v>38</v>
      </c>
      <c r="U101">
        <f t="shared" ca="1" si="6"/>
        <v>7</v>
      </c>
      <c r="V101" s="6">
        <f t="shared" ca="1" si="7"/>
        <v>46009</v>
      </c>
      <c r="W101" s="6">
        <f t="shared" ca="1" si="8"/>
        <v>46015</v>
      </c>
      <c r="X101" t="str">
        <f t="shared" ca="1" si="9"/>
        <v>Dec 18 to Dec 24</v>
      </c>
      <c r="Y101" t="str">
        <f t="shared" ca="1" si="10"/>
        <v>🟢 THIS WEEK</v>
      </c>
      <c r="Z101" t="str">
        <f t="shared" ca="1" si="11"/>
        <v>Confirm appointment</v>
      </c>
    </row>
    <row r="102" spans="1:26">
      <c r="A102">
        <v>1003409347</v>
      </c>
      <c r="B102" s="3" t="s">
        <v>409</v>
      </c>
      <c r="C102">
        <v>78</v>
      </c>
      <c r="D102" t="s">
        <v>47</v>
      </c>
      <c r="E102" t="s">
        <v>29</v>
      </c>
      <c r="F102" t="s">
        <v>29</v>
      </c>
      <c r="G102" t="s">
        <v>28</v>
      </c>
      <c r="H102">
        <v>7</v>
      </c>
      <c r="I102" t="s">
        <v>30</v>
      </c>
      <c r="J102" t="s">
        <v>410</v>
      </c>
      <c r="K102" t="s">
        <v>411</v>
      </c>
      <c r="L102" t="s">
        <v>170</v>
      </c>
      <c r="M102" s="4" t="s">
        <v>34</v>
      </c>
      <c r="N102" t="s">
        <v>106</v>
      </c>
      <c r="P102" s="3" t="s">
        <v>36</v>
      </c>
      <c r="Q102" t="s">
        <v>54</v>
      </c>
      <c r="R102">
        <v>2</v>
      </c>
      <c r="S102" s="5">
        <v>45807</v>
      </c>
      <c r="T102" t="s">
        <v>38</v>
      </c>
      <c r="U102">
        <f t="shared" ca="1" si="6"/>
        <v>12</v>
      </c>
      <c r="V102" s="6">
        <f t="shared" ca="1" si="7"/>
        <v>46014</v>
      </c>
      <c r="W102" s="6">
        <f t="shared" ca="1" si="8"/>
        <v>46020</v>
      </c>
      <c r="X102" t="str">
        <f t="shared" ca="1" si="9"/>
        <v>Dec 23 to Dec 29</v>
      </c>
      <c r="Y102" t="str">
        <f t="shared" ca="1" si="10"/>
        <v>🔵 NEXT 2 WEEKS</v>
      </c>
      <c r="Z102" t="str">
        <f t="shared" ca="1" si="11"/>
        <v>Send reminder SMS</v>
      </c>
    </row>
    <row r="103" spans="1:26">
      <c r="A103">
        <v>1003445630</v>
      </c>
      <c r="B103" s="3" t="s">
        <v>412</v>
      </c>
      <c r="C103">
        <v>56</v>
      </c>
      <c r="D103" t="s">
        <v>27</v>
      </c>
      <c r="E103" t="s">
        <v>54</v>
      </c>
      <c r="F103" t="s">
        <v>54</v>
      </c>
      <c r="G103" t="s">
        <v>54</v>
      </c>
      <c r="H103">
        <v>2</v>
      </c>
      <c r="I103" t="s">
        <v>55</v>
      </c>
      <c r="J103" t="s">
        <v>413</v>
      </c>
      <c r="K103" t="s">
        <v>414</v>
      </c>
      <c r="L103" t="s">
        <v>33</v>
      </c>
      <c r="M103" s="4" t="s">
        <v>34</v>
      </c>
      <c r="N103" t="s">
        <v>59</v>
      </c>
      <c r="P103" s="3" t="s">
        <v>36</v>
      </c>
      <c r="Q103" t="s">
        <v>54</v>
      </c>
      <c r="R103">
        <v>2</v>
      </c>
      <c r="S103" s="5">
        <v>45855</v>
      </c>
      <c r="T103" t="s">
        <v>60</v>
      </c>
      <c r="U103">
        <f t="shared" ca="1" si="6"/>
        <v>30</v>
      </c>
      <c r="V103" s="6">
        <f t="shared" ca="1" si="7"/>
        <v>46032</v>
      </c>
      <c r="W103" s="6">
        <f t="shared" ca="1" si="8"/>
        <v>46038</v>
      </c>
      <c r="X103" t="str">
        <f t="shared" ca="1" si="9"/>
        <v>Jan 10 to Jan 16</v>
      </c>
      <c r="Y103" t="str">
        <f t="shared" ca="1" si="10"/>
        <v>⚪ SCHEDULED</v>
      </c>
      <c r="Z103" t="str">
        <f t="shared" ca="1" si="11"/>
        <v>No action needed yet</v>
      </c>
    </row>
    <row r="104" spans="1:26">
      <c r="A104">
        <v>1003480587</v>
      </c>
      <c r="B104" s="3" t="s">
        <v>415</v>
      </c>
      <c r="C104">
        <v>62</v>
      </c>
      <c r="D104" t="s">
        <v>27</v>
      </c>
      <c r="E104" t="s">
        <v>29</v>
      </c>
      <c r="F104" t="s">
        <v>29</v>
      </c>
      <c r="G104" t="s">
        <v>29</v>
      </c>
      <c r="H104">
        <v>7</v>
      </c>
      <c r="I104" t="s">
        <v>30</v>
      </c>
      <c r="J104" t="s">
        <v>109</v>
      </c>
      <c r="K104" t="s">
        <v>416</v>
      </c>
      <c r="M104" s="4" t="s">
        <v>43</v>
      </c>
      <c r="N104" t="s">
        <v>44</v>
      </c>
      <c r="P104" s="3" t="s">
        <v>36</v>
      </c>
      <c r="Q104" s="3" t="s">
        <v>175</v>
      </c>
      <c r="R104">
        <v>2</v>
      </c>
      <c r="S104" s="5">
        <v>45918</v>
      </c>
      <c r="T104" t="s">
        <v>38</v>
      </c>
      <c r="U104">
        <f t="shared" ca="1" si="6"/>
        <v>3</v>
      </c>
      <c r="V104" s="6">
        <f t="shared" ca="1" si="7"/>
        <v>46005</v>
      </c>
      <c r="W104" s="6">
        <f t="shared" ca="1" si="8"/>
        <v>46011</v>
      </c>
      <c r="X104" t="str">
        <f t="shared" ca="1" si="9"/>
        <v>Dec 14 to Dec 20</v>
      </c>
      <c r="Y104" t="str">
        <f t="shared" ca="1" si="10"/>
        <v>🟡 IMMINENT (within 3 days)</v>
      </c>
      <c r="Z104" t="str">
        <f t="shared" ca="1" si="11"/>
        <v>Prepare medications TODAY</v>
      </c>
    </row>
    <row r="105" spans="1:26">
      <c r="A105">
        <v>1003602396</v>
      </c>
      <c r="B105" s="3" t="s">
        <v>417</v>
      </c>
      <c r="C105">
        <v>83</v>
      </c>
      <c r="D105" t="s">
        <v>47</v>
      </c>
      <c r="E105" t="s">
        <v>29</v>
      </c>
      <c r="F105" t="s">
        <v>29</v>
      </c>
      <c r="G105" t="s">
        <v>29</v>
      </c>
      <c r="H105">
        <v>7</v>
      </c>
      <c r="I105" t="s">
        <v>30</v>
      </c>
      <c r="J105" t="s">
        <v>418</v>
      </c>
      <c r="K105" t="s">
        <v>419</v>
      </c>
      <c r="L105" t="s">
        <v>33</v>
      </c>
      <c r="M105" s="4" t="s">
        <v>43</v>
      </c>
      <c r="N105" t="s">
        <v>44</v>
      </c>
      <c r="P105" s="3" t="s">
        <v>36</v>
      </c>
      <c r="Q105" s="3" t="s">
        <v>107</v>
      </c>
      <c r="R105">
        <v>1</v>
      </c>
      <c r="S105" s="5">
        <v>45911</v>
      </c>
      <c r="T105" t="s">
        <v>38</v>
      </c>
      <c r="U105">
        <f t="shared" ca="1" si="6"/>
        <v>26</v>
      </c>
      <c r="V105" s="6">
        <f t="shared" ca="1" si="7"/>
        <v>46028</v>
      </c>
      <c r="W105" s="6">
        <f t="shared" ca="1" si="8"/>
        <v>46034</v>
      </c>
      <c r="X105" t="str">
        <f t="shared" ca="1" si="9"/>
        <v>Jan 6 to Jan 12</v>
      </c>
      <c r="Y105" t="str">
        <f t="shared" ca="1" si="10"/>
        <v>⚪ SCHEDULED</v>
      </c>
      <c r="Z105" t="str">
        <f t="shared" ca="1" si="11"/>
        <v>No action needed yet</v>
      </c>
    </row>
    <row r="106" spans="1:26">
      <c r="A106">
        <v>1003632450</v>
      </c>
      <c r="B106" s="3" t="s">
        <v>420</v>
      </c>
      <c r="C106">
        <v>68</v>
      </c>
      <c r="D106" t="s">
        <v>27</v>
      </c>
      <c r="E106" t="s">
        <v>29</v>
      </c>
      <c r="F106" t="s">
        <v>29</v>
      </c>
      <c r="G106" t="s">
        <v>28</v>
      </c>
      <c r="H106">
        <v>6</v>
      </c>
      <c r="I106" t="s">
        <v>30</v>
      </c>
      <c r="J106" t="s">
        <v>421</v>
      </c>
      <c r="K106" t="s">
        <v>422</v>
      </c>
      <c r="L106" t="s">
        <v>100</v>
      </c>
      <c r="M106" s="4" t="s">
        <v>34</v>
      </c>
      <c r="N106" t="s">
        <v>119</v>
      </c>
      <c r="P106" s="3" t="s">
        <v>36</v>
      </c>
      <c r="Q106" t="s">
        <v>54</v>
      </c>
      <c r="R106">
        <v>1</v>
      </c>
      <c r="S106" s="5">
        <v>45723</v>
      </c>
      <c r="T106" t="s">
        <v>38</v>
      </c>
      <c r="U106">
        <f t="shared" ca="1" si="6"/>
        <v>18</v>
      </c>
      <c r="V106" s="6">
        <f t="shared" ca="1" si="7"/>
        <v>46020</v>
      </c>
      <c r="W106" s="6">
        <f t="shared" ca="1" si="8"/>
        <v>46026</v>
      </c>
      <c r="X106" t="str">
        <f t="shared" ca="1" si="9"/>
        <v>Dec 29 to Jan 4</v>
      </c>
      <c r="Y106" t="str">
        <f t="shared" ca="1" si="10"/>
        <v>⚪ SCHEDULED</v>
      </c>
      <c r="Z106" t="str">
        <f t="shared" ca="1" si="11"/>
        <v>No action needed yet</v>
      </c>
    </row>
    <row r="107" spans="1:26">
      <c r="A107">
        <v>1003661210</v>
      </c>
      <c r="B107" s="3" t="s">
        <v>423</v>
      </c>
      <c r="C107">
        <v>64</v>
      </c>
      <c r="D107" t="s">
        <v>27</v>
      </c>
      <c r="E107" t="s">
        <v>54</v>
      </c>
      <c r="F107" t="s">
        <v>54</v>
      </c>
      <c r="G107" t="s">
        <v>54</v>
      </c>
      <c r="H107">
        <v>3</v>
      </c>
      <c r="I107" t="s">
        <v>66</v>
      </c>
      <c r="J107" t="s">
        <v>184</v>
      </c>
      <c r="K107" t="s">
        <v>424</v>
      </c>
      <c r="L107" t="s">
        <v>186</v>
      </c>
      <c r="M107" s="4" t="s">
        <v>43</v>
      </c>
      <c r="N107" t="s">
        <v>59</v>
      </c>
      <c r="P107" s="3" t="s">
        <v>36</v>
      </c>
      <c r="Q107" s="3" t="s">
        <v>45</v>
      </c>
      <c r="R107">
        <v>1</v>
      </c>
      <c r="S107" s="5">
        <v>45904</v>
      </c>
      <c r="T107" t="s">
        <v>38</v>
      </c>
      <c r="U107">
        <f t="shared" ca="1" si="6"/>
        <v>19</v>
      </c>
      <c r="V107" s="6">
        <f t="shared" ca="1" si="7"/>
        <v>46021</v>
      </c>
      <c r="W107" s="6">
        <f t="shared" ca="1" si="8"/>
        <v>46027</v>
      </c>
      <c r="X107" t="str">
        <f t="shared" ca="1" si="9"/>
        <v>Dec 30 to Jan 5</v>
      </c>
      <c r="Y107" t="str">
        <f t="shared" ca="1" si="10"/>
        <v>⚪ SCHEDULED</v>
      </c>
      <c r="Z107" t="str">
        <f t="shared" ca="1" si="11"/>
        <v>No action needed yet</v>
      </c>
    </row>
    <row r="108" spans="1:26">
      <c r="A108">
        <v>1003675004</v>
      </c>
      <c r="B108" s="3" t="s">
        <v>425</v>
      </c>
      <c r="C108">
        <v>45</v>
      </c>
      <c r="D108" t="s">
        <v>27</v>
      </c>
      <c r="E108" t="s">
        <v>28</v>
      </c>
      <c r="F108" t="s">
        <v>29</v>
      </c>
      <c r="G108" t="s">
        <v>28</v>
      </c>
      <c r="H108">
        <v>3</v>
      </c>
      <c r="I108" t="s">
        <v>66</v>
      </c>
      <c r="J108" t="s">
        <v>426</v>
      </c>
      <c r="K108" t="s">
        <v>427</v>
      </c>
      <c r="L108" t="s">
        <v>428</v>
      </c>
      <c r="M108" s="4" t="s">
        <v>43</v>
      </c>
      <c r="N108" t="s">
        <v>70</v>
      </c>
      <c r="P108" s="3" t="s">
        <v>36</v>
      </c>
      <c r="Q108" s="3" t="s">
        <v>313</v>
      </c>
      <c r="R108">
        <v>2</v>
      </c>
      <c r="S108" s="5">
        <v>45892</v>
      </c>
      <c r="T108" t="s">
        <v>38</v>
      </c>
      <c r="U108">
        <f t="shared" ca="1" si="6"/>
        <v>7</v>
      </c>
      <c r="V108" s="6">
        <f t="shared" ca="1" si="7"/>
        <v>46009</v>
      </c>
      <c r="W108" s="6">
        <f t="shared" ca="1" si="8"/>
        <v>46015</v>
      </c>
      <c r="X108" t="str">
        <f t="shared" ca="1" si="9"/>
        <v>Dec 18 to Dec 24</v>
      </c>
      <c r="Y108" t="str">
        <f t="shared" ca="1" si="10"/>
        <v>🟢 THIS WEEK</v>
      </c>
      <c r="Z108" t="str">
        <f t="shared" ca="1" si="11"/>
        <v>Confirm appointment</v>
      </c>
    </row>
    <row r="109" spans="1:26">
      <c r="A109">
        <v>1003699152</v>
      </c>
      <c r="B109" s="3" t="s">
        <v>429</v>
      </c>
      <c r="C109">
        <v>71</v>
      </c>
      <c r="D109" t="s">
        <v>47</v>
      </c>
      <c r="E109" t="s">
        <v>29</v>
      </c>
      <c r="F109" t="s">
        <v>29</v>
      </c>
      <c r="G109" t="s">
        <v>28</v>
      </c>
      <c r="H109">
        <v>6</v>
      </c>
      <c r="I109" t="s">
        <v>30</v>
      </c>
      <c r="J109" t="s">
        <v>430</v>
      </c>
      <c r="K109" t="s">
        <v>431</v>
      </c>
      <c r="M109" s="4" t="s">
        <v>43</v>
      </c>
      <c r="N109" t="s">
        <v>144</v>
      </c>
      <c r="P109" s="3" t="s">
        <v>36</v>
      </c>
      <c r="Q109" s="3" t="s">
        <v>45</v>
      </c>
      <c r="R109">
        <v>2</v>
      </c>
      <c r="S109" s="5">
        <v>45862</v>
      </c>
      <c r="T109" t="s">
        <v>38</v>
      </c>
      <c r="U109">
        <f t="shared" ca="1" si="6"/>
        <v>7</v>
      </c>
      <c r="V109" s="6">
        <f t="shared" ca="1" si="7"/>
        <v>46009</v>
      </c>
      <c r="W109" s="6">
        <f t="shared" ca="1" si="8"/>
        <v>46015</v>
      </c>
      <c r="X109" t="str">
        <f t="shared" ca="1" si="9"/>
        <v>Dec 18 to Dec 24</v>
      </c>
      <c r="Y109" t="str">
        <f t="shared" ca="1" si="10"/>
        <v>🟢 THIS WEEK</v>
      </c>
      <c r="Z109" t="str">
        <f t="shared" ca="1" si="11"/>
        <v>Confirm appointment</v>
      </c>
    </row>
    <row r="110" spans="1:26">
      <c r="A110">
        <v>1003804729</v>
      </c>
      <c r="B110" s="3" t="s">
        <v>432</v>
      </c>
      <c r="C110">
        <v>64</v>
      </c>
      <c r="D110" t="s">
        <v>27</v>
      </c>
      <c r="E110" t="s">
        <v>28</v>
      </c>
      <c r="F110" t="s">
        <v>28</v>
      </c>
      <c r="G110" t="s">
        <v>28</v>
      </c>
      <c r="H110">
        <v>3</v>
      </c>
      <c r="I110" t="s">
        <v>66</v>
      </c>
      <c r="J110" t="s">
        <v>433</v>
      </c>
      <c r="K110" t="s">
        <v>434</v>
      </c>
      <c r="M110" s="4" t="s">
        <v>43</v>
      </c>
      <c r="N110" t="s">
        <v>59</v>
      </c>
      <c r="P110" s="3" t="s">
        <v>36</v>
      </c>
      <c r="Q110" s="3" t="s">
        <v>107</v>
      </c>
      <c r="R110">
        <v>1</v>
      </c>
      <c r="S110" s="5">
        <v>45889</v>
      </c>
      <c r="T110" t="s">
        <v>38</v>
      </c>
      <c r="U110">
        <f t="shared" ca="1" si="6"/>
        <v>4</v>
      </c>
      <c r="V110" s="6">
        <f t="shared" ca="1" si="7"/>
        <v>46006</v>
      </c>
      <c r="W110" s="6">
        <f t="shared" ca="1" si="8"/>
        <v>46012</v>
      </c>
      <c r="X110" t="str">
        <f t="shared" ca="1" si="9"/>
        <v>Dec 15 to Dec 21</v>
      </c>
      <c r="Y110" t="str">
        <f t="shared" ca="1" si="10"/>
        <v>🟢 THIS WEEK</v>
      </c>
      <c r="Z110" t="str">
        <f t="shared" ca="1" si="11"/>
        <v>Confirm appointment</v>
      </c>
    </row>
    <row r="111" spans="1:26">
      <c r="A111">
        <v>1003891544</v>
      </c>
      <c r="B111" s="3" t="s">
        <v>435</v>
      </c>
      <c r="C111">
        <v>41</v>
      </c>
      <c r="D111" t="s">
        <v>27</v>
      </c>
      <c r="E111" t="s">
        <v>28</v>
      </c>
      <c r="F111" t="s">
        <v>29</v>
      </c>
      <c r="G111" t="s">
        <v>28</v>
      </c>
      <c r="H111">
        <v>3</v>
      </c>
      <c r="I111" t="s">
        <v>66</v>
      </c>
      <c r="J111" t="s">
        <v>436</v>
      </c>
      <c r="K111" t="s">
        <v>437</v>
      </c>
      <c r="L111" t="s">
        <v>33</v>
      </c>
      <c r="M111" s="4" t="s">
        <v>34</v>
      </c>
      <c r="N111" t="s">
        <v>64</v>
      </c>
      <c r="P111" s="3" t="s">
        <v>36</v>
      </c>
      <c r="Q111" s="3" t="s">
        <v>230</v>
      </c>
      <c r="R111">
        <v>1</v>
      </c>
      <c r="S111" s="5">
        <v>45724</v>
      </c>
      <c r="T111" t="s">
        <v>38</v>
      </c>
      <c r="U111">
        <f t="shared" ca="1" si="6"/>
        <v>19</v>
      </c>
      <c r="V111" s="6">
        <f t="shared" ca="1" si="7"/>
        <v>46021</v>
      </c>
      <c r="W111" s="6">
        <f t="shared" ca="1" si="8"/>
        <v>46027</v>
      </c>
      <c r="X111" t="str">
        <f t="shared" ca="1" si="9"/>
        <v>Dec 30 to Jan 5</v>
      </c>
      <c r="Y111" t="str">
        <f t="shared" ca="1" si="10"/>
        <v>⚪ SCHEDULED</v>
      </c>
      <c r="Z111" t="str">
        <f t="shared" ca="1" si="11"/>
        <v>No action needed yet</v>
      </c>
    </row>
    <row r="112" spans="1:26">
      <c r="A112">
        <v>1003906896</v>
      </c>
      <c r="B112" s="3" t="s">
        <v>438</v>
      </c>
      <c r="C112">
        <v>54</v>
      </c>
      <c r="D112" t="s">
        <v>47</v>
      </c>
      <c r="E112" t="s">
        <v>29</v>
      </c>
      <c r="F112" t="s">
        <v>29</v>
      </c>
      <c r="G112" t="s">
        <v>29</v>
      </c>
      <c r="H112">
        <v>6</v>
      </c>
      <c r="I112" t="s">
        <v>30</v>
      </c>
      <c r="J112" t="s">
        <v>439</v>
      </c>
      <c r="K112" t="s">
        <v>440</v>
      </c>
      <c r="L112" t="s">
        <v>234</v>
      </c>
      <c r="M112" s="4" t="s">
        <v>34</v>
      </c>
      <c r="N112" t="s">
        <v>201</v>
      </c>
      <c r="P112" s="3" t="s">
        <v>36</v>
      </c>
      <c r="Q112" s="3" t="s">
        <v>45</v>
      </c>
      <c r="R112">
        <v>1</v>
      </c>
      <c r="S112" s="5">
        <v>45828</v>
      </c>
      <c r="T112" t="s">
        <v>38</v>
      </c>
      <c r="U112">
        <f t="shared" ca="1" si="6"/>
        <v>3</v>
      </c>
      <c r="V112" s="6">
        <f t="shared" ca="1" si="7"/>
        <v>46005</v>
      </c>
      <c r="W112" s="6">
        <f t="shared" ca="1" si="8"/>
        <v>46011</v>
      </c>
      <c r="X112" t="str">
        <f t="shared" ca="1" si="9"/>
        <v>Dec 14 to Dec 20</v>
      </c>
      <c r="Y112" t="str">
        <f t="shared" ca="1" si="10"/>
        <v>🟡 IMMINENT (within 3 days)</v>
      </c>
      <c r="Z112" t="str">
        <f t="shared" ca="1" si="11"/>
        <v>Prepare medications TODAY</v>
      </c>
    </row>
    <row r="113" spans="1:26">
      <c r="A113">
        <v>1003929294</v>
      </c>
      <c r="B113" s="3" t="s">
        <v>441</v>
      </c>
      <c r="C113">
        <v>80</v>
      </c>
      <c r="D113" t="s">
        <v>27</v>
      </c>
      <c r="E113" t="s">
        <v>29</v>
      </c>
      <c r="F113" t="s">
        <v>29</v>
      </c>
      <c r="G113" t="s">
        <v>29</v>
      </c>
      <c r="H113">
        <v>7</v>
      </c>
      <c r="I113" t="s">
        <v>30</v>
      </c>
      <c r="J113" t="s">
        <v>442</v>
      </c>
      <c r="K113" t="s">
        <v>443</v>
      </c>
      <c r="M113" s="4" t="s">
        <v>34</v>
      </c>
      <c r="N113" t="s">
        <v>44</v>
      </c>
      <c r="P113" s="3" t="s">
        <v>36</v>
      </c>
      <c r="Q113" s="3" t="s">
        <v>107</v>
      </c>
      <c r="R113">
        <v>1</v>
      </c>
      <c r="S113" s="5">
        <v>45839</v>
      </c>
      <c r="T113" t="s">
        <v>38</v>
      </c>
      <c r="U113">
        <f t="shared" ca="1" si="6"/>
        <v>14</v>
      </c>
      <c r="V113" s="6">
        <f t="shared" ca="1" si="7"/>
        <v>46016</v>
      </c>
      <c r="W113" s="6">
        <f t="shared" ca="1" si="8"/>
        <v>46022</v>
      </c>
      <c r="X113" t="str">
        <f t="shared" ca="1" si="9"/>
        <v>Dec 25 to Dec 31</v>
      </c>
      <c r="Y113" t="str">
        <f t="shared" ca="1" si="10"/>
        <v>🔵 NEXT 2 WEEKS</v>
      </c>
      <c r="Z113" t="str">
        <f t="shared" ca="1" si="11"/>
        <v>Send reminder SMS</v>
      </c>
    </row>
    <row r="114" spans="1:26">
      <c r="A114">
        <v>1003933247</v>
      </c>
      <c r="B114" s="3" t="s">
        <v>444</v>
      </c>
      <c r="C114">
        <v>55</v>
      </c>
      <c r="D114" t="s">
        <v>27</v>
      </c>
      <c r="E114" t="s">
        <v>54</v>
      </c>
      <c r="F114" t="s">
        <v>54</v>
      </c>
      <c r="G114" t="s">
        <v>54</v>
      </c>
      <c r="H114">
        <v>2</v>
      </c>
      <c r="I114" t="s">
        <v>55</v>
      </c>
      <c r="J114" t="s">
        <v>445</v>
      </c>
      <c r="K114" t="s">
        <v>446</v>
      </c>
      <c r="L114" t="s">
        <v>170</v>
      </c>
      <c r="M114" s="4" t="s">
        <v>43</v>
      </c>
      <c r="N114" t="s">
        <v>59</v>
      </c>
      <c r="P114" s="3" t="s">
        <v>36</v>
      </c>
      <c r="Q114" s="3" t="s">
        <v>45</v>
      </c>
      <c r="R114">
        <v>1</v>
      </c>
      <c r="S114" s="5">
        <v>45904</v>
      </c>
      <c r="T114" t="s">
        <v>60</v>
      </c>
      <c r="U114">
        <f t="shared" ca="1" si="6"/>
        <v>19</v>
      </c>
      <c r="V114" s="6">
        <f t="shared" ca="1" si="7"/>
        <v>46021</v>
      </c>
      <c r="W114" s="6">
        <f t="shared" ca="1" si="8"/>
        <v>46027</v>
      </c>
      <c r="X114" t="str">
        <f t="shared" ca="1" si="9"/>
        <v>Dec 30 to Jan 5</v>
      </c>
      <c r="Y114" t="str">
        <f t="shared" ca="1" si="10"/>
        <v>⚪ SCHEDULED</v>
      </c>
      <c r="Z114" t="str">
        <f t="shared" ca="1" si="11"/>
        <v>No action needed yet</v>
      </c>
    </row>
    <row r="115" spans="1:26">
      <c r="A115">
        <v>1003942354</v>
      </c>
      <c r="B115" s="3" t="s">
        <v>447</v>
      </c>
      <c r="C115">
        <v>73</v>
      </c>
      <c r="D115" t="s">
        <v>47</v>
      </c>
      <c r="E115" t="s">
        <v>54</v>
      </c>
      <c r="F115" t="s">
        <v>54</v>
      </c>
      <c r="G115" t="s">
        <v>54</v>
      </c>
      <c r="H115">
        <v>4</v>
      </c>
      <c r="I115" t="s">
        <v>66</v>
      </c>
      <c r="J115" t="s">
        <v>448</v>
      </c>
      <c r="K115" t="s">
        <v>449</v>
      </c>
      <c r="L115" t="s">
        <v>450</v>
      </c>
      <c r="M115" s="4" t="s">
        <v>94</v>
      </c>
      <c r="N115" t="s">
        <v>59</v>
      </c>
      <c r="P115" s="3" t="s">
        <v>36</v>
      </c>
      <c r="Q115" s="3" t="s">
        <v>175</v>
      </c>
      <c r="R115">
        <v>1</v>
      </c>
      <c r="S115" s="5">
        <v>45951</v>
      </c>
      <c r="T115" t="s">
        <v>38</v>
      </c>
      <c r="U115">
        <f t="shared" ca="1" si="6"/>
        <v>6</v>
      </c>
      <c r="V115" s="6">
        <f t="shared" ca="1" si="7"/>
        <v>46008</v>
      </c>
      <c r="W115" s="6">
        <f t="shared" ca="1" si="8"/>
        <v>46014</v>
      </c>
      <c r="X115" t="str">
        <f t="shared" ca="1" si="9"/>
        <v>Dec 17 to Dec 23</v>
      </c>
      <c r="Y115" t="str">
        <f t="shared" ca="1" si="10"/>
        <v>🟢 THIS WEEK</v>
      </c>
      <c r="Z115" t="str">
        <f t="shared" ca="1" si="11"/>
        <v>Confirm appointment</v>
      </c>
    </row>
    <row r="116" spans="1:26">
      <c r="A116">
        <v>1003952924</v>
      </c>
      <c r="B116" s="3" t="s">
        <v>451</v>
      </c>
      <c r="C116">
        <v>50</v>
      </c>
      <c r="D116" t="s">
        <v>27</v>
      </c>
      <c r="E116" t="s">
        <v>28</v>
      </c>
      <c r="F116" t="s">
        <v>28</v>
      </c>
      <c r="G116" t="s">
        <v>29</v>
      </c>
      <c r="H116">
        <v>4</v>
      </c>
      <c r="I116" t="s">
        <v>66</v>
      </c>
      <c r="J116" t="s">
        <v>452</v>
      </c>
      <c r="K116" t="s">
        <v>453</v>
      </c>
      <c r="L116" t="s">
        <v>114</v>
      </c>
      <c r="M116" s="4" t="s">
        <v>34</v>
      </c>
      <c r="N116" t="s">
        <v>140</v>
      </c>
      <c r="P116" s="3" t="s">
        <v>36</v>
      </c>
      <c r="Q116" s="3" t="s">
        <v>84</v>
      </c>
      <c r="R116">
        <v>2</v>
      </c>
      <c r="S116" s="5">
        <v>45813</v>
      </c>
      <c r="T116" t="s">
        <v>38</v>
      </c>
      <c r="U116">
        <f t="shared" ca="1" si="6"/>
        <v>18</v>
      </c>
      <c r="V116" s="6">
        <f t="shared" ca="1" si="7"/>
        <v>46020</v>
      </c>
      <c r="W116" s="6">
        <f t="shared" ca="1" si="8"/>
        <v>46026</v>
      </c>
      <c r="X116" t="str">
        <f t="shared" ca="1" si="9"/>
        <v>Dec 29 to Jan 4</v>
      </c>
      <c r="Y116" t="str">
        <f t="shared" ca="1" si="10"/>
        <v>⚪ SCHEDULED</v>
      </c>
      <c r="Z116" t="str">
        <f t="shared" ca="1" si="11"/>
        <v>No action needed yet</v>
      </c>
    </row>
    <row r="117" spans="1:26">
      <c r="A117">
        <v>1003963491</v>
      </c>
      <c r="B117" s="3" t="s">
        <v>454</v>
      </c>
      <c r="C117">
        <v>87</v>
      </c>
      <c r="D117" t="s">
        <v>47</v>
      </c>
      <c r="E117" t="s">
        <v>29</v>
      </c>
      <c r="F117" t="s">
        <v>29</v>
      </c>
      <c r="G117" t="s">
        <v>28</v>
      </c>
      <c r="H117">
        <v>6</v>
      </c>
      <c r="I117" t="s">
        <v>30</v>
      </c>
      <c r="J117" t="s">
        <v>455</v>
      </c>
      <c r="K117" t="s">
        <v>456</v>
      </c>
      <c r="M117" s="4" t="s">
        <v>34</v>
      </c>
      <c r="N117" t="s">
        <v>144</v>
      </c>
      <c r="P117" s="3" t="s">
        <v>36</v>
      </c>
      <c r="Q117" s="3" t="s">
        <v>90</v>
      </c>
      <c r="R117">
        <v>1</v>
      </c>
      <c r="S117" s="5">
        <v>45505</v>
      </c>
      <c r="T117" t="s">
        <v>38</v>
      </c>
      <c r="U117">
        <f t="shared" ca="1" si="6"/>
        <v>10</v>
      </c>
      <c r="V117" s="6">
        <f t="shared" ca="1" si="7"/>
        <v>46012</v>
      </c>
      <c r="W117" s="6">
        <f t="shared" ca="1" si="8"/>
        <v>46018</v>
      </c>
      <c r="X117" t="str">
        <f t="shared" ca="1" si="9"/>
        <v>Dec 21 to Dec 27</v>
      </c>
      <c r="Y117" t="str">
        <f t="shared" ca="1" si="10"/>
        <v>🔵 NEXT 2 WEEKS</v>
      </c>
      <c r="Z117" t="str">
        <f t="shared" ca="1" si="11"/>
        <v>Send reminder SMS</v>
      </c>
    </row>
    <row r="118" spans="1:26">
      <c r="A118">
        <v>1004042790</v>
      </c>
      <c r="B118" s="3" t="s">
        <v>457</v>
      </c>
      <c r="C118">
        <v>48</v>
      </c>
      <c r="D118" t="s">
        <v>27</v>
      </c>
      <c r="E118" t="s">
        <v>28</v>
      </c>
      <c r="F118" t="s">
        <v>29</v>
      </c>
      <c r="G118" t="s">
        <v>29</v>
      </c>
      <c r="H118">
        <v>3</v>
      </c>
      <c r="I118" t="s">
        <v>66</v>
      </c>
      <c r="J118" t="s">
        <v>458</v>
      </c>
      <c r="K118" t="s">
        <v>459</v>
      </c>
      <c r="M118" s="4" t="s">
        <v>43</v>
      </c>
      <c r="N118" t="s">
        <v>35</v>
      </c>
      <c r="P118" s="3" t="s">
        <v>36</v>
      </c>
      <c r="Q118" s="3" t="s">
        <v>107</v>
      </c>
      <c r="R118">
        <v>2</v>
      </c>
      <c r="S118" s="5">
        <v>45899</v>
      </c>
      <c r="T118" t="s">
        <v>38</v>
      </c>
      <c r="U118">
        <f t="shared" ca="1" si="6"/>
        <v>14</v>
      </c>
      <c r="V118" s="6">
        <f t="shared" ca="1" si="7"/>
        <v>46016</v>
      </c>
      <c r="W118" s="6">
        <f t="shared" ca="1" si="8"/>
        <v>46022</v>
      </c>
      <c r="X118" t="str">
        <f t="shared" ca="1" si="9"/>
        <v>Dec 25 to Dec 31</v>
      </c>
      <c r="Y118" t="str">
        <f t="shared" ca="1" si="10"/>
        <v>🔵 NEXT 2 WEEKS</v>
      </c>
      <c r="Z118" t="str">
        <f t="shared" ca="1" si="11"/>
        <v>Send reminder SMS</v>
      </c>
    </row>
    <row r="119" spans="1:26">
      <c r="A119">
        <v>1004057392</v>
      </c>
      <c r="B119" s="3" t="s">
        <v>460</v>
      </c>
      <c r="C119">
        <v>45</v>
      </c>
      <c r="D119" t="s">
        <v>27</v>
      </c>
      <c r="E119" t="s">
        <v>29</v>
      </c>
      <c r="F119" t="s">
        <v>28</v>
      </c>
      <c r="G119" t="s">
        <v>28</v>
      </c>
      <c r="H119">
        <v>2</v>
      </c>
      <c r="I119" t="s">
        <v>55</v>
      </c>
      <c r="J119" t="s">
        <v>461</v>
      </c>
      <c r="K119" t="s">
        <v>462</v>
      </c>
      <c r="L119" t="s">
        <v>463</v>
      </c>
      <c r="M119" s="4" t="s">
        <v>34</v>
      </c>
      <c r="N119" t="s">
        <v>162</v>
      </c>
      <c r="P119" s="3" t="s">
        <v>36</v>
      </c>
      <c r="Q119" s="3" t="s">
        <v>230</v>
      </c>
      <c r="R119">
        <v>2</v>
      </c>
      <c r="S119" s="5">
        <v>45795</v>
      </c>
      <c r="T119" t="s">
        <v>60</v>
      </c>
      <c r="U119">
        <f t="shared" ca="1" si="6"/>
        <v>30</v>
      </c>
      <c r="V119" s="6">
        <f t="shared" ca="1" si="7"/>
        <v>46032</v>
      </c>
      <c r="W119" s="6">
        <f t="shared" ca="1" si="8"/>
        <v>46038</v>
      </c>
      <c r="X119" t="str">
        <f t="shared" ca="1" si="9"/>
        <v>Jan 10 to Jan 16</v>
      </c>
      <c r="Y119" t="str">
        <f t="shared" ca="1" si="10"/>
        <v>⚪ SCHEDULED</v>
      </c>
      <c r="Z119" t="str">
        <f t="shared" ca="1" si="11"/>
        <v>No action needed yet</v>
      </c>
    </row>
    <row r="120" spans="1:26">
      <c r="A120">
        <v>1004058218</v>
      </c>
      <c r="B120" s="3" t="s">
        <v>464</v>
      </c>
      <c r="C120">
        <v>62</v>
      </c>
      <c r="D120" t="s">
        <v>47</v>
      </c>
      <c r="E120" t="s">
        <v>54</v>
      </c>
      <c r="F120" t="s">
        <v>54</v>
      </c>
      <c r="G120" t="s">
        <v>54</v>
      </c>
      <c r="H120">
        <v>3</v>
      </c>
      <c r="I120" t="s">
        <v>66</v>
      </c>
      <c r="J120" t="s">
        <v>465</v>
      </c>
      <c r="K120" t="s">
        <v>466</v>
      </c>
      <c r="L120" t="s">
        <v>170</v>
      </c>
      <c r="M120" s="4" t="s">
        <v>34</v>
      </c>
      <c r="N120" t="s">
        <v>59</v>
      </c>
      <c r="P120" s="3" t="s">
        <v>36</v>
      </c>
      <c r="Q120" s="3" t="s">
        <v>230</v>
      </c>
      <c r="R120">
        <v>1</v>
      </c>
      <c r="S120" s="5">
        <v>45514</v>
      </c>
      <c r="T120" t="s">
        <v>38</v>
      </c>
      <c r="U120">
        <f t="shared" ca="1" si="6"/>
        <v>19</v>
      </c>
      <c r="V120" s="6">
        <f t="shared" ca="1" si="7"/>
        <v>46021</v>
      </c>
      <c r="W120" s="6">
        <f t="shared" ca="1" si="8"/>
        <v>46027</v>
      </c>
      <c r="X120" t="str">
        <f t="shared" ca="1" si="9"/>
        <v>Dec 30 to Jan 5</v>
      </c>
      <c r="Y120" t="str">
        <f t="shared" ca="1" si="10"/>
        <v>⚪ SCHEDULED</v>
      </c>
      <c r="Z120" t="str">
        <f t="shared" ca="1" si="11"/>
        <v>No action needed yet</v>
      </c>
    </row>
    <row r="121" spans="1:26">
      <c r="A121">
        <v>1004063986</v>
      </c>
      <c r="B121" s="3" t="s">
        <v>467</v>
      </c>
      <c r="C121">
        <v>55</v>
      </c>
      <c r="D121" t="s">
        <v>47</v>
      </c>
      <c r="E121" t="s">
        <v>29</v>
      </c>
      <c r="F121" t="s">
        <v>29</v>
      </c>
      <c r="G121" t="s">
        <v>29</v>
      </c>
      <c r="H121">
        <v>6</v>
      </c>
      <c r="I121" t="s">
        <v>30</v>
      </c>
      <c r="J121" t="s">
        <v>468</v>
      </c>
      <c r="K121" t="s">
        <v>469</v>
      </c>
      <c r="L121" t="s">
        <v>114</v>
      </c>
      <c r="M121" s="4" t="s">
        <v>34</v>
      </c>
      <c r="N121" t="s">
        <v>470</v>
      </c>
      <c r="P121" s="3" t="s">
        <v>36</v>
      </c>
      <c r="Q121" s="3" t="s">
        <v>107</v>
      </c>
      <c r="R121">
        <v>1</v>
      </c>
      <c r="S121" s="5">
        <v>45815</v>
      </c>
      <c r="T121" t="s">
        <v>38</v>
      </c>
      <c r="U121">
        <f t="shared" ca="1" si="6"/>
        <v>20</v>
      </c>
      <c r="V121" s="6">
        <f t="shared" ca="1" si="7"/>
        <v>46022</v>
      </c>
      <c r="W121" s="6">
        <f t="shared" ca="1" si="8"/>
        <v>46028</v>
      </c>
      <c r="X121" t="str">
        <f t="shared" ca="1" si="9"/>
        <v>Dec 31 to Jan 6</v>
      </c>
      <c r="Y121" t="str">
        <f t="shared" ca="1" si="10"/>
        <v>⚪ SCHEDULED</v>
      </c>
      <c r="Z121" t="str">
        <f t="shared" ca="1" si="11"/>
        <v>No action needed yet</v>
      </c>
    </row>
    <row r="122" spans="1:26">
      <c r="A122">
        <v>1004083943</v>
      </c>
      <c r="B122" s="3" t="s">
        <v>471</v>
      </c>
      <c r="C122">
        <v>56</v>
      </c>
      <c r="D122" t="s">
        <v>47</v>
      </c>
      <c r="E122" t="s">
        <v>29</v>
      </c>
      <c r="F122" t="s">
        <v>29</v>
      </c>
      <c r="G122" t="s">
        <v>28</v>
      </c>
      <c r="H122">
        <v>5</v>
      </c>
      <c r="I122" t="s">
        <v>30</v>
      </c>
      <c r="J122" t="s">
        <v>472</v>
      </c>
      <c r="K122" t="s">
        <v>473</v>
      </c>
      <c r="L122" t="s">
        <v>100</v>
      </c>
      <c r="M122" s="4" t="s">
        <v>34</v>
      </c>
      <c r="N122" t="s">
        <v>119</v>
      </c>
      <c r="P122" s="3" t="s">
        <v>36</v>
      </c>
      <c r="Q122" s="3" t="s">
        <v>474</v>
      </c>
      <c r="R122">
        <v>1</v>
      </c>
      <c r="S122" s="5">
        <v>45748</v>
      </c>
      <c r="T122" t="s">
        <v>38</v>
      </c>
      <c r="U122">
        <f t="shared" ca="1" si="6"/>
        <v>13</v>
      </c>
      <c r="V122" s="6">
        <f t="shared" ca="1" si="7"/>
        <v>46015</v>
      </c>
      <c r="W122" s="6">
        <f t="shared" ca="1" si="8"/>
        <v>46021</v>
      </c>
      <c r="X122" t="str">
        <f t="shared" ca="1" si="9"/>
        <v>Dec 24 to Dec 30</v>
      </c>
      <c r="Y122" t="str">
        <f t="shared" ca="1" si="10"/>
        <v>🔵 NEXT 2 WEEKS</v>
      </c>
      <c r="Z122" t="str">
        <f t="shared" ca="1" si="11"/>
        <v>Send reminder SMS</v>
      </c>
    </row>
    <row r="123" spans="1:26">
      <c r="A123">
        <v>1004091680</v>
      </c>
      <c r="B123" s="3" t="s">
        <v>475</v>
      </c>
      <c r="C123">
        <v>56</v>
      </c>
      <c r="D123" t="s">
        <v>27</v>
      </c>
      <c r="E123" t="s">
        <v>28</v>
      </c>
      <c r="F123" t="s">
        <v>28</v>
      </c>
      <c r="G123" t="s">
        <v>29</v>
      </c>
      <c r="H123">
        <v>3</v>
      </c>
      <c r="I123" t="s">
        <v>66</v>
      </c>
      <c r="J123" t="s">
        <v>112</v>
      </c>
      <c r="K123" t="s">
        <v>476</v>
      </c>
      <c r="L123" t="s">
        <v>114</v>
      </c>
      <c r="M123" s="4" t="s">
        <v>34</v>
      </c>
      <c r="N123" t="s">
        <v>140</v>
      </c>
      <c r="P123" s="3" t="s">
        <v>36</v>
      </c>
      <c r="Q123" s="3" t="s">
        <v>230</v>
      </c>
      <c r="R123">
        <v>2</v>
      </c>
      <c r="S123" s="5">
        <v>45836</v>
      </c>
      <c r="T123" t="s">
        <v>38</v>
      </c>
      <c r="U123">
        <f t="shared" ca="1" si="6"/>
        <v>11</v>
      </c>
      <c r="V123" s="6">
        <f t="shared" ca="1" si="7"/>
        <v>46013</v>
      </c>
      <c r="W123" s="6">
        <f t="shared" ca="1" si="8"/>
        <v>46019</v>
      </c>
      <c r="X123" t="str">
        <f t="shared" ca="1" si="9"/>
        <v>Dec 22 to Dec 28</v>
      </c>
      <c r="Y123" t="str">
        <f t="shared" ca="1" si="10"/>
        <v>🔵 NEXT 2 WEEKS</v>
      </c>
      <c r="Z123" t="str">
        <f t="shared" ca="1" si="11"/>
        <v>Send reminder SMS</v>
      </c>
    </row>
    <row r="124" spans="1:26">
      <c r="A124">
        <v>1004172712</v>
      </c>
      <c r="B124" s="3" t="s">
        <v>477</v>
      </c>
      <c r="C124">
        <v>56</v>
      </c>
      <c r="D124" t="s">
        <v>27</v>
      </c>
      <c r="E124" t="s">
        <v>28</v>
      </c>
      <c r="F124" t="s">
        <v>29</v>
      </c>
      <c r="G124" t="s">
        <v>28</v>
      </c>
      <c r="H124">
        <v>4</v>
      </c>
      <c r="I124" t="s">
        <v>66</v>
      </c>
      <c r="J124" t="s">
        <v>478</v>
      </c>
      <c r="K124" t="s">
        <v>479</v>
      </c>
      <c r="L124" t="s">
        <v>58</v>
      </c>
      <c r="M124" s="4" t="s">
        <v>94</v>
      </c>
      <c r="N124" t="s">
        <v>70</v>
      </c>
      <c r="P124" s="3" t="s">
        <v>36</v>
      </c>
      <c r="Q124" s="3" t="s">
        <v>77</v>
      </c>
      <c r="R124">
        <v>2</v>
      </c>
      <c r="S124" s="5">
        <v>45939</v>
      </c>
      <c r="T124" t="s">
        <v>38</v>
      </c>
      <c r="U124">
        <f t="shared" ca="1" si="6"/>
        <v>24</v>
      </c>
      <c r="V124" s="6">
        <f t="shared" ca="1" si="7"/>
        <v>46026</v>
      </c>
      <c r="W124" s="6">
        <f t="shared" ca="1" si="8"/>
        <v>46032</v>
      </c>
      <c r="X124" t="str">
        <f t="shared" ca="1" si="9"/>
        <v>Jan 4 to Jan 10</v>
      </c>
      <c r="Y124" t="str">
        <f t="shared" ca="1" si="10"/>
        <v>⚪ SCHEDULED</v>
      </c>
      <c r="Z124" t="str">
        <f t="shared" ca="1" si="11"/>
        <v>No action needed yet</v>
      </c>
    </row>
    <row r="125" spans="1:26">
      <c r="A125">
        <v>1004189849</v>
      </c>
      <c r="B125" s="3" t="s">
        <v>480</v>
      </c>
      <c r="C125">
        <v>46</v>
      </c>
      <c r="D125" t="s">
        <v>27</v>
      </c>
      <c r="E125" t="s">
        <v>29</v>
      </c>
      <c r="F125" t="s">
        <v>28</v>
      </c>
      <c r="G125" t="s">
        <v>28</v>
      </c>
      <c r="H125">
        <v>3</v>
      </c>
      <c r="I125" t="s">
        <v>66</v>
      </c>
      <c r="J125" t="s">
        <v>481</v>
      </c>
      <c r="K125" t="s">
        <v>482</v>
      </c>
      <c r="M125" s="4" t="s">
        <v>34</v>
      </c>
      <c r="N125" t="s">
        <v>148</v>
      </c>
      <c r="P125" s="3" t="s">
        <v>36</v>
      </c>
      <c r="Q125" s="3" t="s">
        <v>123</v>
      </c>
      <c r="R125">
        <v>1</v>
      </c>
      <c r="S125" s="5">
        <v>45784</v>
      </c>
      <c r="T125" t="s">
        <v>38</v>
      </c>
      <c r="U125">
        <f t="shared" ca="1" si="6"/>
        <v>19</v>
      </c>
      <c r="V125" s="6">
        <f t="shared" ca="1" si="7"/>
        <v>46021</v>
      </c>
      <c r="W125" s="6">
        <f t="shared" ca="1" si="8"/>
        <v>46027</v>
      </c>
      <c r="X125" t="str">
        <f t="shared" ca="1" si="9"/>
        <v>Dec 30 to Jan 5</v>
      </c>
      <c r="Y125" t="str">
        <f t="shared" ca="1" si="10"/>
        <v>⚪ SCHEDULED</v>
      </c>
      <c r="Z125" t="str">
        <f t="shared" ca="1" si="11"/>
        <v>No action needed yet</v>
      </c>
    </row>
    <row r="126" spans="1:26">
      <c r="A126">
        <v>1004192850</v>
      </c>
      <c r="B126" s="3" t="s">
        <v>483</v>
      </c>
      <c r="C126">
        <v>66</v>
      </c>
      <c r="D126" t="s">
        <v>47</v>
      </c>
      <c r="E126" t="s">
        <v>29</v>
      </c>
      <c r="F126" t="s">
        <v>29</v>
      </c>
      <c r="G126" t="s">
        <v>28</v>
      </c>
      <c r="H126">
        <v>5</v>
      </c>
      <c r="I126" t="s">
        <v>30</v>
      </c>
      <c r="J126" t="s">
        <v>484</v>
      </c>
      <c r="K126" t="s">
        <v>485</v>
      </c>
      <c r="L126" t="s">
        <v>88</v>
      </c>
      <c r="M126" s="4" t="s">
        <v>34</v>
      </c>
      <c r="N126" t="s">
        <v>119</v>
      </c>
      <c r="P126" s="3" t="s">
        <v>36</v>
      </c>
      <c r="Q126" s="3" t="s">
        <v>365</v>
      </c>
      <c r="R126">
        <v>1</v>
      </c>
      <c r="S126" s="5">
        <v>45346</v>
      </c>
      <c r="T126" t="s">
        <v>38</v>
      </c>
      <c r="U126">
        <f t="shared" ca="1" si="6"/>
        <v>1</v>
      </c>
      <c r="V126" s="6">
        <f t="shared" ca="1" si="7"/>
        <v>46003</v>
      </c>
      <c r="W126" s="6">
        <f t="shared" ca="1" si="8"/>
        <v>46009</v>
      </c>
      <c r="X126" t="str">
        <f t="shared" ca="1" si="9"/>
        <v>Dec 12 to Dec 18</v>
      </c>
      <c r="Y126" t="str">
        <f t="shared" ca="1" si="10"/>
        <v>🟡 IMMINENT (within 3 days)</v>
      </c>
      <c r="Z126" t="str">
        <f t="shared" ca="1" si="11"/>
        <v>Prepare medications TODAY</v>
      </c>
    </row>
    <row r="127" spans="1:26">
      <c r="A127">
        <v>1004193965</v>
      </c>
      <c r="B127" s="3" t="s">
        <v>486</v>
      </c>
      <c r="C127">
        <v>66</v>
      </c>
      <c r="D127" t="s">
        <v>47</v>
      </c>
      <c r="E127" t="s">
        <v>54</v>
      </c>
      <c r="F127" t="s">
        <v>54</v>
      </c>
      <c r="G127" t="s">
        <v>54</v>
      </c>
      <c r="H127">
        <v>3</v>
      </c>
      <c r="I127" t="s">
        <v>66</v>
      </c>
      <c r="J127" t="s">
        <v>487</v>
      </c>
      <c r="K127" t="s">
        <v>488</v>
      </c>
      <c r="L127" t="s">
        <v>100</v>
      </c>
      <c r="M127" s="4" t="s">
        <v>43</v>
      </c>
      <c r="N127" t="s">
        <v>59</v>
      </c>
      <c r="P127" s="3" t="s">
        <v>36</v>
      </c>
      <c r="Q127" s="3" t="s">
        <v>230</v>
      </c>
      <c r="R127">
        <v>2</v>
      </c>
      <c r="S127" s="5">
        <v>45870</v>
      </c>
      <c r="T127" t="s">
        <v>38</v>
      </c>
      <c r="U127">
        <f t="shared" ca="1" si="6"/>
        <v>15</v>
      </c>
      <c r="V127" s="6">
        <f t="shared" ca="1" si="7"/>
        <v>46017</v>
      </c>
      <c r="W127" s="6">
        <f t="shared" ca="1" si="8"/>
        <v>46023</v>
      </c>
      <c r="X127" t="str">
        <f t="shared" ca="1" si="9"/>
        <v>Dec 26 to Jan 1</v>
      </c>
      <c r="Y127" t="str">
        <f t="shared" ca="1" si="10"/>
        <v>⚪ SCHEDULED</v>
      </c>
      <c r="Z127" t="str">
        <f t="shared" ca="1" si="11"/>
        <v>No action needed yet</v>
      </c>
    </row>
    <row r="128" spans="1:26">
      <c r="A128">
        <v>1004241020</v>
      </c>
      <c r="B128" s="3" t="s">
        <v>489</v>
      </c>
      <c r="C128">
        <v>56</v>
      </c>
      <c r="D128" t="s">
        <v>27</v>
      </c>
      <c r="E128" t="s">
        <v>29</v>
      </c>
      <c r="F128" t="s">
        <v>28</v>
      </c>
      <c r="G128" t="s">
        <v>29</v>
      </c>
      <c r="H128">
        <v>5</v>
      </c>
      <c r="I128" t="s">
        <v>30</v>
      </c>
      <c r="J128" t="s">
        <v>490</v>
      </c>
      <c r="K128" t="s">
        <v>491</v>
      </c>
      <c r="L128" t="s">
        <v>33</v>
      </c>
      <c r="M128" s="4" t="s">
        <v>34</v>
      </c>
      <c r="N128" t="s">
        <v>95</v>
      </c>
      <c r="P128" s="3" t="s">
        <v>36</v>
      </c>
      <c r="Q128" s="3" t="s">
        <v>96</v>
      </c>
      <c r="R128">
        <v>1</v>
      </c>
      <c r="S128" s="5">
        <v>45829</v>
      </c>
      <c r="T128" t="s">
        <v>38</v>
      </c>
      <c r="U128">
        <f t="shared" ca="1" si="6"/>
        <v>4</v>
      </c>
      <c r="V128" s="6">
        <f t="shared" ca="1" si="7"/>
        <v>46006</v>
      </c>
      <c r="W128" s="6">
        <f t="shared" ca="1" si="8"/>
        <v>46012</v>
      </c>
      <c r="X128" t="str">
        <f t="shared" ca="1" si="9"/>
        <v>Dec 15 to Dec 21</v>
      </c>
      <c r="Y128" t="str">
        <f t="shared" ca="1" si="10"/>
        <v>🟢 THIS WEEK</v>
      </c>
      <c r="Z128" t="str">
        <f t="shared" ca="1" si="11"/>
        <v>Confirm appointment</v>
      </c>
    </row>
    <row r="129" spans="1:26">
      <c r="A129">
        <v>1004279202</v>
      </c>
      <c r="B129" s="3" t="s">
        <v>492</v>
      </c>
      <c r="C129">
        <v>58</v>
      </c>
      <c r="D129" t="s">
        <v>27</v>
      </c>
      <c r="E129" t="s">
        <v>28</v>
      </c>
      <c r="F129" t="s">
        <v>29</v>
      </c>
      <c r="G129" t="s">
        <v>29</v>
      </c>
      <c r="H129">
        <v>5</v>
      </c>
      <c r="I129" t="s">
        <v>30</v>
      </c>
      <c r="J129" t="s">
        <v>493</v>
      </c>
      <c r="K129" t="s">
        <v>494</v>
      </c>
      <c r="M129" s="4" t="s">
        <v>43</v>
      </c>
      <c r="N129" t="s">
        <v>35</v>
      </c>
      <c r="P129" s="3" t="s">
        <v>36</v>
      </c>
      <c r="Q129" s="3" t="s">
        <v>90</v>
      </c>
      <c r="R129">
        <v>2</v>
      </c>
      <c r="S129" s="5">
        <v>45913</v>
      </c>
      <c r="T129" t="s">
        <v>38</v>
      </c>
      <c r="U129">
        <f t="shared" ca="1" si="6"/>
        <v>28</v>
      </c>
      <c r="V129" s="6">
        <f t="shared" ca="1" si="7"/>
        <v>46030</v>
      </c>
      <c r="W129" s="6">
        <f t="shared" ca="1" si="8"/>
        <v>46036</v>
      </c>
      <c r="X129" t="str">
        <f t="shared" ca="1" si="9"/>
        <v>Jan 8 to Jan 14</v>
      </c>
      <c r="Y129" t="str">
        <f t="shared" ca="1" si="10"/>
        <v>⚪ SCHEDULED</v>
      </c>
      <c r="Z129" t="str">
        <f t="shared" ca="1" si="11"/>
        <v>No action needed yet</v>
      </c>
    </row>
    <row r="130" spans="1:26">
      <c r="A130">
        <v>1004325245</v>
      </c>
      <c r="B130" s="3" t="s">
        <v>495</v>
      </c>
      <c r="C130">
        <v>72</v>
      </c>
      <c r="D130" t="s">
        <v>27</v>
      </c>
      <c r="E130" t="s">
        <v>29</v>
      </c>
      <c r="F130" t="s">
        <v>29</v>
      </c>
      <c r="G130" t="s">
        <v>29</v>
      </c>
      <c r="H130">
        <v>7</v>
      </c>
      <c r="I130" t="s">
        <v>30</v>
      </c>
      <c r="J130" t="s">
        <v>496</v>
      </c>
      <c r="K130" t="s">
        <v>497</v>
      </c>
      <c r="L130" t="s">
        <v>234</v>
      </c>
      <c r="M130" s="4" t="s">
        <v>94</v>
      </c>
      <c r="N130" t="s">
        <v>201</v>
      </c>
      <c r="P130" s="3" t="s">
        <v>36</v>
      </c>
      <c r="Q130" s="3" t="s">
        <v>123</v>
      </c>
      <c r="R130">
        <v>1</v>
      </c>
      <c r="S130" s="5">
        <v>45952</v>
      </c>
      <c r="T130" t="s">
        <v>38</v>
      </c>
      <c r="U130">
        <f t="shared" ref="U130:U193" ca="1" si="12">IF(S130&gt;=TODAY(),S130,S130+CEILING((TODAY()-S130)/IF(T130="Monthly",30,IF(T130="Bi-Monthly",60,90)),1)*IF(T130="Monthly",30,IF(T130="Bi-Monthly",60,90)))-TODAY()</f>
        <v>7</v>
      </c>
      <c r="V130" s="6">
        <f t="shared" ref="V130:V193" ca="1" si="13">IF(S130&gt;=TODAY(),S130,S130+CEILING((TODAY()-S130)/IF(T130="Monthly",30,IF(T130="Bi-Monthly",60,90)),1)*IF(T130="Monthly",30,IF(T130="Bi-Monthly",60,90)))-3</f>
        <v>46009</v>
      </c>
      <c r="W130" s="6">
        <f t="shared" ref="W130:W193" ca="1" si="14">IF(S130&gt;=TODAY(),S130,S130+CEILING((TODAY()-S130)/IF(T130="Monthly",30,IF(T130="Bi-Monthly",60,90)),1)*IF(T130="Monthly",30,IF(T130="Bi-Monthly",60,90)))+3</f>
        <v>46015</v>
      </c>
      <c r="X130" t="str">
        <f t="shared" ref="X130:X193" ca="1" si="15">TEXT(V130,"MMM D")&amp;" to "&amp;TEXT(W130,"MMM D")</f>
        <v>Dec 18 to Dec 24</v>
      </c>
      <c r="Y130" t="str">
        <f t="shared" ref="Y130:Y193" ca="1" si="16">IF(U130&lt;=3,"🟡 IMMINENT (within 3 days)",IF(U130&lt;=7,"🟢 THIS WEEK",IF(U130&lt;=14,"🔵 NEXT 2 WEEKS","⚪ SCHEDULED")))</f>
        <v>🟢 THIS WEEK</v>
      </c>
      <c r="Z130" t="str">
        <f t="shared" ref="Z130:Z193" ca="1" si="17">IF(U130&lt;=3,"Prepare medications TODAY",IF(U130&lt;=7,"Confirm appointment",IF(U130&lt;=14,"Send reminder SMS","No action needed yet")))</f>
        <v>Confirm appointment</v>
      </c>
    </row>
    <row r="131" spans="1:26">
      <c r="A131">
        <v>1004400675</v>
      </c>
      <c r="B131" s="3" t="s">
        <v>498</v>
      </c>
      <c r="C131">
        <v>42</v>
      </c>
      <c r="D131" t="s">
        <v>27</v>
      </c>
      <c r="E131" t="s">
        <v>54</v>
      </c>
      <c r="F131" t="s">
        <v>54</v>
      </c>
      <c r="G131" t="s">
        <v>54</v>
      </c>
      <c r="H131">
        <v>1</v>
      </c>
      <c r="I131" t="s">
        <v>55</v>
      </c>
      <c r="J131" t="s">
        <v>499</v>
      </c>
      <c r="K131" t="s">
        <v>500</v>
      </c>
      <c r="L131" t="s">
        <v>33</v>
      </c>
      <c r="M131" s="4" t="s">
        <v>34</v>
      </c>
      <c r="N131" t="s">
        <v>59</v>
      </c>
      <c r="P131" s="3" t="s">
        <v>36</v>
      </c>
      <c r="Q131" s="3" t="s">
        <v>45</v>
      </c>
      <c r="R131">
        <v>2</v>
      </c>
      <c r="S131" s="5">
        <v>45440</v>
      </c>
      <c r="T131" t="s">
        <v>393</v>
      </c>
      <c r="U131">
        <f t="shared" ca="1" si="12"/>
        <v>65</v>
      </c>
      <c r="V131" s="6">
        <f t="shared" ca="1" si="13"/>
        <v>46067</v>
      </c>
      <c r="W131" s="6">
        <f t="shared" ca="1" si="14"/>
        <v>46073</v>
      </c>
      <c r="X131" t="str">
        <f t="shared" ca="1" si="15"/>
        <v>Feb 14 to Feb 20</v>
      </c>
      <c r="Y131" t="str">
        <f t="shared" ca="1" si="16"/>
        <v>⚪ SCHEDULED</v>
      </c>
      <c r="Z131" t="str">
        <f t="shared" ca="1" si="17"/>
        <v>No action needed yet</v>
      </c>
    </row>
    <row r="132" spans="1:26">
      <c r="A132">
        <v>1004407043</v>
      </c>
      <c r="B132" s="3" t="s">
        <v>501</v>
      </c>
      <c r="C132">
        <v>67</v>
      </c>
      <c r="D132" t="s">
        <v>47</v>
      </c>
      <c r="E132" t="s">
        <v>28</v>
      </c>
      <c r="F132" t="s">
        <v>28</v>
      </c>
      <c r="G132" t="s">
        <v>29</v>
      </c>
      <c r="H132">
        <v>4</v>
      </c>
      <c r="I132" t="s">
        <v>66</v>
      </c>
      <c r="J132" t="s">
        <v>502</v>
      </c>
      <c r="K132" t="s">
        <v>503</v>
      </c>
      <c r="L132" t="s">
        <v>504</v>
      </c>
      <c r="M132" s="4" t="s">
        <v>34</v>
      </c>
      <c r="N132" t="s">
        <v>140</v>
      </c>
      <c r="P132" s="3" t="s">
        <v>36</v>
      </c>
      <c r="Q132" s="3" t="s">
        <v>90</v>
      </c>
      <c r="R132">
        <v>2</v>
      </c>
      <c r="S132" s="5">
        <v>45764</v>
      </c>
      <c r="T132" t="s">
        <v>38</v>
      </c>
      <c r="U132">
        <f t="shared" ca="1" si="12"/>
        <v>29</v>
      </c>
      <c r="V132" s="6">
        <f t="shared" ca="1" si="13"/>
        <v>46031</v>
      </c>
      <c r="W132" s="6">
        <f t="shared" ca="1" si="14"/>
        <v>46037</v>
      </c>
      <c r="X132" t="str">
        <f t="shared" ca="1" si="15"/>
        <v>Jan 9 to Jan 15</v>
      </c>
      <c r="Y132" t="str">
        <f t="shared" ca="1" si="16"/>
        <v>⚪ SCHEDULED</v>
      </c>
      <c r="Z132" t="str">
        <f t="shared" ca="1" si="17"/>
        <v>No action needed yet</v>
      </c>
    </row>
    <row r="133" spans="1:26">
      <c r="A133">
        <v>1004465025</v>
      </c>
      <c r="B133" s="3" t="s">
        <v>505</v>
      </c>
      <c r="C133">
        <v>58</v>
      </c>
      <c r="D133" t="s">
        <v>27</v>
      </c>
      <c r="E133" t="s">
        <v>29</v>
      </c>
      <c r="F133" t="s">
        <v>29</v>
      </c>
      <c r="G133" t="s">
        <v>29</v>
      </c>
      <c r="H133">
        <v>6</v>
      </c>
      <c r="I133" t="s">
        <v>30</v>
      </c>
      <c r="J133" t="s">
        <v>184</v>
      </c>
      <c r="K133" t="s">
        <v>424</v>
      </c>
      <c r="L133" t="s">
        <v>186</v>
      </c>
      <c r="M133" s="4" t="s">
        <v>94</v>
      </c>
      <c r="N133" t="s">
        <v>44</v>
      </c>
      <c r="P133" s="3" t="s">
        <v>36</v>
      </c>
      <c r="Q133" s="3" t="s">
        <v>45</v>
      </c>
      <c r="R133">
        <v>2</v>
      </c>
      <c r="S133" s="5">
        <v>45948</v>
      </c>
      <c r="T133" t="s">
        <v>38</v>
      </c>
      <c r="U133">
        <f t="shared" ca="1" si="12"/>
        <v>3</v>
      </c>
      <c r="V133" s="6">
        <f t="shared" ca="1" si="13"/>
        <v>46005</v>
      </c>
      <c r="W133" s="6">
        <f t="shared" ca="1" si="14"/>
        <v>46011</v>
      </c>
      <c r="X133" t="str">
        <f t="shared" ca="1" si="15"/>
        <v>Dec 14 to Dec 20</v>
      </c>
      <c r="Y133" t="str">
        <f t="shared" ca="1" si="16"/>
        <v>🟡 IMMINENT (within 3 days)</v>
      </c>
      <c r="Z133" t="str">
        <f t="shared" ca="1" si="17"/>
        <v>Prepare medications TODAY</v>
      </c>
    </row>
    <row r="134" spans="1:26">
      <c r="A134">
        <v>1004476162</v>
      </c>
      <c r="B134" s="3" t="s">
        <v>506</v>
      </c>
      <c r="C134">
        <v>78</v>
      </c>
      <c r="D134" t="s">
        <v>47</v>
      </c>
      <c r="E134" t="s">
        <v>29</v>
      </c>
      <c r="F134" t="s">
        <v>28</v>
      </c>
      <c r="G134" t="s">
        <v>28</v>
      </c>
      <c r="H134">
        <v>5</v>
      </c>
      <c r="I134" t="s">
        <v>30</v>
      </c>
      <c r="J134" t="s">
        <v>507</v>
      </c>
      <c r="K134" t="s">
        <v>508</v>
      </c>
      <c r="L134" t="s">
        <v>509</v>
      </c>
      <c r="M134" s="4" t="s">
        <v>34</v>
      </c>
      <c r="N134" t="s">
        <v>162</v>
      </c>
      <c r="P134" s="3" t="s">
        <v>36</v>
      </c>
      <c r="Q134" s="3" t="s">
        <v>107</v>
      </c>
      <c r="R134">
        <v>1</v>
      </c>
      <c r="S134" s="5">
        <v>45728</v>
      </c>
      <c r="T134" t="s">
        <v>38</v>
      </c>
      <c r="U134">
        <f t="shared" ca="1" si="12"/>
        <v>23</v>
      </c>
      <c r="V134" s="6">
        <f t="shared" ca="1" si="13"/>
        <v>46025</v>
      </c>
      <c r="W134" s="6">
        <f t="shared" ca="1" si="14"/>
        <v>46031</v>
      </c>
      <c r="X134" t="str">
        <f t="shared" ca="1" si="15"/>
        <v>Jan 3 to Jan 9</v>
      </c>
      <c r="Y134" t="str">
        <f t="shared" ca="1" si="16"/>
        <v>⚪ SCHEDULED</v>
      </c>
      <c r="Z134" t="str">
        <f t="shared" ca="1" si="17"/>
        <v>No action needed yet</v>
      </c>
    </row>
    <row r="135" spans="1:26">
      <c r="A135">
        <v>1004506513</v>
      </c>
      <c r="B135" s="3" t="s">
        <v>510</v>
      </c>
      <c r="C135">
        <v>59</v>
      </c>
      <c r="D135" t="s">
        <v>27</v>
      </c>
      <c r="E135" t="s">
        <v>28</v>
      </c>
      <c r="F135" t="s">
        <v>29</v>
      </c>
      <c r="G135" t="s">
        <v>28</v>
      </c>
      <c r="H135">
        <v>3</v>
      </c>
      <c r="I135" t="s">
        <v>66</v>
      </c>
      <c r="J135" t="s">
        <v>125</v>
      </c>
      <c r="K135" t="s">
        <v>511</v>
      </c>
      <c r="L135" t="s">
        <v>69</v>
      </c>
      <c r="M135" s="4" t="s">
        <v>34</v>
      </c>
      <c r="N135" t="s">
        <v>70</v>
      </c>
      <c r="P135" s="3" t="s">
        <v>36</v>
      </c>
      <c r="Q135" s="3" t="s">
        <v>96</v>
      </c>
      <c r="R135">
        <v>1</v>
      </c>
      <c r="S135" s="5">
        <v>45814</v>
      </c>
      <c r="T135" t="s">
        <v>38</v>
      </c>
      <c r="U135">
        <f t="shared" ca="1" si="12"/>
        <v>19</v>
      </c>
      <c r="V135" s="6">
        <f t="shared" ca="1" si="13"/>
        <v>46021</v>
      </c>
      <c r="W135" s="6">
        <f t="shared" ca="1" si="14"/>
        <v>46027</v>
      </c>
      <c r="X135" t="str">
        <f t="shared" ca="1" si="15"/>
        <v>Dec 30 to Jan 5</v>
      </c>
      <c r="Y135" t="str">
        <f t="shared" ca="1" si="16"/>
        <v>⚪ SCHEDULED</v>
      </c>
      <c r="Z135" t="str">
        <f t="shared" ca="1" si="17"/>
        <v>No action needed yet</v>
      </c>
    </row>
    <row r="136" spans="1:26">
      <c r="A136">
        <v>1004513071</v>
      </c>
      <c r="B136" s="3" t="s">
        <v>512</v>
      </c>
      <c r="C136">
        <v>54</v>
      </c>
      <c r="D136" t="s">
        <v>47</v>
      </c>
      <c r="E136" t="s">
        <v>29</v>
      </c>
      <c r="F136" t="s">
        <v>28</v>
      </c>
      <c r="G136" t="s">
        <v>28</v>
      </c>
      <c r="H136">
        <v>5</v>
      </c>
      <c r="I136" t="s">
        <v>30</v>
      </c>
      <c r="J136" t="s">
        <v>513</v>
      </c>
      <c r="K136" t="s">
        <v>514</v>
      </c>
      <c r="L136" t="s">
        <v>221</v>
      </c>
      <c r="M136" s="4" t="s">
        <v>34</v>
      </c>
      <c r="N136" t="s">
        <v>162</v>
      </c>
      <c r="P136" s="3" t="s">
        <v>36</v>
      </c>
      <c r="Q136" s="3" t="s">
        <v>313</v>
      </c>
      <c r="R136">
        <v>2</v>
      </c>
      <c r="S136" s="5">
        <v>45819</v>
      </c>
      <c r="T136" t="s">
        <v>38</v>
      </c>
      <c r="U136">
        <f t="shared" ca="1" si="12"/>
        <v>24</v>
      </c>
      <c r="V136" s="6">
        <f t="shared" ca="1" si="13"/>
        <v>46026</v>
      </c>
      <c r="W136" s="6">
        <f t="shared" ca="1" si="14"/>
        <v>46032</v>
      </c>
      <c r="X136" t="str">
        <f t="shared" ca="1" si="15"/>
        <v>Jan 4 to Jan 10</v>
      </c>
      <c r="Y136" t="str">
        <f t="shared" ca="1" si="16"/>
        <v>⚪ SCHEDULED</v>
      </c>
      <c r="Z136" t="str">
        <f t="shared" ca="1" si="17"/>
        <v>No action needed yet</v>
      </c>
    </row>
    <row r="137" spans="1:26">
      <c r="A137">
        <v>1004519359</v>
      </c>
      <c r="B137" s="3" t="s">
        <v>515</v>
      </c>
      <c r="C137">
        <v>72</v>
      </c>
      <c r="D137" t="s">
        <v>27</v>
      </c>
      <c r="E137" t="s">
        <v>29</v>
      </c>
      <c r="F137" t="s">
        <v>28</v>
      </c>
      <c r="G137" t="s">
        <v>28</v>
      </c>
      <c r="H137">
        <v>6</v>
      </c>
      <c r="I137" t="s">
        <v>30</v>
      </c>
      <c r="J137" t="s">
        <v>516</v>
      </c>
      <c r="K137" t="s">
        <v>517</v>
      </c>
      <c r="L137" t="s">
        <v>200</v>
      </c>
      <c r="M137" s="4" t="s">
        <v>34</v>
      </c>
      <c r="N137" t="s">
        <v>162</v>
      </c>
      <c r="P137" s="3" t="s">
        <v>36</v>
      </c>
      <c r="Q137" s="3" t="s">
        <v>313</v>
      </c>
      <c r="R137">
        <v>2</v>
      </c>
      <c r="S137" s="5">
        <v>45477</v>
      </c>
      <c r="T137" t="s">
        <v>38</v>
      </c>
      <c r="U137">
        <f t="shared" ca="1" si="12"/>
        <v>12</v>
      </c>
      <c r="V137" s="6">
        <f t="shared" ca="1" si="13"/>
        <v>46014</v>
      </c>
      <c r="W137" s="6">
        <f t="shared" ca="1" si="14"/>
        <v>46020</v>
      </c>
      <c r="X137" t="str">
        <f t="shared" ca="1" si="15"/>
        <v>Dec 23 to Dec 29</v>
      </c>
      <c r="Y137" t="str">
        <f t="shared" ca="1" si="16"/>
        <v>🔵 NEXT 2 WEEKS</v>
      </c>
      <c r="Z137" t="str">
        <f t="shared" ca="1" si="17"/>
        <v>Send reminder SMS</v>
      </c>
    </row>
    <row r="138" spans="1:26">
      <c r="A138">
        <v>1004519532</v>
      </c>
      <c r="B138" s="3" t="s">
        <v>518</v>
      </c>
      <c r="C138">
        <v>52</v>
      </c>
      <c r="D138" t="s">
        <v>47</v>
      </c>
      <c r="E138" t="s">
        <v>54</v>
      </c>
      <c r="F138" t="s">
        <v>54</v>
      </c>
      <c r="G138" t="s">
        <v>54</v>
      </c>
      <c r="H138">
        <v>2</v>
      </c>
      <c r="I138" t="s">
        <v>55</v>
      </c>
      <c r="J138" t="s">
        <v>519</v>
      </c>
      <c r="K138" t="s">
        <v>520</v>
      </c>
      <c r="L138" t="s">
        <v>114</v>
      </c>
      <c r="M138" s="4" t="s">
        <v>94</v>
      </c>
      <c r="N138" t="s">
        <v>59</v>
      </c>
      <c r="P138" s="3" t="s">
        <v>36</v>
      </c>
      <c r="Q138" s="3" t="s">
        <v>45</v>
      </c>
      <c r="R138">
        <v>2</v>
      </c>
      <c r="S138" s="5">
        <v>45990</v>
      </c>
      <c r="T138" t="s">
        <v>60</v>
      </c>
      <c r="U138">
        <f t="shared" ca="1" si="12"/>
        <v>45</v>
      </c>
      <c r="V138" s="6">
        <f t="shared" ca="1" si="13"/>
        <v>46047</v>
      </c>
      <c r="W138" s="6">
        <f t="shared" ca="1" si="14"/>
        <v>46053</v>
      </c>
      <c r="X138" t="str">
        <f t="shared" ca="1" si="15"/>
        <v>Jan 25 to Jan 31</v>
      </c>
      <c r="Y138" t="str">
        <f t="shared" ca="1" si="16"/>
        <v>⚪ SCHEDULED</v>
      </c>
      <c r="Z138" t="str">
        <f t="shared" ca="1" si="17"/>
        <v>No action needed yet</v>
      </c>
    </row>
    <row r="139" spans="1:26">
      <c r="A139">
        <v>1004566939</v>
      </c>
      <c r="B139" s="3" t="s">
        <v>521</v>
      </c>
      <c r="C139">
        <v>55</v>
      </c>
      <c r="D139" t="s">
        <v>27</v>
      </c>
      <c r="E139" t="s">
        <v>28</v>
      </c>
      <c r="F139" t="s">
        <v>28</v>
      </c>
      <c r="G139" t="s">
        <v>28</v>
      </c>
      <c r="H139">
        <v>3</v>
      </c>
      <c r="I139" t="s">
        <v>66</v>
      </c>
      <c r="J139" t="s">
        <v>522</v>
      </c>
      <c r="K139" t="s">
        <v>523</v>
      </c>
      <c r="L139" t="s">
        <v>524</v>
      </c>
      <c r="M139" s="4" t="s">
        <v>43</v>
      </c>
      <c r="N139" t="s">
        <v>59</v>
      </c>
      <c r="P139" s="3" t="s">
        <v>36</v>
      </c>
      <c r="Q139" s="3" t="s">
        <v>101</v>
      </c>
      <c r="R139">
        <v>2</v>
      </c>
      <c r="S139" s="5">
        <v>45912</v>
      </c>
      <c r="T139" t="s">
        <v>38</v>
      </c>
      <c r="U139">
        <f t="shared" ca="1" si="12"/>
        <v>27</v>
      </c>
      <c r="V139" s="6">
        <f t="shared" ca="1" si="13"/>
        <v>46029</v>
      </c>
      <c r="W139" s="6">
        <f t="shared" ca="1" si="14"/>
        <v>46035</v>
      </c>
      <c r="X139" t="str">
        <f t="shared" ca="1" si="15"/>
        <v>Jan 7 to Jan 13</v>
      </c>
      <c r="Y139" t="str">
        <f t="shared" ca="1" si="16"/>
        <v>⚪ SCHEDULED</v>
      </c>
      <c r="Z139" t="str">
        <f t="shared" ca="1" si="17"/>
        <v>No action needed yet</v>
      </c>
    </row>
    <row r="140" spans="1:26">
      <c r="A140">
        <v>1004649776</v>
      </c>
      <c r="B140" s="3" t="s">
        <v>525</v>
      </c>
      <c r="C140">
        <v>61</v>
      </c>
      <c r="D140" t="s">
        <v>27</v>
      </c>
      <c r="E140" t="s">
        <v>29</v>
      </c>
      <c r="F140" t="s">
        <v>29</v>
      </c>
      <c r="G140" t="s">
        <v>29</v>
      </c>
      <c r="H140">
        <v>7</v>
      </c>
      <c r="I140" t="s">
        <v>30</v>
      </c>
      <c r="J140" t="s">
        <v>526</v>
      </c>
      <c r="K140" t="s">
        <v>527</v>
      </c>
      <c r="M140" s="4" t="s">
        <v>94</v>
      </c>
      <c r="N140" t="s">
        <v>44</v>
      </c>
      <c r="P140" s="3" t="s">
        <v>36</v>
      </c>
      <c r="Q140" s="3" t="s">
        <v>528</v>
      </c>
      <c r="R140">
        <v>1</v>
      </c>
      <c r="S140" s="5">
        <v>45937</v>
      </c>
      <c r="T140" t="s">
        <v>38</v>
      </c>
      <c r="U140">
        <f t="shared" ca="1" si="12"/>
        <v>22</v>
      </c>
      <c r="V140" s="6">
        <f t="shared" ca="1" si="13"/>
        <v>46024</v>
      </c>
      <c r="W140" s="6">
        <f t="shared" ca="1" si="14"/>
        <v>46030</v>
      </c>
      <c r="X140" t="str">
        <f t="shared" ca="1" si="15"/>
        <v>Jan 2 to Jan 8</v>
      </c>
      <c r="Y140" t="str">
        <f t="shared" ca="1" si="16"/>
        <v>⚪ SCHEDULED</v>
      </c>
      <c r="Z140" t="str">
        <f t="shared" ca="1" si="17"/>
        <v>No action needed yet</v>
      </c>
    </row>
    <row r="141" spans="1:26">
      <c r="A141">
        <v>1004666275</v>
      </c>
      <c r="B141" s="3" t="s">
        <v>529</v>
      </c>
      <c r="C141">
        <v>47</v>
      </c>
      <c r="D141" t="s">
        <v>27</v>
      </c>
      <c r="E141" t="s">
        <v>29</v>
      </c>
      <c r="F141" t="s">
        <v>29</v>
      </c>
      <c r="G141" t="s">
        <v>28</v>
      </c>
      <c r="H141">
        <v>4</v>
      </c>
      <c r="I141" t="s">
        <v>66</v>
      </c>
      <c r="J141" t="s">
        <v>519</v>
      </c>
      <c r="K141" t="s">
        <v>530</v>
      </c>
      <c r="L141" t="s">
        <v>114</v>
      </c>
      <c r="M141" s="4" t="s">
        <v>43</v>
      </c>
      <c r="N141" t="s">
        <v>144</v>
      </c>
      <c r="P141" s="3" t="s">
        <v>36</v>
      </c>
      <c r="Q141" s="3" t="s">
        <v>107</v>
      </c>
      <c r="R141">
        <v>1</v>
      </c>
      <c r="S141" s="5">
        <v>45919</v>
      </c>
      <c r="T141" t="s">
        <v>38</v>
      </c>
      <c r="U141">
        <f t="shared" ca="1" si="12"/>
        <v>4</v>
      </c>
      <c r="V141" s="6">
        <f t="shared" ca="1" si="13"/>
        <v>46006</v>
      </c>
      <c r="W141" s="6">
        <f t="shared" ca="1" si="14"/>
        <v>46012</v>
      </c>
      <c r="X141" t="str">
        <f t="shared" ca="1" si="15"/>
        <v>Dec 15 to Dec 21</v>
      </c>
      <c r="Y141" t="str">
        <f t="shared" ca="1" si="16"/>
        <v>🟢 THIS WEEK</v>
      </c>
      <c r="Z141" t="str">
        <f t="shared" ca="1" si="17"/>
        <v>Confirm appointment</v>
      </c>
    </row>
    <row r="142" spans="1:26">
      <c r="A142">
        <v>1004818777</v>
      </c>
      <c r="B142" s="3" t="s">
        <v>531</v>
      </c>
      <c r="C142">
        <v>55</v>
      </c>
      <c r="D142" t="s">
        <v>47</v>
      </c>
      <c r="E142" t="s">
        <v>29</v>
      </c>
      <c r="F142" t="s">
        <v>28</v>
      </c>
      <c r="G142" t="s">
        <v>28</v>
      </c>
      <c r="H142">
        <v>4</v>
      </c>
      <c r="I142" t="s">
        <v>66</v>
      </c>
      <c r="J142" t="s">
        <v>532</v>
      </c>
      <c r="K142" t="s">
        <v>533</v>
      </c>
      <c r="L142" t="s">
        <v>75</v>
      </c>
      <c r="M142" s="4" t="s">
        <v>34</v>
      </c>
      <c r="N142" t="s">
        <v>162</v>
      </c>
      <c r="P142" s="3" t="s">
        <v>36</v>
      </c>
      <c r="Q142" s="3" t="s">
        <v>84</v>
      </c>
      <c r="R142">
        <v>1</v>
      </c>
      <c r="S142" s="5">
        <v>45763</v>
      </c>
      <c r="T142" t="s">
        <v>38</v>
      </c>
      <c r="U142">
        <f t="shared" ca="1" si="12"/>
        <v>28</v>
      </c>
      <c r="V142" s="6">
        <f t="shared" ca="1" si="13"/>
        <v>46030</v>
      </c>
      <c r="W142" s="6">
        <f t="shared" ca="1" si="14"/>
        <v>46036</v>
      </c>
      <c r="X142" t="str">
        <f t="shared" ca="1" si="15"/>
        <v>Jan 8 to Jan 14</v>
      </c>
      <c r="Y142" t="str">
        <f t="shared" ca="1" si="16"/>
        <v>⚪ SCHEDULED</v>
      </c>
      <c r="Z142" t="str">
        <f t="shared" ca="1" si="17"/>
        <v>No action needed yet</v>
      </c>
    </row>
    <row r="143" spans="1:26">
      <c r="A143">
        <v>1004852297</v>
      </c>
      <c r="B143" s="3" t="s">
        <v>534</v>
      </c>
      <c r="C143">
        <v>61</v>
      </c>
      <c r="D143" t="s">
        <v>47</v>
      </c>
      <c r="E143" t="s">
        <v>29</v>
      </c>
      <c r="F143" t="s">
        <v>28</v>
      </c>
      <c r="G143" t="s">
        <v>28</v>
      </c>
      <c r="H143">
        <v>4</v>
      </c>
      <c r="I143" t="s">
        <v>66</v>
      </c>
      <c r="J143" t="s">
        <v>535</v>
      </c>
      <c r="K143" t="s">
        <v>536</v>
      </c>
      <c r="L143" t="s">
        <v>355</v>
      </c>
      <c r="M143" s="4" t="s">
        <v>43</v>
      </c>
      <c r="N143" t="s">
        <v>162</v>
      </c>
      <c r="P143" s="3" t="s">
        <v>36</v>
      </c>
      <c r="Q143" s="3" t="s">
        <v>84</v>
      </c>
      <c r="R143">
        <v>1</v>
      </c>
      <c r="S143" s="5">
        <v>45854</v>
      </c>
      <c r="T143" t="s">
        <v>38</v>
      </c>
      <c r="U143">
        <f t="shared" ca="1" si="12"/>
        <v>29</v>
      </c>
      <c r="V143" s="6">
        <f t="shared" ca="1" si="13"/>
        <v>46031</v>
      </c>
      <c r="W143" s="6">
        <f t="shared" ca="1" si="14"/>
        <v>46037</v>
      </c>
      <c r="X143" t="str">
        <f t="shared" ca="1" si="15"/>
        <v>Jan 9 to Jan 15</v>
      </c>
      <c r="Y143" t="str">
        <f t="shared" ca="1" si="16"/>
        <v>⚪ SCHEDULED</v>
      </c>
      <c r="Z143" t="str">
        <f t="shared" ca="1" si="17"/>
        <v>No action needed yet</v>
      </c>
    </row>
    <row r="144" spans="1:26">
      <c r="A144">
        <v>1004855761</v>
      </c>
      <c r="B144" s="3" t="s">
        <v>537</v>
      </c>
      <c r="C144">
        <v>61</v>
      </c>
      <c r="D144" t="s">
        <v>27</v>
      </c>
      <c r="E144" t="s">
        <v>29</v>
      </c>
      <c r="F144" t="s">
        <v>29</v>
      </c>
      <c r="G144" t="s">
        <v>29</v>
      </c>
      <c r="H144">
        <v>7</v>
      </c>
      <c r="I144" t="s">
        <v>30</v>
      </c>
      <c r="J144" t="s">
        <v>538</v>
      </c>
      <c r="K144" t="s">
        <v>539</v>
      </c>
      <c r="M144" s="4" t="s">
        <v>94</v>
      </c>
      <c r="N144" t="s">
        <v>44</v>
      </c>
      <c r="P144" s="3" t="s">
        <v>36</v>
      </c>
      <c r="Q144" s="3" t="s">
        <v>230</v>
      </c>
      <c r="R144">
        <v>2</v>
      </c>
      <c r="S144" s="5">
        <v>45932</v>
      </c>
      <c r="T144" t="s">
        <v>38</v>
      </c>
      <c r="U144">
        <f t="shared" ca="1" si="12"/>
        <v>17</v>
      </c>
      <c r="V144" s="6">
        <f t="shared" ca="1" si="13"/>
        <v>46019</v>
      </c>
      <c r="W144" s="6">
        <f t="shared" ca="1" si="14"/>
        <v>46025</v>
      </c>
      <c r="X144" t="str">
        <f t="shared" ca="1" si="15"/>
        <v>Dec 28 to Jan 3</v>
      </c>
      <c r="Y144" t="str">
        <f t="shared" ca="1" si="16"/>
        <v>⚪ SCHEDULED</v>
      </c>
      <c r="Z144" t="str">
        <f t="shared" ca="1" si="17"/>
        <v>No action needed yet</v>
      </c>
    </row>
    <row r="145" spans="1:26">
      <c r="A145">
        <v>1004855787</v>
      </c>
      <c r="B145" s="3" t="s">
        <v>540</v>
      </c>
      <c r="C145">
        <v>44</v>
      </c>
      <c r="D145" t="s">
        <v>27</v>
      </c>
      <c r="E145" t="s">
        <v>29</v>
      </c>
      <c r="F145" t="s">
        <v>29</v>
      </c>
      <c r="G145" t="s">
        <v>29</v>
      </c>
      <c r="H145">
        <v>5</v>
      </c>
      <c r="I145" t="s">
        <v>30</v>
      </c>
      <c r="J145" t="s">
        <v>541</v>
      </c>
      <c r="K145" t="s">
        <v>542</v>
      </c>
      <c r="L145" t="s">
        <v>75</v>
      </c>
      <c r="M145" s="4" t="s">
        <v>94</v>
      </c>
      <c r="N145" t="s">
        <v>76</v>
      </c>
      <c r="P145" s="3" t="s">
        <v>36</v>
      </c>
      <c r="Q145" s="3" t="s">
        <v>45</v>
      </c>
      <c r="R145">
        <v>1</v>
      </c>
      <c r="S145" s="5">
        <v>45932</v>
      </c>
      <c r="T145" t="s">
        <v>38</v>
      </c>
      <c r="U145">
        <f t="shared" ca="1" si="12"/>
        <v>17</v>
      </c>
      <c r="V145" s="6">
        <f t="shared" ca="1" si="13"/>
        <v>46019</v>
      </c>
      <c r="W145" s="6">
        <f t="shared" ca="1" si="14"/>
        <v>46025</v>
      </c>
      <c r="X145" t="str">
        <f t="shared" ca="1" si="15"/>
        <v>Dec 28 to Jan 3</v>
      </c>
      <c r="Y145" t="str">
        <f t="shared" ca="1" si="16"/>
        <v>⚪ SCHEDULED</v>
      </c>
      <c r="Z145" t="str">
        <f t="shared" ca="1" si="17"/>
        <v>No action needed yet</v>
      </c>
    </row>
    <row r="146" spans="1:26">
      <c r="A146">
        <v>1004909949</v>
      </c>
      <c r="B146" s="3" t="s">
        <v>543</v>
      </c>
      <c r="C146">
        <v>46</v>
      </c>
      <c r="D146" t="s">
        <v>47</v>
      </c>
      <c r="E146" t="s">
        <v>29</v>
      </c>
      <c r="F146" t="s">
        <v>29</v>
      </c>
      <c r="G146" t="s">
        <v>29</v>
      </c>
      <c r="H146">
        <v>4</v>
      </c>
      <c r="I146" t="s">
        <v>66</v>
      </c>
      <c r="J146" t="s">
        <v>544</v>
      </c>
      <c r="K146" t="s">
        <v>545</v>
      </c>
      <c r="M146" s="4" t="s">
        <v>43</v>
      </c>
      <c r="N146" t="s">
        <v>44</v>
      </c>
      <c r="P146" s="3" t="s">
        <v>36</v>
      </c>
      <c r="Q146" s="3" t="s">
        <v>84</v>
      </c>
      <c r="R146">
        <v>1</v>
      </c>
      <c r="S146" s="5">
        <v>45895</v>
      </c>
      <c r="T146" t="s">
        <v>38</v>
      </c>
      <c r="U146">
        <f t="shared" ca="1" si="12"/>
        <v>10</v>
      </c>
      <c r="V146" s="6">
        <f t="shared" ca="1" si="13"/>
        <v>46012</v>
      </c>
      <c r="W146" s="6">
        <f t="shared" ca="1" si="14"/>
        <v>46018</v>
      </c>
      <c r="X146" t="str">
        <f t="shared" ca="1" si="15"/>
        <v>Dec 21 to Dec 27</v>
      </c>
      <c r="Y146" t="str">
        <f t="shared" ca="1" si="16"/>
        <v>🔵 NEXT 2 WEEKS</v>
      </c>
      <c r="Z146" t="str">
        <f t="shared" ca="1" si="17"/>
        <v>Send reminder SMS</v>
      </c>
    </row>
    <row r="147" spans="1:26">
      <c r="A147">
        <v>1004935647</v>
      </c>
      <c r="B147" s="3" t="s">
        <v>546</v>
      </c>
      <c r="C147">
        <v>63</v>
      </c>
      <c r="D147" t="s">
        <v>27</v>
      </c>
      <c r="E147" t="s">
        <v>29</v>
      </c>
      <c r="F147" t="s">
        <v>29</v>
      </c>
      <c r="G147" t="s">
        <v>29</v>
      </c>
      <c r="H147">
        <v>8</v>
      </c>
      <c r="I147" t="s">
        <v>30</v>
      </c>
      <c r="J147" t="s">
        <v>547</v>
      </c>
      <c r="K147" t="s">
        <v>548</v>
      </c>
      <c r="L147" t="s">
        <v>549</v>
      </c>
      <c r="M147" s="4" t="s">
        <v>94</v>
      </c>
      <c r="N147" t="s">
        <v>76</v>
      </c>
      <c r="P147" s="3" t="s">
        <v>36</v>
      </c>
      <c r="Q147" s="3" t="s">
        <v>107</v>
      </c>
      <c r="R147">
        <v>1</v>
      </c>
      <c r="S147" s="5">
        <v>45931</v>
      </c>
      <c r="T147" t="s">
        <v>38</v>
      </c>
      <c r="U147">
        <f t="shared" ca="1" si="12"/>
        <v>16</v>
      </c>
      <c r="V147" s="6">
        <f t="shared" ca="1" si="13"/>
        <v>46018</v>
      </c>
      <c r="W147" s="6">
        <f t="shared" ca="1" si="14"/>
        <v>46024</v>
      </c>
      <c r="X147" t="str">
        <f t="shared" ca="1" si="15"/>
        <v>Dec 27 to Jan 2</v>
      </c>
      <c r="Y147" t="str">
        <f t="shared" ca="1" si="16"/>
        <v>⚪ SCHEDULED</v>
      </c>
      <c r="Z147" t="str">
        <f t="shared" ca="1" si="17"/>
        <v>No action needed yet</v>
      </c>
    </row>
    <row r="148" spans="1:26">
      <c r="A148">
        <v>1004979546</v>
      </c>
      <c r="B148" s="3" t="s">
        <v>550</v>
      </c>
      <c r="C148">
        <v>78</v>
      </c>
      <c r="D148" t="s">
        <v>47</v>
      </c>
      <c r="E148" t="s">
        <v>29</v>
      </c>
      <c r="F148" t="s">
        <v>28</v>
      </c>
      <c r="G148" t="s">
        <v>28</v>
      </c>
      <c r="H148">
        <v>5</v>
      </c>
      <c r="I148" t="s">
        <v>30</v>
      </c>
      <c r="J148" t="s">
        <v>253</v>
      </c>
      <c r="K148" t="s">
        <v>551</v>
      </c>
      <c r="L148" t="s">
        <v>33</v>
      </c>
      <c r="M148" s="4" t="s">
        <v>43</v>
      </c>
      <c r="N148" t="s">
        <v>148</v>
      </c>
      <c r="P148" s="3" t="s">
        <v>36</v>
      </c>
      <c r="Q148" s="3" t="s">
        <v>45</v>
      </c>
      <c r="R148">
        <v>1</v>
      </c>
      <c r="S148" s="5">
        <v>45863</v>
      </c>
      <c r="T148" t="s">
        <v>38</v>
      </c>
      <c r="U148">
        <f t="shared" ca="1" si="12"/>
        <v>8</v>
      </c>
      <c r="V148" s="6">
        <f t="shared" ca="1" si="13"/>
        <v>46010</v>
      </c>
      <c r="W148" s="6">
        <f t="shared" ca="1" si="14"/>
        <v>46016</v>
      </c>
      <c r="X148" t="str">
        <f t="shared" ca="1" si="15"/>
        <v>Dec 19 to Dec 25</v>
      </c>
      <c r="Y148" t="str">
        <f t="shared" ca="1" si="16"/>
        <v>🔵 NEXT 2 WEEKS</v>
      </c>
      <c r="Z148" t="str">
        <f t="shared" ca="1" si="17"/>
        <v>Send reminder SMS</v>
      </c>
    </row>
    <row r="149" spans="1:26">
      <c r="A149">
        <v>1005217417</v>
      </c>
      <c r="B149" s="3" t="s">
        <v>552</v>
      </c>
      <c r="C149">
        <v>69</v>
      </c>
      <c r="D149" t="s">
        <v>27</v>
      </c>
      <c r="E149" t="s">
        <v>29</v>
      </c>
      <c r="F149" t="s">
        <v>28</v>
      </c>
      <c r="G149" t="s">
        <v>28</v>
      </c>
      <c r="H149">
        <v>5</v>
      </c>
      <c r="I149" t="s">
        <v>30</v>
      </c>
      <c r="J149" t="s">
        <v>184</v>
      </c>
      <c r="K149" t="s">
        <v>553</v>
      </c>
      <c r="L149" t="s">
        <v>186</v>
      </c>
      <c r="M149" s="4" t="s">
        <v>34</v>
      </c>
      <c r="N149" t="s">
        <v>148</v>
      </c>
      <c r="P149" s="3" t="s">
        <v>36</v>
      </c>
      <c r="Q149" s="3" t="s">
        <v>230</v>
      </c>
      <c r="R149">
        <v>2</v>
      </c>
      <c r="S149" s="5">
        <v>45805</v>
      </c>
      <c r="T149" t="s">
        <v>38</v>
      </c>
      <c r="U149">
        <f t="shared" ca="1" si="12"/>
        <v>10</v>
      </c>
      <c r="V149" s="6">
        <f t="shared" ca="1" si="13"/>
        <v>46012</v>
      </c>
      <c r="W149" s="6">
        <f t="shared" ca="1" si="14"/>
        <v>46018</v>
      </c>
      <c r="X149" t="str">
        <f t="shared" ca="1" si="15"/>
        <v>Dec 21 to Dec 27</v>
      </c>
      <c r="Y149" t="str">
        <f t="shared" ca="1" si="16"/>
        <v>🔵 NEXT 2 WEEKS</v>
      </c>
      <c r="Z149" t="str">
        <f t="shared" ca="1" si="17"/>
        <v>Send reminder SMS</v>
      </c>
    </row>
    <row r="150" spans="1:26">
      <c r="A150">
        <v>1005218258</v>
      </c>
      <c r="B150" s="3" t="s">
        <v>554</v>
      </c>
      <c r="C150">
        <v>80</v>
      </c>
      <c r="D150" t="s">
        <v>27</v>
      </c>
      <c r="E150" t="s">
        <v>29</v>
      </c>
      <c r="F150" t="s">
        <v>29</v>
      </c>
      <c r="G150" t="s">
        <v>29</v>
      </c>
      <c r="H150">
        <v>7</v>
      </c>
      <c r="I150" t="s">
        <v>30</v>
      </c>
      <c r="J150" t="s">
        <v>555</v>
      </c>
      <c r="K150" t="s">
        <v>556</v>
      </c>
      <c r="L150" t="s">
        <v>557</v>
      </c>
      <c r="M150" s="4" t="s">
        <v>34</v>
      </c>
      <c r="N150" t="s">
        <v>558</v>
      </c>
      <c r="P150" s="3" t="s">
        <v>36</v>
      </c>
      <c r="Q150" s="3" t="s">
        <v>84</v>
      </c>
      <c r="R150">
        <v>1</v>
      </c>
      <c r="S150" s="5">
        <v>45808</v>
      </c>
      <c r="T150" t="s">
        <v>38</v>
      </c>
      <c r="U150">
        <f t="shared" ca="1" si="12"/>
        <v>13</v>
      </c>
      <c r="V150" s="6">
        <f t="shared" ca="1" si="13"/>
        <v>46015</v>
      </c>
      <c r="W150" s="6">
        <f t="shared" ca="1" si="14"/>
        <v>46021</v>
      </c>
      <c r="X150" t="str">
        <f t="shared" ca="1" si="15"/>
        <v>Dec 24 to Dec 30</v>
      </c>
      <c r="Y150" t="str">
        <f t="shared" ca="1" si="16"/>
        <v>🔵 NEXT 2 WEEKS</v>
      </c>
      <c r="Z150" t="str">
        <f t="shared" ca="1" si="17"/>
        <v>Send reminder SMS</v>
      </c>
    </row>
    <row r="151" spans="1:26">
      <c r="A151">
        <v>1005248354</v>
      </c>
      <c r="B151" s="3" t="s">
        <v>559</v>
      </c>
      <c r="C151">
        <v>61</v>
      </c>
      <c r="D151" t="s">
        <v>27</v>
      </c>
      <c r="E151" t="s">
        <v>28</v>
      </c>
      <c r="F151" t="s">
        <v>29</v>
      </c>
      <c r="G151" t="s">
        <v>29</v>
      </c>
      <c r="H151">
        <v>6</v>
      </c>
      <c r="I151" t="s">
        <v>30</v>
      </c>
      <c r="J151" t="s">
        <v>560</v>
      </c>
      <c r="K151" t="s">
        <v>561</v>
      </c>
      <c r="L151" t="s">
        <v>562</v>
      </c>
      <c r="M151" s="4" t="s">
        <v>94</v>
      </c>
      <c r="N151" t="s">
        <v>333</v>
      </c>
      <c r="P151" s="3" t="s">
        <v>36</v>
      </c>
      <c r="Q151" s="3" t="s">
        <v>96</v>
      </c>
      <c r="R151">
        <v>1</v>
      </c>
      <c r="S151" s="5">
        <v>45959</v>
      </c>
      <c r="T151" t="s">
        <v>38</v>
      </c>
      <c r="U151">
        <f t="shared" ca="1" si="12"/>
        <v>14</v>
      </c>
      <c r="V151" s="6">
        <f t="shared" ca="1" si="13"/>
        <v>46016</v>
      </c>
      <c r="W151" s="6">
        <f t="shared" ca="1" si="14"/>
        <v>46022</v>
      </c>
      <c r="X151" t="str">
        <f t="shared" ca="1" si="15"/>
        <v>Dec 25 to Dec 31</v>
      </c>
      <c r="Y151" t="str">
        <f t="shared" ca="1" si="16"/>
        <v>🔵 NEXT 2 WEEKS</v>
      </c>
      <c r="Z151" t="str">
        <f t="shared" ca="1" si="17"/>
        <v>Send reminder SMS</v>
      </c>
    </row>
    <row r="152" spans="1:26">
      <c r="A152">
        <v>1005257991</v>
      </c>
      <c r="B152" s="3" t="s">
        <v>563</v>
      </c>
      <c r="C152">
        <v>66</v>
      </c>
      <c r="D152" t="s">
        <v>27</v>
      </c>
      <c r="E152" t="s">
        <v>29</v>
      </c>
      <c r="F152" t="s">
        <v>28</v>
      </c>
      <c r="G152" t="s">
        <v>28</v>
      </c>
      <c r="H152">
        <v>4</v>
      </c>
      <c r="I152" t="s">
        <v>66</v>
      </c>
      <c r="J152" t="s">
        <v>564</v>
      </c>
      <c r="K152" t="s">
        <v>565</v>
      </c>
      <c r="L152" t="s">
        <v>105</v>
      </c>
      <c r="M152" s="4" t="s">
        <v>94</v>
      </c>
      <c r="N152" t="s">
        <v>162</v>
      </c>
      <c r="P152" s="3" t="s">
        <v>36</v>
      </c>
      <c r="Q152" s="3" t="s">
        <v>84</v>
      </c>
      <c r="R152">
        <v>2</v>
      </c>
      <c r="S152" s="5">
        <v>45954</v>
      </c>
      <c r="T152" t="s">
        <v>38</v>
      </c>
      <c r="U152">
        <f t="shared" ca="1" si="12"/>
        <v>9</v>
      </c>
      <c r="V152" s="6">
        <f t="shared" ca="1" si="13"/>
        <v>46011</v>
      </c>
      <c r="W152" s="6">
        <f t="shared" ca="1" si="14"/>
        <v>46017</v>
      </c>
      <c r="X152" t="str">
        <f t="shared" ca="1" si="15"/>
        <v>Dec 20 to Dec 26</v>
      </c>
      <c r="Y152" t="str">
        <f t="shared" ca="1" si="16"/>
        <v>🔵 NEXT 2 WEEKS</v>
      </c>
      <c r="Z152" t="str">
        <f t="shared" ca="1" si="17"/>
        <v>Send reminder SMS</v>
      </c>
    </row>
    <row r="153" spans="1:26">
      <c r="A153">
        <v>1005285463</v>
      </c>
      <c r="B153" s="3" t="s">
        <v>566</v>
      </c>
      <c r="C153">
        <v>49</v>
      </c>
      <c r="D153" t="s">
        <v>27</v>
      </c>
      <c r="E153" t="s">
        <v>28</v>
      </c>
      <c r="F153" t="s">
        <v>29</v>
      </c>
      <c r="G153" t="s">
        <v>28</v>
      </c>
      <c r="H153">
        <v>2</v>
      </c>
      <c r="I153" t="s">
        <v>55</v>
      </c>
      <c r="J153" t="s">
        <v>125</v>
      </c>
      <c r="K153" t="s">
        <v>383</v>
      </c>
      <c r="L153" t="s">
        <v>69</v>
      </c>
      <c r="M153" s="4" t="s">
        <v>34</v>
      </c>
      <c r="N153" t="s">
        <v>70</v>
      </c>
      <c r="P153" s="3" t="s">
        <v>36</v>
      </c>
      <c r="Q153" s="3" t="s">
        <v>45</v>
      </c>
      <c r="R153">
        <v>2</v>
      </c>
      <c r="S153" s="5">
        <v>45674</v>
      </c>
      <c r="T153" t="s">
        <v>60</v>
      </c>
      <c r="U153">
        <f t="shared" ca="1" si="12"/>
        <v>29</v>
      </c>
      <c r="V153" s="6">
        <f t="shared" ca="1" si="13"/>
        <v>46031</v>
      </c>
      <c r="W153" s="6">
        <f t="shared" ca="1" si="14"/>
        <v>46037</v>
      </c>
      <c r="X153" t="str">
        <f t="shared" ca="1" si="15"/>
        <v>Jan 9 to Jan 15</v>
      </c>
      <c r="Y153" t="str">
        <f t="shared" ca="1" si="16"/>
        <v>⚪ SCHEDULED</v>
      </c>
      <c r="Z153" t="str">
        <f t="shared" ca="1" si="17"/>
        <v>No action needed yet</v>
      </c>
    </row>
    <row r="154" spans="1:26">
      <c r="A154">
        <v>1005366586</v>
      </c>
      <c r="B154" s="3" t="s">
        <v>567</v>
      </c>
      <c r="C154">
        <v>61</v>
      </c>
      <c r="D154" t="s">
        <v>47</v>
      </c>
      <c r="E154" t="s">
        <v>54</v>
      </c>
      <c r="F154" t="s">
        <v>54</v>
      </c>
      <c r="G154" t="s">
        <v>54</v>
      </c>
      <c r="H154">
        <v>3</v>
      </c>
      <c r="I154" t="s">
        <v>66</v>
      </c>
      <c r="J154" t="s">
        <v>568</v>
      </c>
      <c r="K154" t="s">
        <v>569</v>
      </c>
      <c r="L154" t="s">
        <v>269</v>
      </c>
      <c r="M154" s="4" t="s">
        <v>34</v>
      </c>
      <c r="N154" t="s">
        <v>59</v>
      </c>
      <c r="P154" s="3" t="s">
        <v>36</v>
      </c>
      <c r="Q154" t="s">
        <v>54</v>
      </c>
      <c r="R154">
        <v>1</v>
      </c>
      <c r="S154" s="5">
        <v>45624</v>
      </c>
      <c r="T154" t="s">
        <v>38</v>
      </c>
      <c r="U154">
        <f t="shared" ca="1" si="12"/>
        <v>9</v>
      </c>
      <c r="V154" s="6">
        <f t="shared" ca="1" si="13"/>
        <v>46011</v>
      </c>
      <c r="W154" s="6">
        <f t="shared" ca="1" si="14"/>
        <v>46017</v>
      </c>
      <c r="X154" t="str">
        <f t="shared" ca="1" si="15"/>
        <v>Dec 20 to Dec 26</v>
      </c>
      <c r="Y154" t="str">
        <f t="shared" ca="1" si="16"/>
        <v>🔵 NEXT 2 WEEKS</v>
      </c>
      <c r="Z154" t="str">
        <f t="shared" ca="1" si="17"/>
        <v>Send reminder SMS</v>
      </c>
    </row>
    <row r="155" spans="1:26">
      <c r="A155">
        <v>1005412695</v>
      </c>
      <c r="B155" s="3" t="s">
        <v>570</v>
      </c>
      <c r="C155">
        <v>58</v>
      </c>
      <c r="D155" t="s">
        <v>27</v>
      </c>
      <c r="E155" t="s">
        <v>28</v>
      </c>
      <c r="F155" t="s">
        <v>29</v>
      </c>
      <c r="G155" t="s">
        <v>28</v>
      </c>
      <c r="H155">
        <v>4</v>
      </c>
      <c r="I155" t="s">
        <v>66</v>
      </c>
      <c r="J155" t="s">
        <v>125</v>
      </c>
      <c r="K155" t="s">
        <v>383</v>
      </c>
      <c r="L155" t="s">
        <v>69</v>
      </c>
      <c r="M155" s="4" t="s">
        <v>34</v>
      </c>
      <c r="N155" t="s">
        <v>70</v>
      </c>
      <c r="P155" s="3" t="s">
        <v>36</v>
      </c>
      <c r="Q155" s="3" t="s">
        <v>245</v>
      </c>
      <c r="R155">
        <v>2</v>
      </c>
      <c r="S155" s="5">
        <v>45356</v>
      </c>
      <c r="T155" t="s">
        <v>38</v>
      </c>
      <c r="U155">
        <f t="shared" ca="1" si="12"/>
        <v>11</v>
      </c>
      <c r="V155" s="6">
        <f t="shared" ca="1" si="13"/>
        <v>46013</v>
      </c>
      <c r="W155" s="6">
        <f t="shared" ca="1" si="14"/>
        <v>46019</v>
      </c>
      <c r="X155" t="str">
        <f t="shared" ca="1" si="15"/>
        <v>Dec 22 to Dec 28</v>
      </c>
      <c r="Y155" t="str">
        <f t="shared" ca="1" si="16"/>
        <v>🔵 NEXT 2 WEEKS</v>
      </c>
      <c r="Z155" t="str">
        <f t="shared" ca="1" si="17"/>
        <v>Send reminder SMS</v>
      </c>
    </row>
    <row r="156" spans="1:26">
      <c r="A156">
        <v>1005454358</v>
      </c>
      <c r="B156" s="3" t="s">
        <v>571</v>
      </c>
      <c r="C156">
        <v>65</v>
      </c>
      <c r="D156" t="s">
        <v>47</v>
      </c>
      <c r="E156" t="s">
        <v>29</v>
      </c>
      <c r="F156" t="s">
        <v>29</v>
      </c>
      <c r="G156" t="s">
        <v>29</v>
      </c>
      <c r="H156">
        <v>7</v>
      </c>
      <c r="I156" t="s">
        <v>30</v>
      </c>
      <c r="J156" t="s">
        <v>445</v>
      </c>
      <c r="K156" t="s">
        <v>572</v>
      </c>
      <c r="L156" t="s">
        <v>170</v>
      </c>
      <c r="M156" s="4" t="s">
        <v>34</v>
      </c>
      <c r="N156" t="s">
        <v>171</v>
      </c>
      <c r="P156" s="3" t="s">
        <v>36</v>
      </c>
      <c r="Q156" s="3" t="s">
        <v>573</v>
      </c>
      <c r="R156">
        <v>1</v>
      </c>
      <c r="S156" s="5">
        <v>45532</v>
      </c>
      <c r="T156" t="s">
        <v>38</v>
      </c>
      <c r="U156">
        <f t="shared" ca="1" si="12"/>
        <v>7</v>
      </c>
      <c r="V156" s="6">
        <f t="shared" ca="1" si="13"/>
        <v>46009</v>
      </c>
      <c r="W156" s="6">
        <f t="shared" ca="1" si="14"/>
        <v>46015</v>
      </c>
      <c r="X156" t="str">
        <f t="shared" ca="1" si="15"/>
        <v>Dec 18 to Dec 24</v>
      </c>
      <c r="Y156" t="str">
        <f t="shared" ca="1" si="16"/>
        <v>🟢 THIS WEEK</v>
      </c>
      <c r="Z156" t="str">
        <f t="shared" ca="1" si="17"/>
        <v>Confirm appointment</v>
      </c>
    </row>
    <row r="157" spans="1:26">
      <c r="A157">
        <v>1005472921</v>
      </c>
      <c r="B157" s="3" t="s">
        <v>574</v>
      </c>
      <c r="C157">
        <v>53</v>
      </c>
      <c r="D157" t="s">
        <v>47</v>
      </c>
      <c r="E157" t="s">
        <v>29</v>
      </c>
      <c r="F157" t="s">
        <v>28</v>
      </c>
      <c r="G157" t="s">
        <v>29</v>
      </c>
      <c r="H157">
        <v>4</v>
      </c>
      <c r="I157" t="s">
        <v>66</v>
      </c>
      <c r="J157" t="s">
        <v>575</v>
      </c>
      <c r="K157" t="s">
        <v>576</v>
      </c>
      <c r="M157" s="4" t="s">
        <v>94</v>
      </c>
      <c r="N157" t="s">
        <v>95</v>
      </c>
      <c r="P157" s="3" t="s">
        <v>36</v>
      </c>
      <c r="Q157" s="3" t="s">
        <v>90</v>
      </c>
      <c r="R157">
        <v>2</v>
      </c>
      <c r="S157" s="5">
        <v>45951</v>
      </c>
      <c r="T157" t="s">
        <v>38</v>
      </c>
      <c r="U157">
        <f t="shared" ca="1" si="12"/>
        <v>6</v>
      </c>
      <c r="V157" s="6">
        <f t="shared" ca="1" si="13"/>
        <v>46008</v>
      </c>
      <c r="W157" s="6">
        <f t="shared" ca="1" si="14"/>
        <v>46014</v>
      </c>
      <c r="X157" t="str">
        <f t="shared" ca="1" si="15"/>
        <v>Dec 17 to Dec 23</v>
      </c>
      <c r="Y157" t="str">
        <f t="shared" ca="1" si="16"/>
        <v>🟢 THIS WEEK</v>
      </c>
      <c r="Z157" t="str">
        <f t="shared" ca="1" si="17"/>
        <v>Confirm appointment</v>
      </c>
    </row>
    <row r="158" spans="1:26">
      <c r="A158">
        <v>1005486103</v>
      </c>
      <c r="B158" s="3" t="s">
        <v>577</v>
      </c>
      <c r="C158">
        <v>60</v>
      </c>
      <c r="D158" t="s">
        <v>47</v>
      </c>
      <c r="E158" t="s">
        <v>28</v>
      </c>
      <c r="F158" t="s">
        <v>29</v>
      </c>
      <c r="G158" t="s">
        <v>29</v>
      </c>
      <c r="H158">
        <v>5</v>
      </c>
      <c r="I158" t="s">
        <v>30</v>
      </c>
      <c r="J158" t="s">
        <v>578</v>
      </c>
      <c r="K158" t="s">
        <v>579</v>
      </c>
      <c r="L158" t="s">
        <v>33</v>
      </c>
      <c r="M158" s="4" t="s">
        <v>34</v>
      </c>
      <c r="N158" t="s">
        <v>35</v>
      </c>
      <c r="P158" s="3" t="s">
        <v>36</v>
      </c>
      <c r="Q158" s="3" t="s">
        <v>365</v>
      </c>
      <c r="R158">
        <v>1</v>
      </c>
      <c r="S158" s="5">
        <v>45791</v>
      </c>
      <c r="T158" t="s">
        <v>38</v>
      </c>
      <c r="U158">
        <f t="shared" ca="1" si="12"/>
        <v>26</v>
      </c>
      <c r="V158" s="6">
        <f t="shared" ca="1" si="13"/>
        <v>46028</v>
      </c>
      <c r="W158" s="6">
        <f t="shared" ca="1" si="14"/>
        <v>46034</v>
      </c>
      <c r="X158" t="str">
        <f t="shared" ca="1" si="15"/>
        <v>Jan 6 to Jan 12</v>
      </c>
      <c r="Y158" t="str">
        <f t="shared" ca="1" si="16"/>
        <v>⚪ SCHEDULED</v>
      </c>
      <c r="Z158" t="str">
        <f t="shared" ca="1" si="17"/>
        <v>No action needed yet</v>
      </c>
    </row>
    <row r="159" spans="1:26">
      <c r="A159">
        <v>1005495633</v>
      </c>
      <c r="B159" s="3" t="s">
        <v>580</v>
      </c>
      <c r="C159">
        <v>69</v>
      </c>
      <c r="D159" t="s">
        <v>47</v>
      </c>
      <c r="E159" t="s">
        <v>29</v>
      </c>
      <c r="F159" t="s">
        <v>29</v>
      </c>
      <c r="G159" t="s">
        <v>29</v>
      </c>
      <c r="H159">
        <v>7</v>
      </c>
      <c r="I159" t="s">
        <v>30</v>
      </c>
      <c r="J159" t="s">
        <v>581</v>
      </c>
      <c r="K159" t="s">
        <v>582</v>
      </c>
      <c r="L159" t="s">
        <v>139</v>
      </c>
      <c r="M159" s="4" t="s">
        <v>34</v>
      </c>
      <c r="N159" t="s">
        <v>470</v>
      </c>
      <c r="P159" s="3" t="s">
        <v>36</v>
      </c>
      <c r="Q159" s="3" t="s">
        <v>45</v>
      </c>
      <c r="R159">
        <v>2</v>
      </c>
      <c r="S159" s="5">
        <v>45769</v>
      </c>
      <c r="T159" t="s">
        <v>38</v>
      </c>
      <c r="U159">
        <f t="shared" ca="1" si="12"/>
        <v>4</v>
      </c>
      <c r="V159" s="6">
        <f t="shared" ca="1" si="13"/>
        <v>46006</v>
      </c>
      <c r="W159" s="6">
        <f t="shared" ca="1" si="14"/>
        <v>46012</v>
      </c>
      <c r="X159" t="str">
        <f t="shared" ca="1" si="15"/>
        <v>Dec 15 to Dec 21</v>
      </c>
      <c r="Y159" t="str">
        <f t="shared" ca="1" si="16"/>
        <v>🟢 THIS WEEK</v>
      </c>
      <c r="Z159" t="str">
        <f t="shared" ca="1" si="17"/>
        <v>Confirm appointment</v>
      </c>
    </row>
    <row r="160" spans="1:26">
      <c r="A160">
        <v>1005495641</v>
      </c>
      <c r="B160" s="3" t="s">
        <v>583</v>
      </c>
      <c r="C160">
        <v>61</v>
      </c>
      <c r="D160" t="s">
        <v>27</v>
      </c>
      <c r="E160" t="s">
        <v>28</v>
      </c>
      <c r="F160" t="s">
        <v>29</v>
      </c>
      <c r="G160" t="s">
        <v>29</v>
      </c>
      <c r="H160">
        <v>5</v>
      </c>
      <c r="I160" t="s">
        <v>30</v>
      </c>
      <c r="J160" t="s">
        <v>584</v>
      </c>
      <c r="K160" t="s">
        <v>585</v>
      </c>
      <c r="L160" t="s">
        <v>586</v>
      </c>
      <c r="M160" s="4" t="s">
        <v>34</v>
      </c>
      <c r="N160" t="s">
        <v>333</v>
      </c>
      <c r="P160" s="3" t="s">
        <v>36</v>
      </c>
      <c r="Q160" s="3" t="s">
        <v>77</v>
      </c>
      <c r="R160">
        <v>2</v>
      </c>
      <c r="S160" s="5">
        <v>45820</v>
      </c>
      <c r="T160" t="s">
        <v>38</v>
      </c>
      <c r="U160">
        <f t="shared" ca="1" si="12"/>
        <v>25</v>
      </c>
      <c r="V160" s="6">
        <f t="shared" ca="1" si="13"/>
        <v>46027</v>
      </c>
      <c r="W160" s="6">
        <f t="shared" ca="1" si="14"/>
        <v>46033</v>
      </c>
      <c r="X160" t="str">
        <f t="shared" ca="1" si="15"/>
        <v>Jan 5 to Jan 11</v>
      </c>
      <c r="Y160" t="str">
        <f t="shared" ca="1" si="16"/>
        <v>⚪ SCHEDULED</v>
      </c>
      <c r="Z160" t="str">
        <f t="shared" ca="1" si="17"/>
        <v>No action needed yet</v>
      </c>
    </row>
    <row r="161" spans="1:26">
      <c r="A161">
        <v>1005506462</v>
      </c>
      <c r="B161" s="3" t="s">
        <v>587</v>
      </c>
      <c r="C161">
        <v>78</v>
      </c>
      <c r="D161" t="s">
        <v>47</v>
      </c>
      <c r="E161" t="s">
        <v>29</v>
      </c>
      <c r="F161" t="s">
        <v>29</v>
      </c>
      <c r="G161" t="s">
        <v>28</v>
      </c>
      <c r="H161">
        <v>7</v>
      </c>
      <c r="I161" t="s">
        <v>30</v>
      </c>
      <c r="J161" t="s">
        <v>588</v>
      </c>
      <c r="K161" t="s">
        <v>589</v>
      </c>
      <c r="M161" s="4" t="s">
        <v>34</v>
      </c>
      <c r="N161" t="s">
        <v>144</v>
      </c>
      <c r="P161" s="3" t="s">
        <v>36</v>
      </c>
      <c r="Q161" s="3" t="s">
        <v>84</v>
      </c>
      <c r="R161">
        <v>1</v>
      </c>
      <c r="S161" s="5">
        <v>45724</v>
      </c>
      <c r="T161" t="s">
        <v>38</v>
      </c>
      <c r="U161">
        <f t="shared" ca="1" si="12"/>
        <v>19</v>
      </c>
      <c r="V161" s="6">
        <f t="shared" ca="1" si="13"/>
        <v>46021</v>
      </c>
      <c r="W161" s="6">
        <f t="shared" ca="1" si="14"/>
        <v>46027</v>
      </c>
      <c r="X161" t="str">
        <f t="shared" ca="1" si="15"/>
        <v>Dec 30 to Jan 5</v>
      </c>
      <c r="Y161" t="str">
        <f t="shared" ca="1" si="16"/>
        <v>⚪ SCHEDULED</v>
      </c>
      <c r="Z161" t="str">
        <f t="shared" ca="1" si="17"/>
        <v>No action needed yet</v>
      </c>
    </row>
    <row r="162" spans="1:26">
      <c r="A162">
        <v>1005522758</v>
      </c>
      <c r="B162" s="3" t="s">
        <v>590</v>
      </c>
      <c r="C162">
        <v>48</v>
      </c>
      <c r="D162" t="s">
        <v>27</v>
      </c>
      <c r="E162" t="s">
        <v>29</v>
      </c>
      <c r="F162" t="s">
        <v>28</v>
      </c>
      <c r="G162" t="s">
        <v>29</v>
      </c>
      <c r="H162">
        <v>4</v>
      </c>
      <c r="I162" t="s">
        <v>66</v>
      </c>
      <c r="J162" t="s">
        <v>591</v>
      </c>
      <c r="K162" t="s">
        <v>592</v>
      </c>
      <c r="L162" t="s">
        <v>234</v>
      </c>
      <c r="M162" s="4" t="s">
        <v>34</v>
      </c>
      <c r="N162" t="s">
        <v>51</v>
      </c>
      <c r="P162" s="3" t="s">
        <v>36</v>
      </c>
      <c r="Q162" s="3" t="s">
        <v>45</v>
      </c>
      <c r="R162">
        <v>1</v>
      </c>
      <c r="S162" s="5">
        <v>45708</v>
      </c>
      <c r="T162" t="s">
        <v>38</v>
      </c>
      <c r="U162">
        <f t="shared" ca="1" si="12"/>
        <v>3</v>
      </c>
      <c r="V162" s="6">
        <f t="shared" ca="1" si="13"/>
        <v>46005</v>
      </c>
      <c r="W162" s="6">
        <f t="shared" ca="1" si="14"/>
        <v>46011</v>
      </c>
      <c r="X162" t="str">
        <f t="shared" ca="1" si="15"/>
        <v>Dec 14 to Dec 20</v>
      </c>
      <c r="Y162" t="str">
        <f t="shared" ca="1" si="16"/>
        <v>🟡 IMMINENT (within 3 days)</v>
      </c>
      <c r="Z162" t="str">
        <f t="shared" ca="1" si="17"/>
        <v>Prepare medications TODAY</v>
      </c>
    </row>
    <row r="163" spans="1:26">
      <c r="A163">
        <v>1005540438</v>
      </c>
      <c r="B163" s="3" t="s">
        <v>593</v>
      </c>
      <c r="C163">
        <v>55</v>
      </c>
      <c r="D163" t="s">
        <v>27</v>
      </c>
      <c r="E163" t="s">
        <v>28</v>
      </c>
      <c r="F163" t="s">
        <v>28</v>
      </c>
      <c r="G163" t="s">
        <v>29</v>
      </c>
      <c r="H163">
        <v>4</v>
      </c>
      <c r="I163" t="s">
        <v>66</v>
      </c>
      <c r="J163" t="s">
        <v>594</v>
      </c>
      <c r="K163" t="s">
        <v>595</v>
      </c>
      <c r="L163" t="s">
        <v>139</v>
      </c>
      <c r="M163" s="4" t="s">
        <v>34</v>
      </c>
      <c r="N163" t="s">
        <v>140</v>
      </c>
      <c r="P163" s="3" t="s">
        <v>36</v>
      </c>
      <c r="Q163" s="3" t="s">
        <v>45</v>
      </c>
      <c r="R163">
        <v>2</v>
      </c>
      <c r="S163" s="5">
        <v>45807</v>
      </c>
      <c r="T163" t="s">
        <v>38</v>
      </c>
      <c r="U163">
        <f t="shared" ca="1" si="12"/>
        <v>12</v>
      </c>
      <c r="V163" s="6">
        <f t="shared" ca="1" si="13"/>
        <v>46014</v>
      </c>
      <c r="W163" s="6">
        <f t="shared" ca="1" si="14"/>
        <v>46020</v>
      </c>
      <c r="X163" t="str">
        <f t="shared" ca="1" si="15"/>
        <v>Dec 23 to Dec 29</v>
      </c>
      <c r="Y163" t="str">
        <f t="shared" ca="1" si="16"/>
        <v>🔵 NEXT 2 WEEKS</v>
      </c>
      <c r="Z163" t="str">
        <f t="shared" ca="1" si="17"/>
        <v>Send reminder SMS</v>
      </c>
    </row>
    <row r="164" spans="1:26">
      <c r="A164">
        <v>1005549173</v>
      </c>
      <c r="B164" s="3" t="s">
        <v>596</v>
      </c>
      <c r="C164">
        <v>68</v>
      </c>
      <c r="D164" t="s">
        <v>47</v>
      </c>
      <c r="E164" t="s">
        <v>29</v>
      </c>
      <c r="F164" t="s">
        <v>29</v>
      </c>
      <c r="G164" t="s">
        <v>28</v>
      </c>
      <c r="H164">
        <v>6</v>
      </c>
      <c r="I164" t="s">
        <v>30</v>
      </c>
      <c r="J164" t="s">
        <v>597</v>
      </c>
      <c r="K164" t="s">
        <v>598</v>
      </c>
      <c r="L164" t="s">
        <v>155</v>
      </c>
      <c r="M164" s="4" t="s">
        <v>34</v>
      </c>
      <c r="N164" t="s">
        <v>119</v>
      </c>
      <c r="P164" s="3" t="s">
        <v>36</v>
      </c>
      <c r="Q164" s="3" t="s">
        <v>599</v>
      </c>
      <c r="R164">
        <v>2</v>
      </c>
      <c r="S164" s="5">
        <v>45785</v>
      </c>
      <c r="T164" t="s">
        <v>38</v>
      </c>
      <c r="U164">
        <f t="shared" ca="1" si="12"/>
        <v>20</v>
      </c>
      <c r="V164" s="6">
        <f t="shared" ca="1" si="13"/>
        <v>46022</v>
      </c>
      <c r="W164" s="6">
        <f t="shared" ca="1" si="14"/>
        <v>46028</v>
      </c>
      <c r="X164" t="str">
        <f t="shared" ca="1" si="15"/>
        <v>Dec 31 to Jan 6</v>
      </c>
      <c r="Y164" t="str">
        <f t="shared" ca="1" si="16"/>
        <v>⚪ SCHEDULED</v>
      </c>
      <c r="Z164" t="str">
        <f t="shared" ca="1" si="17"/>
        <v>No action needed yet</v>
      </c>
    </row>
    <row r="165" spans="1:26">
      <c r="A165">
        <v>1005560188</v>
      </c>
      <c r="B165" s="3" t="s">
        <v>600</v>
      </c>
      <c r="C165">
        <v>51</v>
      </c>
      <c r="D165" t="s">
        <v>27</v>
      </c>
      <c r="E165" t="s">
        <v>29</v>
      </c>
      <c r="F165" t="s">
        <v>28</v>
      </c>
      <c r="G165" t="s">
        <v>28</v>
      </c>
      <c r="H165">
        <v>4</v>
      </c>
      <c r="I165" t="s">
        <v>66</v>
      </c>
      <c r="J165" t="s">
        <v>601</v>
      </c>
      <c r="K165" t="s">
        <v>602</v>
      </c>
      <c r="L165" t="s">
        <v>105</v>
      </c>
      <c r="M165" s="4" t="s">
        <v>94</v>
      </c>
      <c r="N165" t="s">
        <v>162</v>
      </c>
      <c r="P165" s="3" t="s">
        <v>36</v>
      </c>
      <c r="Q165" t="s">
        <v>54</v>
      </c>
      <c r="R165">
        <v>2</v>
      </c>
      <c r="S165" s="5">
        <v>45941</v>
      </c>
      <c r="T165" t="s">
        <v>38</v>
      </c>
      <c r="U165">
        <f t="shared" ca="1" si="12"/>
        <v>26</v>
      </c>
      <c r="V165" s="6">
        <f t="shared" ca="1" si="13"/>
        <v>46028</v>
      </c>
      <c r="W165" s="6">
        <f t="shared" ca="1" si="14"/>
        <v>46034</v>
      </c>
      <c r="X165" t="str">
        <f t="shared" ca="1" si="15"/>
        <v>Jan 6 to Jan 12</v>
      </c>
      <c r="Y165" t="str">
        <f t="shared" ca="1" si="16"/>
        <v>⚪ SCHEDULED</v>
      </c>
      <c r="Z165" t="str">
        <f t="shared" ca="1" si="17"/>
        <v>No action needed yet</v>
      </c>
    </row>
    <row r="166" spans="1:26">
      <c r="A166">
        <v>1005639420</v>
      </c>
      <c r="B166" s="3" t="s">
        <v>603</v>
      </c>
      <c r="C166">
        <v>62</v>
      </c>
      <c r="D166" t="s">
        <v>27</v>
      </c>
      <c r="E166" t="s">
        <v>29</v>
      </c>
      <c r="F166" t="s">
        <v>29</v>
      </c>
      <c r="G166" t="s">
        <v>29</v>
      </c>
      <c r="H166">
        <v>7</v>
      </c>
      <c r="I166" t="s">
        <v>30</v>
      </c>
      <c r="J166" t="s">
        <v>604</v>
      </c>
      <c r="K166" t="s">
        <v>605</v>
      </c>
      <c r="L166" t="s">
        <v>606</v>
      </c>
      <c r="M166" s="4" t="s">
        <v>94</v>
      </c>
      <c r="N166" t="s">
        <v>76</v>
      </c>
      <c r="P166" s="3" t="s">
        <v>36</v>
      </c>
      <c r="Q166" s="3" t="s">
        <v>52</v>
      </c>
      <c r="R166">
        <v>1</v>
      </c>
      <c r="S166" s="5">
        <v>45946</v>
      </c>
      <c r="T166" t="s">
        <v>38</v>
      </c>
      <c r="U166">
        <f t="shared" ca="1" si="12"/>
        <v>1</v>
      </c>
      <c r="V166" s="6">
        <f t="shared" ca="1" si="13"/>
        <v>46003</v>
      </c>
      <c r="W166" s="6">
        <f t="shared" ca="1" si="14"/>
        <v>46009</v>
      </c>
      <c r="X166" t="str">
        <f t="shared" ca="1" si="15"/>
        <v>Dec 12 to Dec 18</v>
      </c>
      <c r="Y166" t="str">
        <f t="shared" ca="1" si="16"/>
        <v>🟡 IMMINENT (within 3 days)</v>
      </c>
      <c r="Z166" t="str">
        <f t="shared" ca="1" si="17"/>
        <v>Prepare medications TODAY</v>
      </c>
    </row>
    <row r="167" spans="1:26">
      <c r="A167">
        <v>1005698038</v>
      </c>
      <c r="B167" s="3" t="s">
        <v>607</v>
      </c>
      <c r="C167">
        <v>80</v>
      </c>
      <c r="D167" t="s">
        <v>47</v>
      </c>
      <c r="E167" t="s">
        <v>29</v>
      </c>
      <c r="F167" t="s">
        <v>29</v>
      </c>
      <c r="G167" t="s">
        <v>29</v>
      </c>
      <c r="H167">
        <v>8</v>
      </c>
      <c r="I167" t="s">
        <v>30</v>
      </c>
      <c r="J167" t="s">
        <v>608</v>
      </c>
      <c r="K167" t="s">
        <v>609</v>
      </c>
      <c r="L167" t="s">
        <v>170</v>
      </c>
      <c r="M167" s="4" t="s">
        <v>94</v>
      </c>
      <c r="N167" t="s">
        <v>171</v>
      </c>
      <c r="P167" s="3" t="s">
        <v>36</v>
      </c>
      <c r="Q167" s="3" t="s">
        <v>107</v>
      </c>
      <c r="R167">
        <v>1</v>
      </c>
      <c r="S167" s="5">
        <v>45934</v>
      </c>
      <c r="T167" t="s">
        <v>38</v>
      </c>
      <c r="U167">
        <f t="shared" ca="1" si="12"/>
        <v>19</v>
      </c>
      <c r="V167" s="6">
        <f t="shared" ca="1" si="13"/>
        <v>46021</v>
      </c>
      <c r="W167" s="6">
        <f t="shared" ca="1" si="14"/>
        <v>46027</v>
      </c>
      <c r="X167" t="str">
        <f t="shared" ca="1" si="15"/>
        <v>Dec 30 to Jan 5</v>
      </c>
      <c r="Y167" t="str">
        <f t="shared" ca="1" si="16"/>
        <v>⚪ SCHEDULED</v>
      </c>
      <c r="Z167" t="str">
        <f t="shared" ca="1" si="17"/>
        <v>No action needed yet</v>
      </c>
    </row>
    <row r="168" spans="1:26">
      <c r="A168">
        <v>1005707938</v>
      </c>
      <c r="B168" s="3" t="s">
        <v>610</v>
      </c>
      <c r="C168">
        <v>62</v>
      </c>
      <c r="D168" t="s">
        <v>47</v>
      </c>
      <c r="E168" t="s">
        <v>28</v>
      </c>
      <c r="F168" t="s">
        <v>29</v>
      </c>
      <c r="G168" t="s">
        <v>29</v>
      </c>
      <c r="H168">
        <v>5</v>
      </c>
      <c r="I168" t="s">
        <v>30</v>
      </c>
      <c r="J168" t="s">
        <v>611</v>
      </c>
      <c r="K168" t="s">
        <v>612</v>
      </c>
      <c r="L168" t="s">
        <v>166</v>
      </c>
      <c r="M168" s="4" t="s">
        <v>34</v>
      </c>
      <c r="N168" t="s">
        <v>333</v>
      </c>
      <c r="P168" s="3" t="s">
        <v>36</v>
      </c>
      <c r="Q168" s="3" t="s">
        <v>96</v>
      </c>
      <c r="R168">
        <v>1</v>
      </c>
      <c r="S168" s="5">
        <v>45640</v>
      </c>
      <c r="T168" t="s">
        <v>38</v>
      </c>
      <c r="U168">
        <f t="shared" ca="1" si="12"/>
        <v>25</v>
      </c>
      <c r="V168" s="6">
        <f t="shared" ca="1" si="13"/>
        <v>46027</v>
      </c>
      <c r="W168" s="6">
        <f t="shared" ca="1" si="14"/>
        <v>46033</v>
      </c>
      <c r="X168" t="str">
        <f t="shared" ca="1" si="15"/>
        <v>Jan 5 to Jan 11</v>
      </c>
      <c r="Y168" t="str">
        <f t="shared" ca="1" si="16"/>
        <v>⚪ SCHEDULED</v>
      </c>
      <c r="Z168" t="str">
        <f t="shared" ca="1" si="17"/>
        <v>No action needed yet</v>
      </c>
    </row>
    <row r="169" spans="1:26">
      <c r="A169">
        <v>1005726284</v>
      </c>
      <c r="B169" s="3" t="s">
        <v>613</v>
      </c>
      <c r="C169">
        <v>57</v>
      </c>
      <c r="D169" t="s">
        <v>47</v>
      </c>
      <c r="E169" t="s">
        <v>28</v>
      </c>
      <c r="F169" t="s">
        <v>28</v>
      </c>
      <c r="G169" t="s">
        <v>29</v>
      </c>
      <c r="H169">
        <v>3</v>
      </c>
      <c r="I169" t="s">
        <v>66</v>
      </c>
      <c r="J169" t="s">
        <v>614</v>
      </c>
      <c r="K169" t="s">
        <v>615</v>
      </c>
      <c r="L169" t="s">
        <v>114</v>
      </c>
      <c r="M169" s="4" t="s">
        <v>94</v>
      </c>
      <c r="N169" t="s">
        <v>140</v>
      </c>
      <c r="P169" s="3" t="s">
        <v>36</v>
      </c>
      <c r="Q169" s="3" t="s">
        <v>230</v>
      </c>
      <c r="R169">
        <v>1</v>
      </c>
      <c r="S169" s="5">
        <v>45952</v>
      </c>
      <c r="T169" t="s">
        <v>38</v>
      </c>
      <c r="U169">
        <f t="shared" ca="1" si="12"/>
        <v>7</v>
      </c>
      <c r="V169" s="6">
        <f t="shared" ca="1" si="13"/>
        <v>46009</v>
      </c>
      <c r="W169" s="6">
        <f t="shared" ca="1" si="14"/>
        <v>46015</v>
      </c>
      <c r="X169" t="str">
        <f t="shared" ca="1" si="15"/>
        <v>Dec 18 to Dec 24</v>
      </c>
      <c r="Y169" t="str">
        <f t="shared" ca="1" si="16"/>
        <v>🟢 THIS WEEK</v>
      </c>
      <c r="Z169" t="str">
        <f t="shared" ca="1" si="17"/>
        <v>Confirm appointment</v>
      </c>
    </row>
    <row r="170" spans="1:26">
      <c r="A170">
        <v>1005812373</v>
      </c>
      <c r="B170" s="3" t="s">
        <v>616</v>
      </c>
      <c r="C170">
        <v>67</v>
      </c>
      <c r="D170" t="s">
        <v>47</v>
      </c>
      <c r="E170" t="s">
        <v>29</v>
      </c>
      <c r="F170" t="s">
        <v>29</v>
      </c>
      <c r="G170" t="s">
        <v>29</v>
      </c>
      <c r="H170">
        <v>7</v>
      </c>
      <c r="I170" t="s">
        <v>30</v>
      </c>
      <c r="J170" t="s">
        <v>445</v>
      </c>
      <c r="K170" t="s">
        <v>617</v>
      </c>
      <c r="L170" t="s">
        <v>170</v>
      </c>
      <c r="M170" s="4" t="s">
        <v>34</v>
      </c>
      <c r="N170" t="s">
        <v>171</v>
      </c>
      <c r="P170" s="3" t="s">
        <v>36</v>
      </c>
      <c r="Q170" s="3" t="s">
        <v>107</v>
      </c>
      <c r="R170">
        <v>2</v>
      </c>
      <c r="S170" s="5">
        <v>45832</v>
      </c>
      <c r="T170" t="s">
        <v>38</v>
      </c>
      <c r="U170">
        <f t="shared" ca="1" si="12"/>
        <v>7</v>
      </c>
      <c r="V170" s="6">
        <f t="shared" ca="1" si="13"/>
        <v>46009</v>
      </c>
      <c r="W170" s="6">
        <f t="shared" ca="1" si="14"/>
        <v>46015</v>
      </c>
      <c r="X170" t="str">
        <f t="shared" ca="1" si="15"/>
        <v>Dec 18 to Dec 24</v>
      </c>
      <c r="Y170" t="str">
        <f t="shared" ca="1" si="16"/>
        <v>🟢 THIS WEEK</v>
      </c>
      <c r="Z170" t="str">
        <f t="shared" ca="1" si="17"/>
        <v>Confirm appointment</v>
      </c>
    </row>
    <row r="171" spans="1:26">
      <c r="A171">
        <v>1005914567</v>
      </c>
      <c r="B171" s="3" t="s">
        <v>618</v>
      </c>
      <c r="C171">
        <v>72</v>
      </c>
      <c r="D171" t="s">
        <v>47</v>
      </c>
      <c r="E171" t="s">
        <v>29</v>
      </c>
      <c r="F171" t="s">
        <v>29</v>
      </c>
      <c r="G171" t="s">
        <v>28</v>
      </c>
      <c r="H171">
        <v>7</v>
      </c>
      <c r="I171" t="s">
        <v>30</v>
      </c>
      <c r="J171" t="s">
        <v>619</v>
      </c>
      <c r="K171" t="s">
        <v>620</v>
      </c>
      <c r="M171" s="4" t="s">
        <v>43</v>
      </c>
      <c r="N171" t="s">
        <v>144</v>
      </c>
      <c r="P171" s="3" t="s">
        <v>36</v>
      </c>
      <c r="Q171" s="3" t="s">
        <v>84</v>
      </c>
      <c r="R171">
        <v>1</v>
      </c>
      <c r="S171" s="5">
        <v>45923</v>
      </c>
      <c r="T171" t="s">
        <v>38</v>
      </c>
      <c r="U171">
        <f t="shared" ca="1" si="12"/>
        <v>8</v>
      </c>
      <c r="V171" s="6">
        <f t="shared" ca="1" si="13"/>
        <v>46010</v>
      </c>
      <c r="W171" s="6">
        <f t="shared" ca="1" si="14"/>
        <v>46016</v>
      </c>
      <c r="X171" t="str">
        <f t="shared" ca="1" si="15"/>
        <v>Dec 19 to Dec 25</v>
      </c>
      <c r="Y171" t="str">
        <f t="shared" ca="1" si="16"/>
        <v>🔵 NEXT 2 WEEKS</v>
      </c>
      <c r="Z171" t="str">
        <f t="shared" ca="1" si="17"/>
        <v>Send reminder SMS</v>
      </c>
    </row>
    <row r="172" spans="1:26">
      <c r="A172">
        <v>1005942220</v>
      </c>
      <c r="B172" s="3" t="s">
        <v>621</v>
      </c>
      <c r="C172">
        <v>56</v>
      </c>
      <c r="D172" t="s">
        <v>27</v>
      </c>
      <c r="E172" t="s">
        <v>29</v>
      </c>
      <c r="F172" t="s">
        <v>29</v>
      </c>
      <c r="G172" t="s">
        <v>29</v>
      </c>
      <c r="H172">
        <v>6</v>
      </c>
      <c r="I172" t="s">
        <v>30</v>
      </c>
      <c r="J172" t="s">
        <v>173</v>
      </c>
      <c r="K172" t="s">
        <v>622</v>
      </c>
      <c r="M172" s="4" t="s">
        <v>43</v>
      </c>
      <c r="N172" t="s">
        <v>44</v>
      </c>
      <c r="P172" s="3" t="s">
        <v>36</v>
      </c>
      <c r="Q172" s="3" t="s">
        <v>107</v>
      </c>
      <c r="R172">
        <v>1</v>
      </c>
      <c r="S172" s="5">
        <v>45885</v>
      </c>
      <c r="T172" t="s">
        <v>38</v>
      </c>
      <c r="U172">
        <f t="shared" ca="1" si="12"/>
        <v>0</v>
      </c>
      <c r="V172" s="6">
        <f t="shared" ca="1" si="13"/>
        <v>46002</v>
      </c>
      <c r="W172" s="6">
        <f t="shared" ca="1" si="14"/>
        <v>46008</v>
      </c>
      <c r="X172" t="str">
        <f t="shared" ca="1" si="15"/>
        <v>Dec 11 to Dec 17</v>
      </c>
      <c r="Y172" t="str">
        <f t="shared" ca="1" si="16"/>
        <v>🟡 IMMINENT (within 3 days)</v>
      </c>
      <c r="Z172" t="str">
        <f t="shared" ca="1" si="17"/>
        <v>Prepare medications TODAY</v>
      </c>
    </row>
    <row r="173" spans="1:26">
      <c r="A173">
        <v>1005949696</v>
      </c>
      <c r="B173" s="3" t="s">
        <v>623</v>
      </c>
      <c r="C173">
        <v>57</v>
      </c>
      <c r="D173" t="s">
        <v>47</v>
      </c>
      <c r="E173" t="s">
        <v>29</v>
      </c>
      <c r="F173" t="s">
        <v>28</v>
      </c>
      <c r="G173" t="s">
        <v>28</v>
      </c>
      <c r="H173">
        <v>5</v>
      </c>
      <c r="I173" t="s">
        <v>30</v>
      </c>
      <c r="J173" t="s">
        <v>624</v>
      </c>
      <c r="K173" t="s">
        <v>625</v>
      </c>
      <c r="L173" t="s">
        <v>244</v>
      </c>
      <c r="M173" s="4" t="s">
        <v>34</v>
      </c>
      <c r="N173" t="s">
        <v>162</v>
      </c>
      <c r="P173" s="3" t="s">
        <v>36</v>
      </c>
      <c r="Q173" s="3" t="s">
        <v>123</v>
      </c>
      <c r="R173">
        <v>2</v>
      </c>
      <c r="S173" s="5">
        <v>45582</v>
      </c>
      <c r="T173" t="s">
        <v>38</v>
      </c>
      <c r="U173">
        <f t="shared" ca="1" si="12"/>
        <v>27</v>
      </c>
      <c r="V173" s="6">
        <f t="shared" ca="1" si="13"/>
        <v>46029</v>
      </c>
      <c r="W173" s="6">
        <f t="shared" ca="1" si="14"/>
        <v>46035</v>
      </c>
      <c r="X173" t="str">
        <f t="shared" ca="1" si="15"/>
        <v>Jan 7 to Jan 13</v>
      </c>
      <c r="Y173" t="str">
        <f t="shared" ca="1" si="16"/>
        <v>⚪ SCHEDULED</v>
      </c>
      <c r="Z173" t="str">
        <f t="shared" ca="1" si="17"/>
        <v>No action needed yet</v>
      </c>
    </row>
    <row r="174" spans="1:26">
      <c r="A174">
        <v>1005952971</v>
      </c>
      <c r="B174" s="3" t="s">
        <v>626</v>
      </c>
      <c r="C174">
        <v>63</v>
      </c>
      <c r="D174" t="s">
        <v>47</v>
      </c>
      <c r="E174" t="s">
        <v>29</v>
      </c>
      <c r="F174" t="s">
        <v>28</v>
      </c>
      <c r="G174" t="s">
        <v>29</v>
      </c>
      <c r="H174">
        <v>5</v>
      </c>
      <c r="I174" t="s">
        <v>30</v>
      </c>
      <c r="J174" t="s">
        <v>253</v>
      </c>
      <c r="K174" t="s">
        <v>627</v>
      </c>
      <c r="L174" t="s">
        <v>33</v>
      </c>
      <c r="M174" s="4" t="s">
        <v>94</v>
      </c>
      <c r="N174" t="s">
        <v>95</v>
      </c>
      <c r="P174" s="3" t="s">
        <v>36</v>
      </c>
      <c r="Q174" s="3" t="s">
        <v>84</v>
      </c>
      <c r="R174">
        <v>1</v>
      </c>
      <c r="S174" s="5">
        <v>45959</v>
      </c>
      <c r="T174" t="s">
        <v>38</v>
      </c>
      <c r="U174">
        <f t="shared" ca="1" si="12"/>
        <v>14</v>
      </c>
      <c r="V174" s="6">
        <f t="shared" ca="1" si="13"/>
        <v>46016</v>
      </c>
      <c r="W174" s="6">
        <f t="shared" ca="1" si="14"/>
        <v>46022</v>
      </c>
      <c r="X174" t="str">
        <f t="shared" ca="1" si="15"/>
        <v>Dec 25 to Dec 31</v>
      </c>
      <c r="Y174" t="str">
        <f t="shared" ca="1" si="16"/>
        <v>🔵 NEXT 2 WEEKS</v>
      </c>
      <c r="Z174" t="str">
        <f t="shared" ca="1" si="17"/>
        <v>Send reminder SMS</v>
      </c>
    </row>
    <row r="175" spans="1:26">
      <c r="A175">
        <v>1005953649</v>
      </c>
      <c r="B175" s="3" t="s">
        <v>628</v>
      </c>
      <c r="C175">
        <v>70</v>
      </c>
      <c r="D175" t="s">
        <v>27</v>
      </c>
      <c r="E175" t="s">
        <v>29</v>
      </c>
      <c r="F175" t="s">
        <v>29</v>
      </c>
      <c r="G175" t="s">
        <v>29</v>
      </c>
      <c r="H175">
        <v>7</v>
      </c>
      <c r="I175" t="s">
        <v>30</v>
      </c>
      <c r="J175" t="s">
        <v>629</v>
      </c>
      <c r="K175" t="s">
        <v>630</v>
      </c>
      <c r="L175" t="s">
        <v>606</v>
      </c>
      <c r="M175" s="4" t="s">
        <v>43</v>
      </c>
      <c r="N175" t="s">
        <v>76</v>
      </c>
      <c r="P175" s="3" t="s">
        <v>36</v>
      </c>
      <c r="Q175" s="3" t="s">
        <v>107</v>
      </c>
      <c r="R175">
        <v>2</v>
      </c>
      <c r="S175" s="5">
        <v>45895</v>
      </c>
      <c r="T175" t="s">
        <v>38</v>
      </c>
      <c r="U175">
        <f t="shared" ca="1" si="12"/>
        <v>10</v>
      </c>
      <c r="V175" s="6">
        <f t="shared" ca="1" si="13"/>
        <v>46012</v>
      </c>
      <c r="W175" s="6">
        <f t="shared" ca="1" si="14"/>
        <v>46018</v>
      </c>
      <c r="X175" t="str">
        <f t="shared" ca="1" si="15"/>
        <v>Dec 21 to Dec 27</v>
      </c>
      <c r="Y175" t="str">
        <f t="shared" ca="1" si="16"/>
        <v>🔵 NEXT 2 WEEKS</v>
      </c>
      <c r="Z175" t="str">
        <f t="shared" ca="1" si="17"/>
        <v>Send reminder SMS</v>
      </c>
    </row>
    <row r="176" spans="1:26">
      <c r="A176">
        <v>1006019143</v>
      </c>
      <c r="B176" s="3" t="s">
        <v>631</v>
      </c>
      <c r="C176">
        <v>70</v>
      </c>
      <c r="D176" t="s">
        <v>47</v>
      </c>
      <c r="E176" t="s">
        <v>29</v>
      </c>
      <c r="F176" t="s">
        <v>29</v>
      </c>
      <c r="G176" t="s">
        <v>29</v>
      </c>
      <c r="H176">
        <v>8</v>
      </c>
      <c r="I176" t="s">
        <v>30</v>
      </c>
      <c r="J176" t="s">
        <v>632</v>
      </c>
      <c r="K176" t="s">
        <v>633</v>
      </c>
      <c r="L176" t="s">
        <v>170</v>
      </c>
      <c r="M176" s="4" t="s">
        <v>34</v>
      </c>
      <c r="N176" t="s">
        <v>171</v>
      </c>
      <c r="P176" s="3" t="s">
        <v>36</v>
      </c>
      <c r="Q176" s="3" t="s">
        <v>107</v>
      </c>
      <c r="R176">
        <v>1</v>
      </c>
      <c r="S176" s="5">
        <v>45834</v>
      </c>
      <c r="T176" t="s">
        <v>38</v>
      </c>
      <c r="U176">
        <f t="shared" ca="1" si="12"/>
        <v>9</v>
      </c>
      <c r="V176" s="6">
        <f t="shared" ca="1" si="13"/>
        <v>46011</v>
      </c>
      <c r="W176" s="6">
        <f t="shared" ca="1" si="14"/>
        <v>46017</v>
      </c>
      <c r="X176" t="str">
        <f t="shared" ca="1" si="15"/>
        <v>Dec 20 to Dec 26</v>
      </c>
      <c r="Y176" t="str">
        <f t="shared" ca="1" si="16"/>
        <v>🔵 NEXT 2 WEEKS</v>
      </c>
      <c r="Z176" t="str">
        <f t="shared" ca="1" si="17"/>
        <v>Send reminder SMS</v>
      </c>
    </row>
    <row r="177" spans="1:26">
      <c r="A177">
        <v>1006039463</v>
      </c>
      <c r="B177" s="3" t="s">
        <v>634</v>
      </c>
      <c r="C177">
        <v>53</v>
      </c>
      <c r="D177" t="s">
        <v>27</v>
      </c>
      <c r="E177" t="s">
        <v>29</v>
      </c>
      <c r="F177" t="s">
        <v>29</v>
      </c>
      <c r="G177" t="s">
        <v>29</v>
      </c>
      <c r="H177">
        <v>5</v>
      </c>
      <c r="I177" t="s">
        <v>30</v>
      </c>
      <c r="J177" t="s">
        <v>635</v>
      </c>
      <c r="K177" t="s">
        <v>636</v>
      </c>
      <c r="L177" t="s">
        <v>69</v>
      </c>
      <c r="M177" s="4" t="s">
        <v>34</v>
      </c>
      <c r="N177" t="s">
        <v>127</v>
      </c>
      <c r="P177" s="3" t="s">
        <v>36</v>
      </c>
      <c r="Q177" s="3" t="s">
        <v>45</v>
      </c>
      <c r="R177">
        <v>1</v>
      </c>
      <c r="S177" s="5">
        <v>45826</v>
      </c>
      <c r="T177" t="s">
        <v>38</v>
      </c>
      <c r="U177">
        <f t="shared" ca="1" si="12"/>
        <v>1</v>
      </c>
      <c r="V177" s="6">
        <f t="shared" ca="1" si="13"/>
        <v>46003</v>
      </c>
      <c r="W177" s="6">
        <f t="shared" ca="1" si="14"/>
        <v>46009</v>
      </c>
      <c r="X177" t="str">
        <f t="shared" ca="1" si="15"/>
        <v>Dec 12 to Dec 18</v>
      </c>
      <c r="Y177" t="str">
        <f t="shared" ca="1" si="16"/>
        <v>🟡 IMMINENT (within 3 days)</v>
      </c>
      <c r="Z177" t="str">
        <f t="shared" ca="1" si="17"/>
        <v>Prepare medications TODAY</v>
      </c>
    </row>
    <row r="178" spans="1:26">
      <c r="A178">
        <v>1006065864</v>
      </c>
      <c r="B178" s="3" t="s">
        <v>637</v>
      </c>
      <c r="C178">
        <v>68</v>
      </c>
      <c r="D178" t="s">
        <v>27</v>
      </c>
      <c r="E178" t="s">
        <v>29</v>
      </c>
      <c r="F178" t="s">
        <v>29</v>
      </c>
      <c r="G178" t="s">
        <v>29</v>
      </c>
      <c r="H178">
        <v>6</v>
      </c>
      <c r="I178" t="s">
        <v>30</v>
      </c>
      <c r="J178" t="s">
        <v>638</v>
      </c>
      <c r="K178" t="s">
        <v>639</v>
      </c>
      <c r="L178" t="s">
        <v>640</v>
      </c>
      <c r="M178" s="4" t="s">
        <v>34</v>
      </c>
      <c r="N178" t="s">
        <v>76</v>
      </c>
      <c r="P178" s="3" t="s">
        <v>36</v>
      </c>
      <c r="Q178" s="3" t="s">
        <v>90</v>
      </c>
      <c r="R178">
        <v>1</v>
      </c>
      <c r="S178" s="5">
        <v>45799</v>
      </c>
      <c r="T178" t="s">
        <v>38</v>
      </c>
      <c r="U178">
        <f t="shared" ca="1" si="12"/>
        <v>4</v>
      </c>
      <c r="V178" s="6">
        <f t="shared" ca="1" si="13"/>
        <v>46006</v>
      </c>
      <c r="W178" s="6">
        <f t="shared" ca="1" si="14"/>
        <v>46012</v>
      </c>
      <c r="X178" t="str">
        <f t="shared" ca="1" si="15"/>
        <v>Dec 15 to Dec 21</v>
      </c>
      <c r="Y178" t="str">
        <f t="shared" ca="1" si="16"/>
        <v>🟢 THIS WEEK</v>
      </c>
      <c r="Z178" t="str">
        <f t="shared" ca="1" si="17"/>
        <v>Confirm appointment</v>
      </c>
    </row>
    <row r="179" spans="1:26">
      <c r="A179">
        <v>1006066227</v>
      </c>
      <c r="B179" s="3" t="s">
        <v>641</v>
      </c>
      <c r="C179">
        <v>53</v>
      </c>
      <c r="D179" t="s">
        <v>27</v>
      </c>
      <c r="E179" t="s">
        <v>28</v>
      </c>
      <c r="F179" t="s">
        <v>29</v>
      </c>
      <c r="G179" t="s">
        <v>29</v>
      </c>
      <c r="H179">
        <v>5</v>
      </c>
      <c r="I179" t="s">
        <v>30</v>
      </c>
      <c r="J179" t="s">
        <v>253</v>
      </c>
      <c r="K179" t="s">
        <v>642</v>
      </c>
      <c r="L179" t="s">
        <v>33</v>
      </c>
      <c r="M179" s="4" t="s">
        <v>34</v>
      </c>
      <c r="N179" t="s">
        <v>35</v>
      </c>
      <c r="P179" s="3" t="s">
        <v>36</v>
      </c>
      <c r="Q179" s="3" t="s">
        <v>45</v>
      </c>
      <c r="R179">
        <v>1</v>
      </c>
      <c r="S179" s="5">
        <v>45604</v>
      </c>
      <c r="T179" t="s">
        <v>38</v>
      </c>
      <c r="U179">
        <f t="shared" ca="1" si="12"/>
        <v>19</v>
      </c>
      <c r="V179" s="6">
        <f t="shared" ca="1" si="13"/>
        <v>46021</v>
      </c>
      <c r="W179" s="6">
        <f t="shared" ca="1" si="14"/>
        <v>46027</v>
      </c>
      <c r="X179" t="str">
        <f t="shared" ca="1" si="15"/>
        <v>Dec 30 to Jan 5</v>
      </c>
      <c r="Y179" t="str">
        <f t="shared" ca="1" si="16"/>
        <v>⚪ SCHEDULED</v>
      </c>
      <c r="Z179" t="str">
        <f t="shared" ca="1" si="17"/>
        <v>No action needed yet</v>
      </c>
    </row>
    <row r="180" spans="1:26">
      <c r="A180">
        <v>1006067175</v>
      </c>
      <c r="B180" s="3" t="s">
        <v>643</v>
      </c>
      <c r="C180">
        <v>58</v>
      </c>
      <c r="D180" t="s">
        <v>27</v>
      </c>
      <c r="E180" t="s">
        <v>29</v>
      </c>
      <c r="F180" t="s">
        <v>29</v>
      </c>
      <c r="G180" t="s">
        <v>29</v>
      </c>
      <c r="H180">
        <v>6</v>
      </c>
      <c r="I180" t="s">
        <v>30</v>
      </c>
      <c r="J180" t="s">
        <v>644</v>
      </c>
      <c r="K180" t="s">
        <v>645</v>
      </c>
      <c r="L180" t="s">
        <v>58</v>
      </c>
      <c r="M180" s="4" t="s">
        <v>34</v>
      </c>
      <c r="N180" t="s">
        <v>89</v>
      </c>
      <c r="P180" s="3" t="s">
        <v>36</v>
      </c>
      <c r="Q180" s="3" t="s">
        <v>45</v>
      </c>
      <c r="R180">
        <v>2</v>
      </c>
      <c r="S180" s="5">
        <v>45687</v>
      </c>
      <c r="T180" t="s">
        <v>38</v>
      </c>
      <c r="U180">
        <f t="shared" ca="1" si="12"/>
        <v>12</v>
      </c>
      <c r="V180" s="6">
        <f t="shared" ca="1" si="13"/>
        <v>46014</v>
      </c>
      <c r="W180" s="6">
        <f t="shared" ca="1" si="14"/>
        <v>46020</v>
      </c>
      <c r="X180" t="str">
        <f t="shared" ca="1" si="15"/>
        <v>Dec 23 to Dec 29</v>
      </c>
      <c r="Y180" t="str">
        <f t="shared" ca="1" si="16"/>
        <v>🔵 NEXT 2 WEEKS</v>
      </c>
      <c r="Z180" t="str">
        <f t="shared" ca="1" si="17"/>
        <v>Send reminder SMS</v>
      </c>
    </row>
    <row r="181" spans="1:26">
      <c r="A181">
        <v>1006243479</v>
      </c>
      <c r="B181" s="3" t="s">
        <v>646</v>
      </c>
      <c r="C181">
        <v>59</v>
      </c>
      <c r="D181" t="s">
        <v>47</v>
      </c>
      <c r="E181" t="s">
        <v>29</v>
      </c>
      <c r="F181" t="s">
        <v>29</v>
      </c>
      <c r="G181" t="s">
        <v>29</v>
      </c>
      <c r="H181">
        <v>6</v>
      </c>
      <c r="I181" t="s">
        <v>30</v>
      </c>
      <c r="J181" t="s">
        <v>253</v>
      </c>
      <c r="K181" t="s">
        <v>647</v>
      </c>
      <c r="L181" t="s">
        <v>33</v>
      </c>
      <c r="M181" s="4" t="s">
        <v>43</v>
      </c>
      <c r="N181" t="s">
        <v>44</v>
      </c>
      <c r="P181" s="3" t="s">
        <v>36</v>
      </c>
      <c r="Q181" s="3" t="s">
        <v>84</v>
      </c>
      <c r="R181">
        <v>2</v>
      </c>
      <c r="S181" s="5">
        <v>45892</v>
      </c>
      <c r="T181" t="s">
        <v>38</v>
      </c>
      <c r="U181">
        <f t="shared" ca="1" si="12"/>
        <v>7</v>
      </c>
      <c r="V181" s="6">
        <f t="shared" ca="1" si="13"/>
        <v>46009</v>
      </c>
      <c r="W181" s="6">
        <f t="shared" ca="1" si="14"/>
        <v>46015</v>
      </c>
      <c r="X181" t="str">
        <f t="shared" ca="1" si="15"/>
        <v>Dec 18 to Dec 24</v>
      </c>
      <c r="Y181" t="str">
        <f t="shared" ca="1" si="16"/>
        <v>🟢 THIS WEEK</v>
      </c>
      <c r="Z181" t="str">
        <f t="shared" ca="1" si="17"/>
        <v>Confirm appointment</v>
      </c>
    </row>
    <row r="182" spans="1:26">
      <c r="A182">
        <v>1006287310</v>
      </c>
      <c r="B182" s="3" t="s">
        <v>648</v>
      </c>
      <c r="C182">
        <v>63</v>
      </c>
      <c r="D182" t="s">
        <v>27</v>
      </c>
      <c r="E182" t="s">
        <v>28</v>
      </c>
      <c r="F182" t="s">
        <v>28</v>
      </c>
      <c r="G182" t="s">
        <v>29</v>
      </c>
      <c r="H182">
        <v>4</v>
      </c>
      <c r="I182" t="s">
        <v>66</v>
      </c>
      <c r="J182" t="s">
        <v>649</v>
      </c>
      <c r="K182" t="s">
        <v>650</v>
      </c>
      <c r="L182" t="s">
        <v>139</v>
      </c>
      <c r="M182" s="4" t="s">
        <v>43</v>
      </c>
      <c r="N182" t="s">
        <v>140</v>
      </c>
      <c r="P182" s="3" t="s">
        <v>36</v>
      </c>
      <c r="Q182" s="3" t="s">
        <v>84</v>
      </c>
      <c r="R182">
        <v>2</v>
      </c>
      <c r="S182" s="5">
        <v>45860</v>
      </c>
      <c r="T182" t="s">
        <v>38</v>
      </c>
      <c r="U182">
        <f t="shared" ca="1" si="12"/>
        <v>5</v>
      </c>
      <c r="V182" s="6">
        <f t="shared" ca="1" si="13"/>
        <v>46007</v>
      </c>
      <c r="W182" s="6">
        <f t="shared" ca="1" si="14"/>
        <v>46013</v>
      </c>
      <c r="X182" t="str">
        <f t="shared" ca="1" si="15"/>
        <v>Dec 16 to Dec 22</v>
      </c>
      <c r="Y182" t="str">
        <f t="shared" ca="1" si="16"/>
        <v>🟢 THIS WEEK</v>
      </c>
      <c r="Z182" t="str">
        <f t="shared" ca="1" si="17"/>
        <v>Confirm appointment</v>
      </c>
    </row>
    <row r="183" spans="1:26">
      <c r="A183">
        <v>1006294803</v>
      </c>
      <c r="B183" s="3" t="s">
        <v>651</v>
      </c>
      <c r="C183">
        <v>62</v>
      </c>
      <c r="D183" t="s">
        <v>47</v>
      </c>
      <c r="E183" t="s">
        <v>29</v>
      </c>
      <c r="F183" t="s">
        <v>28</v>
      </c>
      <c r="G183" t="s">
        <v>29</v>
      </c>
      <c r="H183">
        <v>6</v>
      </c>
      <c r="I183" t="s">
        <v>30</v>
      </c>
      <c r="J183" t="s">
        <v>652</v>
      </c>
      <c r="K183" t="s">
        <v>653</v>
      </c>
      <c r="L183" t="s">
        <v>269</v>
      </c>
      <c r="M183" s="4" t="s">
        <v>43</v>
      </c>
      <c r="N183" t="s">
        <v>51</v>
      </c>
      <c r="P183" s="3" t="s">
        <v>36</v>
      </c>
      <c r="Q183" s="3" t="s">
        <v>45</v>
      </c>
      <c r="R183">
        <v>2</v>
      </c>
      <c r="S183" s="5">
        <v>45911</v>
      </c>
      <c r="T183" t="s">
        <v>38</v>
      </c>
      <c r="U183">
        <f t="shared" ca="1" si="12"/>
        <v>26</v>
      </c>
      <c r="V183" s="6">
        <f t="shared" ca="1" si="13"/>
        <v>46028</v>
      </c>
      <c r="W183" s="6">
        <f t="shared" ca="1" si="14"/>
        <v>46034</v>
      </c>
      <c r="X183" t="str">
        <f t="shared" ca="1" si="15"/>
        <v>Jan 6 to Jan 12</v>
      </c>
      <c r="Y183" t="str">
        <f t="shared" ca="1" si="16"/>
        <v>⚪ SCHEDULED</v>
      </c>
      <c r="Z183" t="str">
        <f t="shared" ca="1" si="17"/>
        <v>No action needed yet</v>
      </c>
    </row>
    <row r="184" spans="1:26">
      <c r="A184">
        <v>1006332587</v>
      </c>
      <c r="B184" s="3" t="s">
        <v>654</v>
      </c>
      <c r="C184">
        <v>75</v>
      </c>
      <c r="D184" t="s">
        <v>47</v>
      </c>
      <c r="E184" t="s">
        <v>54</v>
      </c>
      <c r="F184" t="s">
        <v>54</v>
      </c>
      <c r="G184" t="s">
        <v>54</v>
      </c>
      <c r="H184">
        <v>4</v>
      </c>
      <c r="I184" t="s">
        <v>66</v>
      </c>
      <c r="J184" t="s">
        <v>655</v>
      </c>
      <c r="K184" t="s">
        <v>656</v>
      </c>
      <c r="L184" t="s">
        <v>258</v>
      </c>
      <c r="M184" s="4" t="s">
        <v>34</v>
      </c>
      <c r="N184" t="s">
        <v>59</v>
      </c>
      <c r="P184" s="3" t="s">
        <v>36</v>
      </c>
      <c r="Q184" t="s">
        <v>54</v>
      </c>
      <c r="R184">
        <v>1</v>
      </c>
      <c r="S184" s="5">
        <v>45734</v>
      </c>
      <c r="T184" t="s">
        <v>38</v>
      </c>
      <c r="U184">
        <f t="shared" ca="1" si="12"/>
        <v>29</v>
      </c>
      <c r="V184" s="6">
        <f t="shared" ca="1" si="13"/>
        <v>46031</v>
      </c>
      <c r="W184" s="6">
        <f t="shared" ca="1" si="14"/>
        <v>46037</v>
      </c>
      <c r="X184" t="str">
        <f t="shared" ca="1" si="15"/>
        <v>Jan 9 to Jan 15</v>
      </c>
      <c r="Y184" t="str">
        <f t="shared" ca="1" si="16"/>
        <v>⚪ SCHEDULED</v>
      </c>
      <c r="Z184" t="str">
        <f t="shared" ca="1" si="17"/>
        <v>No action needed yet</v>
      </c>
    </row>
    <row r="185" spans="1:26">
      <c r="A185">
        <v>1006332595</v>
      </c>
      <c r="B185" s="3" t="s">
        <v>657</v>
      </c>
      <c r="C185">
        <v>70</v>
      </c>
      <c r="D185" t="s">
        <v>27</v>
      </c>
      <c r="E185" t="s">
        <v>29</v>
      </c>
      <c r="F185" t="s">
        <v>29</v>
      </c>
      <c r="G185" t="s">
        <v>29</v>
      </c>
      <c r="H185">
        <v>7</v>
      </c>
      <c r="I185" t="s">
        <v>30</v>
      </c>
      <c r="J185" t="s">
        <v>79</v>
      </c>
      <c r="K185" t="s">
        <v>658</v>
      </c>
      <c r="L185" t="s">
        <v>33</v>
      </c>
      <c r="M185" s="4" t="s">
        <v>43</v>
      </c>
      <c r="N185" t="s">
        <v>44</v>
      </c>
      <c r="P185" s="3" t="s">
        <v>36</v>
      </c>
      <c r="Q185" s="3" t="s">
        <v>84</v>
      </c>
      <c r="R185">
        <v>1</v>
      </c>
      <c r="S185" s="5">
        <v>45904</v>
      </c>
      <c r="T185" t="s">
        <v>38</v>
      </c>
      <c r="U185">
        <f t="shared" ca="1" si="12"/>
        <v>19</v>
      </c>
      <c r="V185" s="6">
        <f t="shared" ca="1" si="13"/>
        <v>46021</v>
      </c>
      <c r="W185" s="6">
        <f t="shared" ca="1" si="14"/>
        <v>46027</v>
      </c>
      <c r="X185" t="str">
        <f t="shared" ca="1" si="15"/>
        <v>Dec 30 to Jan 5</v>
      </c>
      <c r="Y185" t="str">
        <f t="shared" ca="1" si="16"/>
        <v>⚪ SCHEDULED</v>
      </c>
      <c r="Z185" t="str">
        <f t="shared" ca="1" si="17"/>
        <v>No action needed yet</v>
      </c>
    </row>
    <row r="186" spans="1:26">
      <c r="A186">
        <v>1006362857</v>
      </c>
      <c r="B186" s="3" t="s">
        <v>659</v>
      </c>
      <c r="C186">
        <v>63</v>
      </c>
      <c r="D186" t="s">
        <v>27</v>
      </c>
      <c r="E186" t="s">
        <v>29</v>
      </c>
      <c r="F186" t="s">
        <v>29</v>
      </c>
      <c r="G186" t="s">
        <v>29</v>
      </c>
      <c r="H186">
        <v>6</v>
      </c>
      <c r="I186" t="s">
        <v>30</v>
      </c>
      <c r="J186" t="s">
        <v>660</v>
      </c>
      <c r="K186" t="s">
        <v>661</v>
      </c>
      <c r="L186" t="s">
        <v>606</v>
      </c>
      <c r="M186" s="4" t="s">
        <v>94</v>
      </c>
      <c r="N186" t="s">
        <v>76</v>
      </c>
      <c r="P186" s="3" t="s">
        <v>36</v>
      </c>
      <c r="Q186" s="3" t="s">
        <v>107</v>
      </c>
      <c r="R186">
        <v>2</v>
      </c>
      <c r="S186" s="5">
        <v>45959</v>
      </c>
      <c r="T186" t="s">
        <v>38</v>
      </c>
      <c r="U186">
        <f t="shared" ca="1" si="12"/>
        <v>14</v>
      </c>
      <c r="V186" s="6">
        <f t="shared" ca="1" si="13"/>
        <v>46016</v>
      </c>
      <c r="W186" s="6">
        <f t="shared" ca="1" si="14"/>
        <v>46022</v>
      </c>
      <c r="X186" t="str">
        <f t="shared" ca="1" si="15"/>
        <v>Dec 25 to Dec 31</v>
      </c>
      <c r="Y186" t="str">
        <f t="shared" ca="1" si="16"/>
        <v>🔵 NEXT 2 WEEKS</v>
      </c>
      <c r="Z186" t="str">
        <f t="shared" ca="1" si="17"/>
        <v>Send reminder SMS</v>
      </c>
    </row>
    <row r="187" spans="1:26">
      <c r="A187">
        <v>1006386518</v>
      </c>
      <c r="B187" s="3" t="s">
        <v>662</v>
      </c>
      <c r="C187">
        <v>60</v>
      </c>
      <c r="D187" t="s">
        <v>27</v>
      </c>
      <c r="E187" t="s">
        <v>29</v>
      </c>
      <c r="F187" t="s">
        <v>29</v>
      </c>
      <c r="G187" t="s">
        <v>29</v>
      </c>
      <c r="H187">
        <v>7</v>
      </c>
      <c r="I187" t="s">
        <v>30</v>
      </c>
      <c r="J187" t="s">
        <v>663</v>
      </c>
      <c r="K187" t="s">
        <v>664</v>
      </c>
      <c r="M187" s="4" t="s">
        <v>34</v>
      </c>
      <c r="N187" t="s">
        <v>44</v>
      </c>
      <c r="P187" s="3" t="s">
        <v>36</v>
      </c>
      <c r="Q187" s="3" t="s">
        <v>90</v>
      </c>
      <c r="R187">
        <v>1</v>
      </c>
      <c r="S187" s="5">
        <v>45693</v>
      </c>
      <c r="T187" t="s">
        <v>38</v>
      </c>
      <c r="U187">
        <f t="shared" ca="1" si="12"/>
        <v>18</v>
      </c>
      <c r="V187" s="6">
        <f t="shared" ca="1" si="13"/>
        <v>46020</v>
      </c>
      <c r="W187" s="6">
        <f t="shared" ca="1" si="14"/>
        <v>46026</v>
      </c>
      <c r="X187" t="str">
        <f t="shared" ca="1" si="15"/>
        <v>Dec 29 to Jan 4</v>
      </c>
      <c r="Y187" t="str">
        <f t="shared" ca="1" si="16"/>
        <v>⚪ SCHEDULED</v>
      </c>
      <c r="Z187" t="str">
        <f t="shared" ca="1" si="17"/>
        <v>No action needed yet</v>
      </c>
    </row>
    <row r="188" spans="1:26">
      <c r="A188">
        <v>1006412405</v>
      </c>
      <c r="B188" s="3" t="s">
        <v>665</v>
      </c>
      <c r="C188">
        <v>71</v>
      </c>
      <c r="D188" t="s">
        <v>27</v>
      </c>
      <c r="E188" t="s">
        <v>29</v>
      </c>
      <c r="F188" t="s">
        <v>29</v>
      </c>
      <c r="G188" t="s">
        <v>29</v>
      </c>
      <c r="H188">
        <v>7</v>
      </c>
      <c r="I188" t="s">
        <v>30</v>
      </c>
      <c r="J188" t="s">
        <v>666</v>
      </c>
      <c r="K188" t="s">
        <v>667</v>
      </c>
      <c r="L188" t="s">
        <v>88</v>
      </c>
      <c r="M188" s="4" t="s">
        <v>34</v>
      </c>
      <c r="N188" t="s">
        <v>89</v>
      </c>
      <c r="P188" s="3" t="s">
        <v>36</v>
      </c>
      <c r="Q188" t="s">
        <v>54</v>
      </c>
      <c r="R188">
        <v>1</v>
      </c>
      <c r="S188" s="5">
        <v>45791</v>
      </c>
      <c r="T188" t="s">
        <v>38</v>
      </c>
      <c r="U188">
        <f t="shared" ca="1" si="12"/>
        <v>26</v>
      </c>
      <c r="V188" s="6">
        <f t="shared" ca="1" si="13"/>
        <v>46028</v>
      </c>
      <c r="W188" s="6">
        <f t="shared" ca="1" si="14"/>
        <v>46034</v>
      </c>
      <c r="X188" t="str">
        <f t="shared" ca="1" si="15"/>
        <v>Jan 6 to Jan 12</v>
      </c>
      <c r="Y188" t="str">
        <f t="shared" ca="1" si="16"/>
        <v>⚪ SCHEDULED</v>
      </c>
      <c r="Z188" t="str">
        <f t="shared" ca="1" si="17"/>
        <v>No action needed yet</v>
      </c>
    </row>
    <row r="189" spans="1:26">
      <c r="A189">
        <v>1006414336</v>
      </c>
      <c r="B189" s="3" t="s">
        <v>668</v>
      </c>
      <c r="C189">
        <v>79</v>
      </c>
      <c r="D189" t="s">
        <v>47</v>
      </c>
      <c r="E189" t="s">
        <v>29</v>
      </c>
      <c r="F189" t="s">
        <v>28</v>
      </c>
      <c r="G189" t="s">
        <v>28</v>
      </c>
      <c r="H189">
        <v>6</v>
      </c>
      <c r="I189" t="s">
        <v>30</v>
      </c>
      <c r="J189" t="s">
        <v>669</v>
      </c>
      <c r="K189" t="s">
        <v>670</v>
      </c>
      <c r="L189" t="s">
        <v>139</v>
      </c>
      <c r="M189" s="4" t="s">
        <v>34</v>
      </c>
      <c r="N189" t="s">
        <v>148</v>
      </c>
      <c r="P189" s="3" t="s">
        <v>36</v>
      </c>
      <c r="Q189" s="3" t="s">
        <v>90</v>
      </c>
      <c r="R189">
        <v>1</v>
      </c>
      <c r="S189" s="5">
        <v>45672</v>
      </c>
      <c r="T189" t="s">
        <v>38</v>
      </c>
      <c r="U189">
        <f t="shared" ca="1" si="12"/>
        <v>27</v>
      </c>
      <c r="V189" s="6">
        <f t="shared" ca="1" si="13"/>
        <v>46029</v>
      </c>
      <c r="W189" s="6">
        <f t="shared" ca="1" si="14"/>
        <v>46035</v>
      </c>
      <c r="X189" t="str">
        <f t="shared" ca="1" si="15"/>
        <v>Jan 7 to Jan 13</v>
      </c>
      <c r="Y189" t="str">
        <f t="shared" ca="1" si="16"/>
        <v>⚪ SCHEDULED</v>
      </c>
      <c r="Z189" t="str">
        <f t="shared" ca="1" si="17"/>
        <v>No action needed yet</v>
      </c>
    </row>
    <row r="190" spans="1:26">
      <c r="A190">
        <v>1006414344</v>
      </c>
      <c r="B190" s="3" t="s">
        <v>671</v>
      </c>
      <c r="C190">
        <v>65</v>
      </c>
      <c r="D190" t="s">
        <v>27</v>
      </c>
      <c r="E190" t="s">
        <v>29</v>
      </c>
      <c r="F190" t="s">
        <v>29</v>
      </c>
      <c r="G190" t="s">
        <v>29</v>
      </c>
      <c r="H190">
        <v>7</v>
      </c>
      <c r="I190" t="s">
        <v>30</v>
      </c>
      <c r="J190" t="s">
        <v>632</v>
      </c>
      <c r="K190" t="s">
        <v>672</v>
      </c>
      <c r="L190" t="s">
        <v>170</v>
      </c>
      <c r="M190" s="4" t="s">
        <v>34</v>
      </c>
      <c r="N190" t="s">
        <v>171</v>
      </c>
      <c r="P190" s="3" t="s">
        <v>36</v>
      </c>
      <c r="Q190" s="3" t="s">
        <v>365</v>
      </c>
      <c r="R190">
        <v>1</v>
      </c>
      <c r="S190" s="5">
        <v>45745</v>
      </c>
      <c r="T190" t="s">
        <v>38</v>
      </c>
      <c r="U190">
        <f t="shared" ca="1" si="12"/>
        <v>10</v>
      </c>
      <c r="V190" s="6">
        <f t="shared" ca="1" si="13"/>
        <v>46012</v>
      </c>
      <c r="W190" s="6">
        <f t="shared" ca="1" si="14"/>
        <v>46018</v>
      </c>
      <c r="X190" t="str">
        <f t="shared" ca="1" si="15"/>
        <v>Dec 21 to Dec 27</v>
      </c>
      <c r="Y190" t="str">
        <f t="shared" ca="1" si="16"/>
        <v>🔵 NEXT 2 WEEKS</v>
      </c>
      <c r="Z190" t="str">
        <f t="shared" ca="1" si="17"/>
        <v>Send reminder SMS</v>
      </c>
    </row>
    <row r="191" spans="1:26">
      <c r="A191">
        <v>1006415663</v>
      </c>
      <c r="B191" s="3" t="s">
        <v>673</v>
      </c>
      <c r="C191">
        <v>63</v>
      </c>
      <c r="D191" t="s">
        <v>47</v>
      </c>
      <c r="E191" t="s">
        <v>29</v>
      </c>
      <c r="F191" t="s">
        <v>29</v>
      </c>
      <c r="G191" t="s">
        <v>29</v>
      </c>
      <c r="H191">
        <v>6</v>
      </c>
      <c r="I191" t="s">
        <v>30</v>
      </c>
      <c r="J191" t="s">
        <v>674</v>
      </c>
      <c r="K191" t="s">
        <v>675</v>
      </c>
      <c r="L191" t="s">
        <v>217</v>
      </c>
      <c r="M191" s="4" t="s">
        <v>34</v>
      </c>
      <c r="N191" t="s">
        <v>76</v>
      </c>
      <c r="P191" s="3" t="s">
        <v>36</v>
      </c>
      <c r="Q191" t="s">
        <v>54</v>
      </c>
      <c r="R191">
        <v>2</v>
      </c>
      <c r="S191" s="5">
        <v>45447</v>
      </c>
      <c r="T191" t="s">
        <v>38</v>
      </c>
      <c r="U191">
        <f t="shared" ca="1" si="12"/>
        <v>12</v>
      </c>
      <c r="V191" s="6">
        <f t="shared" ca="1" si="13"/>
        <v>46014</v>
      </c>
      <c r="W191" s="6">
        <f t="shared" ca="1" si="14"/>
        <v>46020</v>
      </c>
      <c r="X191" t="str">
        <f t="shared" ca="1" si="15"/>
        <v>Dec 23 to Dec 29</v>
      </c>
      <c r="Y191" t="str">
        <f t="shared" ca="1" si="16"/>
        <v>🔵 NEXT 2 WEEKS</v>
      </c>
      <c r="Z191" t="str">
        <f t="shared" ca="1" si="17"/>
        <v>Send reminder SMS</v>
      </c>
    </row>
    <row r="192" spans="1:26">
      <c r="A192">
        <v>1006474322</v>
      </c>
      <c r="B192" s="3" t="s">
        <v>676</v>
      </c>
      <c r="C192">
        <v>71</v>
      </c>
      <c r="D192" t="s">
        <v>47</v>
      </c>
      <c r="E192" t="s">
        <v>29</v>
      </c>
      <c r="F192" t="s">
        <v>29</v>
      </c>
      <c r="G192" t="s">
        <v>28</v>
      </c>
      <c r="H192">
        <v>6</v>
      </c>
      <c r="I192" t="s">
        <v>30</v>
      </c>
      <c r="J192" t="s">
        <v>677</v>
      </c>
      <c r="K192" t="s">
        <v>678</v>
      </c>
      <c r="L192" t="s">
        <v>166</v>
      </c>
      <c r="M192" s="4" t="s">
        <v>94</v>
      </c>
      <c r="N192" t="s">
        <v>131</v>
      </c>
      <c r="P192" s="3" t="s">
        <v>36</v>
      </c>
      <c r="Q192" s="3" t="s">
        <v>84</v>
      </c>
      <c r="R192">
        <v>2</v>
      </c>
      <c r="S192" s="5">
        <v>45940</v>
      </c>
      <c r="T192" t="s">
        <v>38</v>
      </c>
      <c r="U192">
        <f t="shared" ca="1" si="12"/>
        <v>25</v>
      </c>
      <c r="V192" s="6">
        <f t="shared" ca="1" si="13"/>
        <v>46027</v>
      </c>
      <c r="W192" s="6">
        <f t="shared" ca="1" si="14"/>
        <v>46033</v>
      </c>
      <c r="X192" t="str">
        <f t="shared" ca="1" si="15"/>
        <v>Jan 5 to Jan 11</v>
      </c>
      <c r="Y192" t="str">
        <f t="shared" ca="1" si="16"/>
        <v>⚪ SCHEDULED</v>
      </c>
      <c r="Z192" t="str">
        <f t="shared" ca="1" si="17"/>
        <v>No action needed yet</v>
      </c>
    </row>
    <row r="193" spans="1:26">
      <c r="A193">
        <v>1006505463</v>
      </c>
      <c r="B193" s="3" t="s">
        <v>679</v>
      </c>
      <c r="C193">
        <v>65</v>
      </c>
      <c r="D193" t="s">
        <v>47</v>
      </c>
      <c r="E193" t="s">
        <v>29</v>
      </c>
      <c r="F193" t="s">
        <v>28</v>
      </c>
      <c r="G193" t="s">
        <v>29</v>
      </c>
      <c r="H193">
        <v>5</v>
      </c>
      <c r="I193" t="s">
        <v>30</v>
      </c>
      <c r="J193" t="s">
        <v>680</v>
      </c>
      <c r="K193" t="s">
        <v>681</v>
      </c>
      <c r="M193" s="4" t="s">
        <v>43</v>
      </c>
      <c r="N193" t="s">
        <v>95</v>
      </c>
      <c r="P193" s="3" t="s">
        <v>36</v>
      </c>
      <c r="Q193" s="3" t="s">
        <v>107</v>
      </c>
      <c r="R193">
        <v>2</v>
      </c>
      <c r="S193" s="5">
        <v>45905</v>
      </c>
      <c r="T193" t="s">
        <v>38</v>
      </c>
      <c r="U193">
        <f t="shared" ca="1" si="12"/>
        <v>20</v>
      </c>
      <c r="V193" s="6">
        <f t="shared" ca="1" si="13"/>
        <v>46022</v>
      </c>
      <c r="W193" s="6">
        <f t="shared" ca="1" si="14"/>
        <v>46028</v>
      </c>
      <c r="X193" t="str">
        <f t="shared" ca="1" si="15"/>
        <v>Dec 31 to Jan 6</v>
      </c>
      <c r="Y193" t="str">
        <f t="shared" ca="1" si="16"/>
        <v>⚪ SCHEDULED</v>
      </c>
      <c r="Z193" t="str">
        <f t="shared" ca="1" si="17"/>
        <v>No action needed yet</v>
      </c>
    </row>
    <row r="194" spans="1:26">
      <c r="A194">
        <v>1006581720</v>
      </c>
      <c r="B194" s="3" t="s">
        <v>682</v>
      </c>
      <c r="C194">
        <v>54</v>
      </c>
      <c r="D194" t="s">
        <v>27</v>
      </c>
      <c r="E194" t="s">
        <v>29</v>
      </c>
      <c r="F194" t="s">
        <v>29</v>
      </c>
      <c r="G194" t="s">
        <v>28</v>
      </c>
      <c r="H194">
        <v>4</v>
      </c>
      <c r="I194" t="s">
        <v>66</v>
      </c>
      <c r="J194" t="s">
        <v>683</v>
      </c>
      <c r="K194" t="s">
        <v>684</v>
      </c>
      <c r="L194" t="s">
        <v>606</v>
      </c>
      <c r="M194" s="4" t="s">
        <v>34</v>
      </c>
      <c r="N194" t="s">
        <v>119</v>
      </c>
      <c r="P194" s="3" t="s">
        <v>36</v>
      </c>
      <c r="Q194" s="3" t="s">
        <v>123</v>
      </c>
      <c r="R194">
        <v>1</v>
      </c>
      <c r="S194" s="5">
        <v>45813</v>
      </c>
      <c r="T194" t="s">
        <v>38</v>
      </c>
      <c r="U194">
        <f t="shared" ref="U194:U257" ca="1" si="18">IF(S194&gt;=TODAY(),S194,S194+CEILING((TODAY()-S194)/IF(T194="Monthly",30,IF(T194="Bi-Monthly",60,90)),1)*IF(T194="Monthly",30,IF(T194="Bi-Monthly",60,90)))-TODAY()</f>
        <v>18</v>
      </c>
      <c r="V194" s="6">
        <f t="shared" ref="V194:V257" ca="1" si="19">IF(S194&gt;=TODAY(),S194,S194+CEILING((TODAY()-S194)/IF(T194="Monthly",30,IF(T194="Bi-Monthly",60,90)),1)*IF(T194="Monthly",30,IF(T194="Bi-Monthly",60,90)))-3</f>
        <v>46020</v>
      </c>
      <c r="W194" s="6">
        <f t="shared" ref="W194:W257" ca="1" si="20">IF(S194&gt;=TODAY(),S194,S194+CEILING((TODAY()-S194)/IF(T194="Monthly",30,IF(T194="Bi-Monthly",60,90)),1)*IF(T194="Monthly",30,IF(T194="Bi-Monthly",60,90)))+3</f>
        <v>46026</v>
      </c>
      <c r="X194" t="str">
        <f t="shared" ref="X194:X257" ca="1" si="21">TEXT(V194,"MMM D")&amp;" to "&amp;TEXT(W194,"MMM D")</f>
        <v>Dec 29 to Jan 4</v>
      </c>
      <c r="Y194" t="str">
        <f t="shared" ref="Y194:Y257" ca="1" si="22">IF(U194&lt;=3,"🟡 IMMINENT (within 3 days)",IF(U194&lt;=7,"🟢 THIS WEEK",IF(U194&lt;=14,"🔵 NEXT 2 WEEKS","⚪ SCHEDULED")))</f>
        <v>⚪ SCHEDULED</v>
      </c>
      <c r="Z194" t="str">
        <f t="shared" ref="Z194:Z257" ca="1" si="23">IF(U194&lt;=3,"Prepare medications TODAY",IF(U194&lt;=7,"Confirm appointment",IF(U194&lt;=14,"Send reminder SMS","No action needed yet")))</f>
        <v>No action needed yet</v>
      </c>
    </row>
    <row r="195" spans="1:26">
      <c r="A195">
        <v>1006618043</v>
      </c>
      <c r="B195" s="3" t="s">
        <v>685</v>
      </c>
      <c r="C195">
        <v>67</v>
      </c>
      <c r="D195" t="s">
        <v>27</v>
      </c>
      <c r="E195" t="s">
        <v>29</v>
      </c>
      <c r="F195" t="s">
        <v>29</v>
      </c>
      <c r="G195" t="s">
        <v>28</v>
      </c>
      <c r="H195">
        <v>6</v>
      </c>
      <c r="I195" t="s">
        <v>30</v>
      </c>
      <c r="J195" t="s">
        <v>686</v>
      </c>
      <c r="K195" t="s">
        <v>687</v>
      </c>
      <c r="L195" t="s">
        <v>33</v>
      </c>
      <c r="M195" s="4" t="s">
        <v>43</v>
      </c>
      <c r="N195" t="s">
        <v>144</v>
      </c>
      <c r="P195" s="3" t="s">
        <v>36</v>
      </c>
      <c r="Q195" s="3" t="s">
        <v>45</v>
      </c>
      <c r="R195">
        <v>1</v>
      </c>
      <c r="S195" s="5">
        <v>45902</v>
      </c>
      <c r="T195" t="s">
        <v>38</v>
      </c>
      <c r="U195">
        <f t="shared" ca="1" si="18"/>
        <v>17</v>
      </c>
      <c r="V195" s="6">
        <f t="shared" ca="1" si="19"/>
        <v>46019</v>
      </c>
      <c r="W195" s="6">
        <f t="shared" ca="1" si="20"/>
        <v>46025</v>
      </c>
      <c r="X195" t="str">
        <f t="shared" ca="1" si="21"/>
        <v>Dec 28 to Jan 3</v>
      </c>
      <c r="Y195" t="str">
        <f t="shared" ca="1" si="22"/>
        <v>⚪ SCHEDULED</v>
      </c>
      <c r="Z195" t="str">
        <f t="shared" ca="1" si="23"/>
        <v>No action needed yet</v>
      </c>
    </row>
    <row r="196" spans="1:26">
      <c r="A196">
        <v>1006651861</v>
      </c>
      <c r="B196" s="3" t="s">
        <v>688</v>
      </c>
      <c r="C196">
        <v>60</v>
      </c>
      <c r="D196" t="s">
        <v>27</v>
      </c>
      <c r="E196" t="s">
        <v>28</v>
      </c>
      <c r="F196" t="s">
        <v>28</v>
      </c>
      <c r="G196" t="s">
        <v>29</v>
      </c>
      <c r="H196">
        <v>5</v>
      </c>
      <c r="I196" t="s">
        <v>30</v>
      </c>
      <c r="J196" t="s">
        <v>689</v>
      </c>
      <c r="K196" t="s">
        <v>690</v>
      </c>
      <c r="L196" t="s">
        <v>691</v>
      </c>
      <c r="M196" s="4" t="s">
        <v>34</v>
      </c>
      <c r="N196" t="s">
        <v>140</v>
      </c>
      <c r="P196" s="3" t="s">
        <v>36</v>
      </c>
      <c r="Q196" s="3" t="s">
        <v>84</v>
      </c>
      <c r="R196">
        <v>1</v>
      </c>
      <c r="S196" s="5">
        <v>45758</v>
      </c>
      <c r="T196" t="s">
        <v>38</v>
      </c>
      <c r="U196">
        <f t="shared" ca="1" si="18"/>
        <v>23</v>
      </c>
      <c r="V196" s="6">
        <f t="shared" ca="1" si="19"/>
        <v>46025</v>
      </c>
      <c r="W196" s="6">
        <f t="shared" ca="1" si="20"/>
        <v>46031</v>
      </c>
      <c r="X196" t="str">
        <f t="shared" ca="1" si="21"/>
        <v>Jan 3 to Jan 9</v>
      </c>
      <c r="Y196" t="str">
        <f t="shared" ca="1" si="22"/>
        <v>⚪ SCHEDULED</v>
      </c>
      <c r="Z196" t="str">
        <f t="shared" ca="1" si="23"/>
        <v>No action needed yet</v>
      </c>
    </row>
    <row r="197" spans="1:26">
      <c r="A197">
        <v>1006656118</v>
      </c>
      <c r="B197" s="3" t="s">
        <v>692</v>
      </c>
      <c r="C197">
        <v>72</v>
      </c>
      <c r="D197" t="s">
        <v>27</v>
      </c>
      <c r="E197" t="s">
        <v>29</v>
      </c>
      <c r="F197" t="s">
        <v>29</v>
      </c>
      <c r="G197" t="s">
        <v>29</v>
      </c>
      <c r="H197">
        <v>8</v>
      </c>
      <c r="I197" t="s">
        <v>30</v>
      </c>
      <c r="J197" t="s">
        <v>693</v>
      </c>
      <c r="K197" t="s">
        <v>694</v>
      </c>
      <c r="L197" t="s">
        <v>186</v>
      </c>
      <c r="M197" s="4" t="s">
        <v>34</v>
      </c>
      <c r="N197" t="s">
        <v>44</v>
      </c>
      <c r="P197" s="3" t="s">
        <v>36</v>
      </c>
      <c r="Q197" s="3" t="s">
        <v>107</v>
      </c>
      <c r="R197">
        <v>2</v>
      </c>
      <c r="S197" s="5">
        <v>45821</v>
      </c>
      <c r="T197" t="s">
        <v>38</v>
      </c>
      <c r="U197">
        <f t="shared" ca="1" si="18"/>
        <v>26</v>
      </c>
      <c r="V197" s="6">
        <f t="shared" ca="1" si="19"/>
        <v>46028</v>
      </c>
      <c r="W197" s="6">
        <f t="shared" ca="1" si="20"/>
        <v>46034</v>
      </c>
      <c r="X197" t="str">
        <f t="shared" ca="1" si="21"/>
        <v>Jan 6 to Jan 12</v>
      </c>
      <c r="Y197" t="str">
        <f t="shared" ca="1" si="22"/>
        <v>⚪ SCHEDULED</v>
      </c>
      <c r="Z197" t="str">
        <f t="shared" ca="1" si="23"/>
        <v>No action needed yet</v>
      </c>
    </row>
    <row r="198" spans="1:26">
      <c r="A198">
        <v>1006692477</v>
      </c>
      <c r="B198" s="3" t="s">
        <v>695</v>
      </c>
      <c r="C198">
        <v>65</v>
      </c>
      <c r="D198" t="s">
        <v>27</v>
      </c>
      <c r="E198" t="s">
        <v>29</v>
      </c>
      <c r="F198" t="s">
        <v>29</v>
      </c>
      <c r="G198" t="s">
        <v>28</v>
      </c>
      <c r="H198">
        <v>5</v>
      </c>
      <c r="I198" t="s">
        <v>30</v>
      </c>
      <c r="J198" t="s">
        <v>696</v>
      </c>
      <c r="K198" t="s">
        <v>697</v>
      </c>
      <c r="L198" t="s">
        <v>50</v>
      </c>
      <c r="M198" s="4" t="s">
        <v>43</v>
      </c>
      <c r="N198" t="s">
        <v>119</v>
      </c>
      <c r="P198" s="3" t="s">
        <v>36</v>
      </c>
      <c r="Q198" s="3" t="s">
        <v>45</v>
      </c>
      <c r="R198">
        <v>2</v>
      </c>
      <c r="S198" s="5">
        <v>45877</v>
      </c>
      <c r="T198" t="s">
        <v>38</v>
      </c>
      <c r="U198">
        <f t="shared" ca="1" si="18"/>
        <v>22</v>
      </c>
      <c r="V198" s="6">
        <f t="shared" ca="1" si="19"/>
        <v>46024</v>
      </c>
      <c r="W198" s="6">
        <f t="shared" ca="1" si="20"/>
        <v>46030</v>
      </c>
      <c r="X198" t="str">
        <f t="shared" ca="1" si="21"/>
        <v>Jan 2 to Jan 8</v>
      </c>
      <c r="Y198" t="str">
        <f t="shared" ca="1" si="22"/>
        <v>⚪ SCHEDULED</v>
      </c>
      <c r="Z198" t="str">
        <f t="shared" ca="1" si="23"/>
        <v>No action needed yet</v>
      </c>
    </row>
    <row r="199" spans="1:26">
      <c r="A199">
        <v>1006692485</v>
      </c>
      <c r="B199" s="3" t="s">
        <v>698</v>
      </c>
      <c r="C199">
        <v>50</v>
      </c>
      <c r="D199" t="s">
        <v>47</v>
      </c>
      <c r="E199" t="s">
        <v>54</v>
      </c>
      <c r="F199" t="s">
        <v>54</v>
      </c>
      <c r="G199" t="s">
        <v>54</v>
      </c>
      <c r="H199">
        <v>2</v>
      </c>
      <c r="I199" t="s">
        <v>55</v>
      </c>
      <c r="J199" t="s">
        <v>699</v>
      </c>
      <c r="K199" t="s">
        <v>700</v>
      </c>
      <c r="L199" t="s">
        <v>170</v>
      </c>
      <c r="M199" s="4" t="s">
        <v>34</v>
      </c>
      <c r="N199" t="s">
        <v>59</v>
      </c>
      <c r="P199" s="3" t="s">
        <v>36</v>
      </c>
      <c r="Q199" t="s">
        <v>54</v>
      </c>
      <c r="R199">
        <v>2</v>
      </c>
      <c r="S199" s="5">
        <v>45844</v>
      </c>
      <c r="T199" t="s">
        <v>60</v>
      </c>
      <c r="U199">
        <f t="shared" ca="1" si="18"/>
        <v>19</v>
      </c>
      <c r="V199" s="6">
        <f t="shared" ca="1" si="19"/>
        <v>46021</v>
      </c>
      <c r="W199" s="6">
        <f t="shared" ca="1" si="20"/>
        <v>46027</v>
      </c>
      <c r="X199" t="str">
        <f t="shared" ca="1" si="21"/>
        <v>Dec 30 to Jan 5</v>
      </c>
      <c r="Y199" t="str">
        <f t="shared" ca="1" si="22"/>
        <v>⚪ SCHEDULED</v>
      </c>
      <c r="Z199" t="str">
        <f t="shared" ca="1" si="23"/>
        <v>No action needed yet</v>
      </c>
    </row>
    <row r="200" spans="1:26">
      <c r="A200">
        <v>1006739203</v>
      </c>
      <c r="B200" s="3" t="s">
        <v>701</v>
      </c>
      <c r="C200">
        <v>55</v>
      </c>
      <c r="D200" t="s">
        <v>47</v>
      </c>
      <c r="E200" t="s">
        <v>28</v>
      </c>
      <c r="F200" t="s">
        <v>28</v>
      </c>
      <c r="G200" t="s">
        <v>28</v>
      </c>
      <c r="H200">
        <v>2</v>
      </c>
      <c r="I200" t="s">
        <v>55</v>
      </c>
      <c r="J200" t="s">
        <v>702</v>
      </c>
      <c r="K200" t="s">
        <v>703</v>
      </c>
      <c r="L200" t="s">
        <v>170</v>
      </c>
      <c r="M200" s="4" t="s">
        <v>43</v>
      </c>
      <c r="N200" t="s">
        <v>59</v>
      </c>
      <c r="P200" s="3" t="s">
        <v>36</v>
      </c>
      <c r="Q200" s="3" t="s">
        <v>704</v>
      </c>
      <c r="R200">
        <v>1</v>
      </c>
      <c r="S200" s="5">
        <v>45935</v>
      </c>
      <c r="T200" t="s">
        <v>60</v>
      </c>
      <c r="U200">
        <f t="shared" ca="1" si="18"/>
        <v>50</v>
      </c>
      <c r="V200" s="6">
        <f t="shared" ca="1" si="19"/>
        <v>46052</v>
      </c>
      <c r="W200" s="6">
        <f t="shared" ca="1" si="20"/>
        <v>46058</v>
      </c>
      <c r="X200" t="str">
        <f t="shared" ca="1" si="21"/>
        <v>Jan 30 to Feb 5</v>
      </c>
      <c r="Y200" t="str">
        <f t="shared" ca="1" si="22"/>
        <v>⚪ SCHEDULED</v>
      </c>
      <c r="Z200" t="str">
        <f t="shared" ca="1" si="23"/>
        <v>No action needed yet</v>
      </c>
    </row>
    <row r="201" spans="1:26">
      <c r="A201">
        <v>1006751703</v>
      </c>
      <c r="B201" s="3" t="s">
        <v>705</v>
      </c>
      <c r="C201">
        <v>55</v>
      </c>
      <c r="D201" t="s">
        <v>47</v>
      </c>
      <c r="E201" t="s">
        <v>29</v>
      </c>
      <c r="F201" t="s">
        <v>28</v>
      </c>
      <c r="G201" t="s">
        <v>29</v>
      </c>
      <c r="H201">
        <v>4</v>
      </c>
      <c r="I201" t="s">
        <v>66</v>
      </c>
      <c r="J201" t="s">
        <v>706</v>
      </c>
      <c r="K201" t="s">
        <v>707</v>
      </c>
      <c r="L201" t="s">
        <v>269</v>
      </c>
      <c r="M201" s="4" t="s">
        <v>34</v>
      </c>
      <c r="N201" t="s">
        <v>51</v>
      </c>
      <c r="P201" s="3" t="s">
        <v>36</v>
      </c>
      <c r="Q201" s="3" t="s">
        <v>107</v>
      </c>
      <c r="R201">
        <v>2</v>
      </c>
      <c r="S201" s="5">
        <v>45786</v>
      </c>
      <c r="T201" t="s">
        <v>38</v>
      </c>
      <c r="U201">
        <f t="shared" ca="1" si="18"/>
        <v>21</v>
      </c>
      <c r="V201" s="6">
        <f t="shared" ca="1" si="19"/>
        <v>46023</v>
      </c>
      <c r="W201" s="6">
        <f t="shared" ca="1" si="20"/>
        <v>46029</v>
      </c>
      <c r="X201" t="str">
        <f t="shared" ca="1" si="21"/>
        <v>Jan 1 to Jan 7</v>
      </c>
      <c r="Y201" t="str">
        <f t="shared" ca="1" si="22"/>
        <v>⚪ SCHEDULED</v>
      </c>
      <c r="Z201" t="str">
        <f t="shared" ca="1" si="23"/>
        <v>No action needed yet</v>
      </c>
    </row>
    <row r="202" spans="1:26">
      <c r="A202">
        <v>1006768665</v>
      </c>
      <c r="B202" s="3" t="s">
        <v>708</v>
      </c>
      <c r="C202">
        <v>46</v>
      </c>
      <c r="D202" t="s">
        <v>27</v>
      </c>
      <c r="E202" t="s">
        <v>28</v>
      </c>
      <c r="F202" t="s">
        <v>29</v>
      </c>
      <c r="G202" t="s">
        <v>28</v>
      </c>
      <c r="H202">
        <v>2</v>
      </c>
      <c r="I202" t="s">
        <v>55</v>
      </c>
      <c r="J202" t="s">
        <v>125</v>
      </c>
      <c r="K202" t="s">
        <v>709</v>
      </c>
      <c r="L202" t="s">
        <v>69</v>
      </c>
      <c r="M202" s="4" t="s">
        <v>34</v>
      </c>
      <c r="N202" t="s">
        <v>70</v>
      </c>
      <c r="P202" s="3" t="s">
        <v>36</v>
      </c>
      <c r="Q202" s="3" t="s">
        <v>45</v>
      </c>
      <c r="R202">
        <v>2</v>
      </c>
      <c r="S202" s="5">
        <v>45733</v>
      </c>
      <c r="T202" t="s">
        <v>60</v>
      </c>
      <c r="U202">
        <f t="shared" ca="1" si="18"/>
        <v>28</v>
      </c>
      <c r="V202" s="6">
        <f t="shared" ca="1" si="19"/>
        <v>46030</v>
      </c>
      <c r="W202" s="6">
        <f t="shared" ca="1" si="20"/>
        <v>46036</v>
      </c>
      <c r="X202" t="str">
        <f t="shared" ca="1" si="21"/>
        <v>Jan 8 to Jan 14</v>
      </c>
      <c r="Y202" t="str">
        <f t="shared" ca="1" si="22"/>
        <v>⚪ SCHEDULED</v>
      </c>
      <c r="Z202" t="str">
        <f t="shared" ca="1" si="23"/>
        <v>No action needed yet</v>
      </c>
    </row>
    <row r="203" spans="1:26">
      <c r="A203">
        <v>1006833139</v>
      </c>
      <c r="B203" s="3" t="s">
        <v>710</v>
      </c>
      <c r="C203">
        <v>58</v>
      </c>
      <c r="D203" t="s">
        <v>47</v>
      </c>
      <c r="E203" t="s">
        <v>29</v>
      </c>
      <c r="F203" t="s">
        <v>29</v>
      </c>
      <c r="G203" t="s">
        <v>29</v>
      </c>
      <c r="H203">
        <v>5</v>
      </c>
      <c r="I203" t="s">
        <v>30</v>
      </c>
      <c r="J203" t="s">
        <v>711</v>
      </c>
      <c r="K203" t="s">
        <v>712</v>
      </c>
      <c r="L203" t="s">
        <v>33</v>
      </c>
      <c r="M203" s="4" t="s">
        <v>43</v>
      </c>
      <c r="N203" t="s">
        <v>44</v>
      </c>
      <c r="P203" s="3" t="s">
        <v>36</v>
      </c>
      <c r="Q203" s="3" t="s">
        <v>123</v>
      </c>
      <c r="R203">
        <v>2</v>
      </c>
      <c r="S203" s="5">
        <v>45875</v>
      </c>
      <c r="T203" t="s">
        <v>38</v>
      </c>
      <c r="U203">
        <f t="shared" ca="1" si="18"/>
        <v>20</v>
      </c>
      <c r="V203" s="6">
        <f t="shared" ca="1" si="19"/>
        <v>46022</v>
      </c>
      <c r="W203" s="6">
        <f t="shared" ca="1" si="20"/>
        <v>46028</v>
      </c>
      <c r="X203" t="str">
        <f t="shared" ca="1" si="21"/>
        <v>Dec 31 to Jan 6</v>
      </c>
      <c r="Y203" t="str">
        <f t="shared" ca="1" si="22"/>
        <v>⚪ SCHEDULED</v>
      </c>
      <c r="Z203" t="str">
        <f t="shared" ca="1" si="23"/>
        <v>No action needed yet</v>
      </c>
    </row>
    <row r="204" spans="1:26">
      <c r="A204">
        <v>1006892788</v>
      </c>
      <c r="B204" s="3" t="s">
        <v>713</v>
      </c>
      <c r="C204">
        <v>59</v>
      </c>
      <c r="D204" t="s">
        <v>27</v>
      </c>
      <c r="E204" t="s">
        <v>29</v>
      </c>
      <c r="F204" t="s">
        <v>29</v>
      </c>
      <c r="G204" t="s">
        <v>29</v>
      </c>
      <c r="H204">
        <v>5</v>
      </c>
      <c r="I204" t="s">
        <v>30</v>
      </c>
      <c r="J204" t="s">
        <v>714</v>
      </c>
      <c r="K204" t="s">
        <v>715</v>
      </c>
      <c r="M204" s="4" t="s">
        <v>43</v>
      </c>
      <c r="N204" t="s">
        <v>44</v>
      </c>
      <c r="P204" s="3" t="s">
        <v>36</v>
      </c>
      <c r="Q204" s="3" t="s">
        <v>107</v>
      </c>
      <c r="R204">
        <v>1</v>
      </c>
      <c r="S204" s="5">
        <v>45876</v>
      </c>
      <c r="T204" t="s">
        <v>38</v>
      </c>
      <c r="U204">
        <f t="shared" ca="1" si="18"/>
        <v>21</v>
      </c>
      <c r="V204" s="6">
        <f t="shared" ca="1" si="19"/>
        <v>46023</v>
      </c>
      <c r="W204" s="6">
        <f t="shared" ca="1" si="20"/>
        <v>46029</v>
      </c>
      <c r="X204" t="str">
        <f t="shared" ca="1" si="21"/>
        <v>Jan 1 to Jan 7</v>
      </c>
      <c r="Y204" t="str">
        <f t="shared" ca="1" si="22"/>
        <v>⚪ SCHEDULED</v>
      </c>
      <c r="Z204" t="str">
        <f t="shared" ca="1" si="23"/>
        <v>No action needed yet</v>
      </c>
    </row>
    <row r="205" spans="1:26">
      <c r="A205">
        <v>1006892846</v>
      </c>
      <c r="B205" s="3" t="s">
        <v>716</v>
      </c>
      <c r="C205">
        <v>43</v>
      </c>
      <c r="D205" t="s">
        <v>47</v>
      </c>
      <c r="E205" t="s">
        <v>28</v>
      </c>
      <c r="F205" t="s">
        <v>29</v>
      </c>
      <c r="G205" t="s">
        <v>29</v>
      </c>
      <c r="H205">
        <v>3</v>
      </c>
      <c r="I205" t="s">
        <v>66</v>
      </c>
      <c r="J205" t="s">
        <v>717</v>
      </c>
      <c r="K205" t="s">
        <v>718</v>
      </c>
      <c r="M205" s="4" t="s">
        <v>43</v>
      </c>
      <c r="N205" t="s">
        <v>35</v>
      </c>
      <c r="P205" s="3" t="s">
        <v>36</v>
      </c>
      <c r="Q205" s="3" t="s">
        <v>719</v>
      </c>
      <c r="R205">
        <v>1</v>
      </c>
      <c r="S205" s="5">
        <v>45919</v>
      </c>
      <c r="T205" t="s">
        <v>38</v>
      </c>
      <c r="U205">
        <f t="shared" ca="1" si="18"/>
        <v>4</v>
      </c>
      <c r="V205" s="6">
        <f t="shared" ca="1" si="19"/>
        <v>46006</v>
      </c>
      <c r="W205" s="6">
        <f t="shared" ca="1" si="20"/>
        <v>46012</v>
      </c>
      <c r="X205" t="str">
        <f t="shared" ca="1" si="21"/>
        <v>Dec 15 to Dec 21</v>
      </c>
      <c r="Y205" t="str">
        <f t="shared" ca="1" si="22"/>
        <v>🟢 THIS WEEK</v>
      </c>
      <c r="Z205" t="str">
        <f t="shared" ca="1" si="23"/>
        <v>Confirm appointment</v>
      </c>
    </row>
    <row r="206" spans="1:26">
      <c r="A206">
        <v>1006973596</v>
      </c>
      <c r="B206" s="3" t="s">
        <v>720</v>
      </c>
      <c r="C206">
        <v>69</v>
      </c>
      <c r="D206" t="s">
        <v>47</v>
      </c>
      <c r="E206" t="s">
        <v>29</v>
      </c>
      <c r="F206" t="s">
        <v>29</v>
      </c>
      <c r="G206" t="s">
        <v>28</v>
      </c>
      <c r="H206">
        <v>5</v>
      </c>
      <c r="I206" t="s">
        <v>30</v>
      </c>
      <c r="J206" t="s">
        <v>721</v>
      </c>
      <c r="K206" t="s">
        <v>722</v>
      </c>
      <c r="L206" t="s">
        <v>105</v>
      </c>
      <c r="M206" s="4" t="s">
        <v>34</v>
      </c>
      <c r="N206" t="s">
        <v>106</v>
      </c>
      <c r="P206" s="3" t="s">
        <v>36</v>
      </c>
      <c r="Q206" s="3" t="s">
        <v>77</v>
      </c>
      <c r="R206">
        <v>1</v>
      </c>
      <c r="S206" s="5">
        <v>45329</v>
      </c>
      <c r="T206" t="s">
        <v>38</v>
      </c>
      <c r="U206">
        <f t="shared" ca="1" si="18"/>
        <v>14</v>
      </c>
      <c r="V206" s="6">
        <f t="shared" ca="1" si="19"/>
        <v>46016</v>
      </c>
      <c r="W206" s="6">
        <f t="shared" ca="1" si="20"/>
        <v>46022</v>
      </c>
      <c r="X206" t="str">
        <f t="shared" ca="1" si="21"/>
        <v>Dec 25 to Dec 31</v>
      </c>
      <c r="Y206" t="str">
        <f t="shared" ca="1" si="22"/>
        <v>🔵 NEXT 2 WEEKS</v>
      </c>
      <c r="Z206" t="str">
        <f t="shared" ca="1" si="23"/>
        <v>Send reminder SMS</v>
      </c>
    </row>
    <row r="207" spans="1:26">
      <c r="A207">
        <v>1007010307</v>
      </c>
      <c r="B207" s="3" t="s">
        <v>723</v>
      </c>
      <c r="C207">
        <v>72</v>
      </c>
      <c r="D207" t="s">
        <v>47</v>
      </c>
      <c r="E207" t="s">
        <v>28</v>
      </c>
      <c r="F207" t="s">
        <v>29</v>
      </c>
      <c r="G207" t="s">
        <v>28</v>
      </c>
      <c r="H207">
        <v>6</v>
      </c>
      <c r="I207" t="s">
        <v>30</v>
      </c>
      <c r="J207" t="s">
        <v>724</v>
      </c>
      <c r="K207" t="s">
        <v>725</v>
      </c>
      <c r="L207" t="s">
        <v>428</v>
      </c>
      <c r="M207" s="4" t="s">
        <v>94</v>
      </c>
      <c r="N207" t="s">
        <v>70</v>
      </c>
      <c r="P207" s="3" t="s">
        <v>36</v>
      </c>
      <c r="Q207" s="3" t="s">
        <v>84</v>
      </c>
      <c r="R207">
        <v>1</v>
      </c>
      <c r="S207" s="5">
        <v>45958</v>
      </c>
      <c r="T207" t="s">
        <v>38</v>
      </c>
      <c r="U207">
        <f t="shared" ca="1" si="18"/>
        <v>13</v>
      </c>
      <c r="V207" s="6">
        <f t="shared" ca="1" si="19"/>
        <v>46015</v>
      </c>
      <c r="W207" s="6">
        <f t="shared" ca="1" si="20"/>
        <v>46021</v>
      </c>
      <c r="X207" t="str">
        <f t="shared" ca="1" si="21"/>
        <v>Dec 24 to Dec 30</v>
      </c>
      <c r="Y207" t="str">
        <f t="shared" ca="1" si="22"/>
        <v>🔵 NEXT 2 WEEKS</v>
      </c>
      <c r="Z207" t="str">
        <f t="shared" ca="1" si="23"/>
        <v>Send reminder SMS</v>
      </c>
    </row>
    <row r="208" spans="1:26">
      <c r="A208">
        <v>1007046848</v>
      </c>
      <c r="B208" s="3" t="s">
        <v>726</v>
      </c>
      <c r="C208">
        <v>54</v>
      </c>
      <c r="D208" t="s">
        <v>47</v>
      </c>
      <c r="E208" t="s">
        <v>29</v>
      </c>
      <c r="F208" t="s">
        <v>29</v>
      </c>
      <c r="G208" t="s">
        <v>28</v>
      </c>
      <c r="H208">
        <v>5</v>
      </c>
      <c r="I208" t="s">
        <v>30</v>
      </c>
      <c r="J208" t="s">
        <v>109</v>
      </c>
      <c r="K208" t="s">
        <v>727</v>
      </c>
      <c r="M208" s="4" t="s">
        <v>34</v>
      </c>
      <c r="N208" t="s">
        <v>144</v>
      </c>
      <c r="P208" s="3" t="s">
        <v>36</v>
      </c>
      <c r="Q208" s="3" t="s">
        <v>309</v>
      </c>
      <c r="R208">
        <v>1</v>
      </c>
      <c r="S208" s="5">
        <v>45731</v>
      </c>
      <c r="T208" t="s">
        <v>38</v>
      </c>
      <c r="U208">
        <f t="shared" ca="1" si="18"/>
        <v>26</v>
      </c>
      <c r="V208" s="6">
        <f t="shared" ca="1" si="19"/>
        <v>46028</v>
      </c>
      <c r="W208" s="6">
        <f t="shared" ca="1" si="20"/>
        <v>46034</v>
      </c>
      <c r="X208" t="str">
        <f t="shared" ca="1" si="21"/>
        <v>Jan 6 to Jan 12</v>
      </c>
      <c r="Y208" t="str">
        <f t="shared" ca="1" si="22"/>
        <v>⚪ SCHEDULED</v>
      </c>
      <c r="Z208" t="str">
        <f t="shared" ca="1" si="23"/>
        <v>No action needed yet</v>
      </c>
    </row>
    <row r="209" spans="1:26">
      <c r="A209">
        <v>1007085507</v>
      </c>
      <c r="B209" s="3" t="s">
        <v>728</v>
      </c>
      <c r="C209">
        <v>53</v>
      </c>
      <c r="D209" t="s">
        <v>47</v>
      </c>
      <c r="E209" t="s">
        <v>29</v>
      </c>
      <c r="F209" t="s">
        <v>28</v>
      </c>
      <c r="G209" t="s">
        <v>28</v>
      </c>
      <c r="H209">
        <v>3</v>
      </c>
      <c r="I209" t="s">
        <v>66</v>
      </c>
      <c r="J209" t="s">
        <v>729</v>
      </c>
      <c r="K209" t="s">
        <v>730</v>
      </c>
      <c r="L209" t="s">
        <v>170</v>
      </c>
      <c r="M209" s="4" t="s">
        <v>34</v>
      </c>
      <c r="N209" t="s">
        <v>162</v>
      </c>
      <c r="P209" s="3" t="s">
        <v>36</v>
      </c>
      <c r="Q209" s="3" t="s">
        <v>90</v>
      </c>
      <c r="R209">
        <v>2</v>
      </c>
      <c r="S209" s="5">
        <v>45721</v>
      </c>
      <c r="T209" t="s">
        <v>38</v>
      </c>
      <c r="U209">
        <f t="shared" ca="1" si="18"/>
        <v>16</v>
      </c>
      <c r="V209" s="6">
        <f t="shared" ca="1" si="19"/>
        <v>46018</v>
      </c>
      <c r="W209" s="6">
        <f t="shared" ca="1" si="20"/>
        <v>46024</v>
      </c>
      <c r="X209" t="str">
        <f t="shared" ca="1" si="21"/>
        <v>Dec 27 to Jan 2</v>
      </c>
      <c r="Y209" t="str">
        <f t="shared" ca="1" si="22"/>
        <v>⚪ SCHEDULED</v>
      </c>
      <c r="Z209" t="str">
        <f t="shared" ca="1" si="23"/>
        <v>No action needed yet</v>
      </c>
    </row>
    <row r="210" spans="1:26">
      <c r="A210">
        <v>1007146093</v>
      </c>
      <c r="B210" s="3" t="s">
        <v>731</v>
      </c>
      <c r="C210">
        <v>55</v>
      </c>
      <c r="D210" t="s">
        <v>47</v>
      </c>
      <c r="E210" t="s">
        <v>29</v>
      </c>
      <c r="F210" t="s">
        <v>29</v>
      </c>
      <c r="G210" t="s">
        <v>28</v>
      </c>
      <c r="H210">
        <v>5</v>
      </c>
      <c r="I210" t="s">
        <v>30</v>
      </c>
      <c r="J210" t="s">
        <v>732</v>
      </c>
      <c r="K210" t="s">
        <v>733</v>
      </c>
      <c r="M210" s="4" t="s">
        <v>34</v>
      </c>
      <c r="N210" t="s">
        <v>144</v>
      </c>
      <c r="P210" s="3" t="s">
        <v>36</v>
      </c>
      <c r="Q210" s="3" t="s">
        <v>84</v>
      </c>
      <c r="R210">
        <v>1</v>
      </c>
      <c r="S210" s="5">
        <v>45785</v>
      </c>
      <c r="T210" t="s">
        <v>38</v>
      </c>
      <c r="U210">
        <f t="shared" ca="1" si="18"/>
        <v>20</v>
      </c>
      <c r="V210" s="6">
        <f t="shared" ca="1" si="19"/>
        <v>46022</v>
      </c>
      <c r="W210" s="6">
        <f t="shared" ca="1" si="20"/>
        <v>46028</v>
      </c>
      <c r="X210" t="str">
        <f t="shared" ca="1" si="21"/>
        <v>Dec 31 to Jan 6</v>
      </c>
      <c r="Y210" t="str">
        <f t="shared" ca="1" si="22"/>
        <v>⚪ SCHEDULED</v>
      </c>
      <c r="Z210" t="str">
        <f t="shared" ca="1" si="23"/>
        <v>No action needed yet</v>
      </c>
    </row>
    <row r="211" spans="1:26">
      <c r="A211">
        <v>1007146101</v>
      </c>
      <c r="B211" s="3" t="s">
        <v>734</v>
      </c>
      <c r="C211">
        <v>52</v>
      </c>
      <c r="D211" t="s">
        <v>47</v>
      </c>
      <c r="E211" t="s">
        <v>28</v>
      </c>
      <c r="F211" t="s">
        <v>29</v>
      </c>
      <c r="G211" t="s">
        <v>28</v>
      </c>
      <c r="H211">
        <v>4</v>
      </c>
      <c r="I211" t="s">
        <v>66</v>
      </c>
      <c r="J211" t="s">
        <v>735</v>
      </c>
      <c r="K211" t="s">
        <v>736</v>
      </c>
      <c r="L211" t="s">
        <v>69</v>
      </c>
      <c r="M211" s="4" t="s">
        <v>43</v>
      </c>
      <c r="N211" t="s">
        <v>70</v>
      </c>
      <c r="P211" s="3" t="s">
        <v>36</v>
      </c>
      <c r="Q211" s="3" t="s">
        <v>107</v>
      </c>
      <c r="R211">
        <v>1</v>
      </c>
      <c r="S211" s="5">
        <v>45906</v>
      </c>
      <c r="T211" t="s">
        <v>38</v>
      </c>
      <c r="U211">
        <f t="shared" ca="1" si="18"/>
        <v>21</v>
      </c>
      <c r="V211" s="6">
        <f t="shared" ca="1" si="19"/>
        <v>46023</v>
      </c>
      <c r="W211" s="6">
        <f t="shared" ca="1" si="20"/>
        <v>46029</v>
      </c>
      <c r="X211" t="str">
        <f t="shared" ca="1" si="21"/>
        <v>Jan 1 to Jan 7</v>
      </c>
      <c r="Y211" t="str">
        <f t="shared" ca="1" si="22"/>
        <v>⚪ SCHEDULED</v>
      </c>
      <c r="Z211" t="str">
        <f t="shared" ca="1" si="23"/>
        <v>No action needed yet</v>
      </c>
    </row>
    <row r="212" spans="1:26">
      <c r="A212">
        <v>1007163064</v>
      </c>
      <c r="B212" s="3" t="s">
        <v>737</v>
      </c>
      <c r="C212">
        <v>68</v>
      </c>
      <c r="D212" t="s">
        <v>47</v>
      </c>
      <c r="E212" t="s">
        <v>28</v>
      </c>
      <c r="F212" t="s">
        <v>29</v>
      </c>
      <c r="G212" t="s">
        <v>28</v>
      </c>
      <c r="H212">
        <v>4</v>
      </c>
      <c r="I212" t="s">
        <v>66</v>
      </c>
      <c r="J212" t="s">
        <v>109</v>
      </c>
      <c r="K212" t="s">
        <v>738</v>
      </c>
      <c r="M212" s="4" t="s">
        <v>94</v>
      </c>
      <c r="N212" t="s">
        <v>64</v>
      </c>
      <c r="P212" s="3" t="s">
        <v>36</v>
      </c>
      <c r="Q212" s="3" t="s">
        <v>84</v>
      </c>
      <c r="R212">
        <v>2</v>
      </c>
      <c r="S212" s="5">
        <v>45941</v>
      </c>
      <c r="T212" t="s">
        <v>38</v>
      </c>
      <c r="U212">
        <f t="shared" ca="1" si="18"/>
        <v>26</v>
      </c>
      <c r="V212" s="6">
        <f t="shared" ca="1" si="19"/>
        <v>46028</v>
      </c>
      <c r="W212" s="6">
        <f t="shared" ca="1" si="20"/>
        <v>46034</v>
      </c>
      <c r="X212" t="str">
        <f t="shared" ca="1" si="21"/>
        <v>Jan 6 to Jan 12</v>
      </c>
      <c r="Y212" t="str">
        <f t="shared" ca="1" si="22"/>
        <v>⚪ SCHEDULED</v>
      </c>
      <c r="Z212" t="str">
        <f t="shared" ca="1" si="23"/>
        <v>No action needed yet</v>
      </c>
    </row>
    <row r="213" spans="1:26">
      <c r="A213">
        <v>1007284456</v>
      </c>
      <c r="B213" s="3" t="s">
        <v>739</v>
      </c>
      <c r="C213">
        <v>66</v>
      </c>
      <c r="D213" t="s">
        <v>27</v>
      </c>
      <c r="E213" t="s">
        <v>29</v>
      </c>
      <c r="F213" t="s">
        <v>29</v>
      </c>
      <c r="G213" t="s">
        <v>29</v>
      </c>
      <c r="H213">
        <v>6</v>
      </c>
      <c r="I213" t="s">
        <v>30</v>
      </c>
      <c r="J213" t="s">
        <v>146</v>
      </c>
      <c r="K213" t="s">
        <v>740</v>
      </c>
      <c r="M213" s="4" t="s">
        <v>34</v>
      </c>
      <c r="N213" t="s">
        <v>44</v>
      </c>
      <c r="P213" s="3" t="s">
        <v>36</v>
      </c>
      <c r="Q213" t="s">
        <v>54</v>
      </c>
      <c r="R213">
        <v>2</v>
      </c>
      <c r="S213" s="5">
        <v>45582</v>
      </c>
      <c r="T213" t="s">
        <v>38</v>
      </c>
      <c r="U213">
        <f t="shared" ca="1" si="18"/>
        <v>27</v>
      </c>
      <c r="V213" s="6">
        <f t="shared" ca="1" si="19"/>
        <v>46029</v>
      </c>
      <c r="W213" s="6">
        <f t="shared" ca="1" si="20"/>
        <v>46035</v>
      </c>
      <c r="X213" t="str">
        <f t="shared" ca="1" si="21"/>
        <v>Jan 7 to Jan 13</v>
      </c>
      <c r="Y213" t="str">
        <f t="shared" ca="1" si="22"/>
        <v>⚪ SCHEDULED</v>
      </c>
      <c r="Z213" t="str">
        <f t="shared" ca="1" si="23"/>
        <v>No action needed yet</v>
      </c>
    </row>
    <row r="214" spans="1:26">
      <c r="A214">
        <v>1007317215</v>
      </c>
      <c r="B214" s="3" t="s">
        <v>741</v>
      </c>
      <c r="C214">
        <v>51</v>
      </c>
      <c r="D214" t="s">
        <v>27</v>
      </c>
      <c r="E214" t="s">
        <v>28</v>
      </c>
      <c r="F214" t="s">
        <v>29</v>
      </c>
      <c r="G214" t="s">
        <v>28</v>
      </c>
      <c r="H214">
        <v>3</v>
      </c>
      <c r="I214" t="s">
        <v>66</v>
      </c>
      <c r="J214" t="s">
        <v>742</v>
      </c>
      <c r="K214" t="s">
        <v>743</v>
      </c>
      <c r="L214" t="s">
        <v>744</v>
      </c>
      <c r="M214" s="4" t="s">
        <v>43</v>
      </c>
      <c r="N214" t="s">
        <v>70</v>
      </c>
      <c r="P214" s="3" t="s">
        <v>36</v>
      </c>
      <c r="Q214" s="3" t="s">
        <v>365</v>
      </c>
      <c r="R214">
        <v>2</v>
      </c>
      <c r="S214" s="5">
        <v>45926</v>
      </c>
      <c r="T214" t="s">
        <v>38</v>
      </c>
      <c r="U214">
        <f t="shared" ca="1" si="18"/>
        <v>11</v>
      </c>
      <c r="V214" s="6">
        <f t="shared" ca="1" si="19"/>
        <v>46013</v>
      </c>
      <c r="W214" s="6">
        <f t="shared" ca="1" si="20"/>
        <v>46019</v>
      </c>
      <c r="X214" t="str">
        <f t="shared" ca="1" si="21"/>
        <v>Dec 22 to Dec 28</v>
      </c>
      <c r="Y214" t="str">
        <f t="shared" ca="1" si="22"/>
        <v>🔵 NEXT 2 WEEKS</v>
      </c>
      <c r="Z214" t="str">
        <f t="shared" ca="1" si="23"/>
        <v>Send reminder SMS</v>
      </c>
    </row>
    <row r="215" spans="1:26">
      <c r="A215">
        <v>1007352071</v>
      </c>
      <c r="B215" s="3" t="s">
        <v>745</v>
      </c>
      <c r="C215">
        <v>63</v>
      </c>
      <c r="D215" t="s">
        <v>47</v>
      </c>
      <c r="E215" t="s">
        <v>29</v>
      </c>
      <c r="F215" t="s">
        <v>28</v>
      </c>
      <c r="G215" t="s">
        <v>28</v>
      </c>
      <c r="H215">
        <v>5</v>
      </c>
      <c r="I215" t="s">
        <v>30</v>
      </c>
      <c r="J215" t="s">
        <v>746</v>
      </c>
      <c r="K215" t="s">
        <v>747</v>
      </c>
      <c r="L215" t="s">
        <v>234</v>
      </c>
      <c r="M215" s="4" t="s">
        <v>43</v>
      </c>
      <c r="N215" t="s">
        <v>162</v>
      </c>
      <c r="P215" s="3" t="s">
        <v>36</v>
      </c>
      <c r="Q215" s="3" t="s">
        <v>45</v>
      </c>
      <c r="R215">
        <v>2</v>
      </c>
      <c r="S215" s="5">
        <v>45906</v>
      </c>
      <c r="T215" t="s">
        <v>38</v>
      </c>
      <c r="U215">
        <f t="shared" ca="1" si="18"/>
        <v>21</v>
      </c>
      <c r="V215" s="6">
        <f t="shared" ca="1" si="19"/>
        <v>46023</v>
      </c>
      <c r="W215" s="6">
        <f t="shared" ca="1" si="20"/>
        <v>46029</v>
      </c>
      <c r="X215" t="str">
        <f t="shared" ca="1" si="21"/>
        <v>Jan 1 to Jan 7</v>
      </c>
      <c r="Y215" t="str">
        <f t="shared" ca="1" si="22"/>
        <v>⚪ SCHEDULED</v>
      </c>
      <c r="Z215" t="str">
        <f t="shared" ca="1" si="23"/>
        <v>No action needed yet</v>
      </c>
    </row>
    <row r="216" spans="1:26">
      <c r="A216">
        <v>1007352097</v>
      </c>
      <c r="B216" s="3" t="s">
        <v>748</v>
      </c>
      <c r="C216">
        <v>41</v>
      </c>
      <c r="D216" t="s">
        <v>47</v>
      </c>
      <c r="E216" t="s">
        <v>54</v>
      </c>
      <c r="F216" t="s">
        <v>54</v>
      </c>
      <c r="G216" t="s">
        <v>54</v>
      </c>
      <c r="H216">
        <v>1</v>
      </c>
      <c r="I216" t="s">
        <v>55</v>
      </c>
      <c r="J216" t="s">
        <v>253</v>
      </c>
      <c r="K216" t="s">
        <v>749</v>
      </c>
      <c r="L216" t="s">
        <v>33</v>
      </c>
      <c r="M216" s="4" t="s">
        <v>43</v>
      </c>
      <c r="N216" t="s">
        <v>59</v>
      </c>
      <c r="P216" s="3" t="s">
        <v>36</v>
      </c>
      <c r="Q216" s="3" t="s">
        <v>84</v>
      </c>
      <c r="R216">
        <v>1</v>
      </c>
      <c r="S216" s="5">
        <v>45929</v>
      </c>
      <c r="T216" t="s">
        <v>393</v>
      </c>
      <c r="U216">
        <f t="shared" ca="1" si="18"/>
        <v>14</v>
      </c>
      <c r="V216" s="6">
        <f t="shared" ca="1" si="19"/>
        <v>46016</v>
      </c>
      <c r="W216" s="6">
        <f t="shared" ca="1" si="20"/>
        <v>46022</v>
      </c>
      <c r="X216" t="str">
        <f t="shared" ca="1" si="21"/>
        <v>Dec 25 to Dec 31</v>
      </c>
      <c r="Y216" t="str">
        <f t="shared" ca="1" si="22"/>
        <v>🔵 NEXT 2 WEEKS</v>
      </c>
      <c r="Z216" t="str">
        <f t="shared" ca="1" si="23"/>
        <v>Send reminder SMS</v>
      </c>
    </row>
    <row r="217" spans="1:26">
      <c r="A217">
        <v>1007402926</v>
      </c>
      <c r="B217" s="3" t="s">
        <v>750</v>
      </c>
      <c r="C217">
        <v>60</v>
      </c>
      <c r="D217" t="s">
        <v>47</v>
      </c>
      <c r="E217" t="s">
        <v>28</v>
      </c>
      <c r="F217" t="s">
        <v>29</v>
      </c>
      <c r="G217" t="s">
        <v>29</v>
      </c>
      <c r="H217">
        <v>5</v>
      </c>
      <c r="I217" t="s">
        <v>30</v>
      </c>
      <c r="J217" t="s">
        <v>751</v>
      </c>
      <c r="K217" t="s">
        <v>752</v>
      </c>
      <c r="L217" t="s">
        <v>586</v>
      </c>
      <c r="M217" s="4" t="s">
        <v>43</v>
      </c>
      <c r="N217" t="s">
        <v>333</v>
      </c>
      <c r="P217" s="3" t="s">
        <v>36</v>
      </c>
      <c r="Q217" s="3" t="s">
        <v>753</v>
      </c>
      <c r="R217">
        <v>1</v>
      </c>
      <c r="S217" s="5">
        <v>45881</v>
      </c>
      <c r="T217" t="s">
        <v>38</v>
      </c>
      <c r="U217">
        <f t="shared" ca="1" si="18"/>
        <v>26</v>
      </c>
      <c r="V217" s="6">
        <f t="shared" ca="1" si="19"/>
        <v>46028</v>
      </c>
      <c r="W217" s="6">
        <f t="shared" ca="1" si="20"/>
        <v>46034</v>
      </c>
      <c r="X217" t="str">
        <f t="shared" ca="1" si="21"/>
        <v>Jan 6 to Jan 12</v>
      </c>
      <c r="Y217" t="str">
        <f t="shared" ca="1" si="22"/>
        <v>⚪ SCHEDULED</v>
      </c>
      <c r="Z217" t="str">
        <f t="shared" ca="1" si="23"/>
        <v>No action needed yet</v>
      </c>
    </row>
    <row r="218" spans="1:26">
      <c r="A218">
        <v>1007409616</v>
      </c>
      <c r="B218" s="3" t="s">
        <v>754</v>
      </c>
      <c r="C218">
        <v>61</v>
      </c>
      <c r="D218" t="s">
        <v>27</v>
      </c>
      <c r="E218" t="s">
        <v>29</v>
      </c>
      <c r="F218" t="s">
        <v>28</v>
      </c>
      <c r="G218" t="s">
        <v>29</v>
      </c>
      <c r="H218">
        <v>5</v>
      </c>
      <c r="I218" t="s">
        <v>30</v>
      </c>
      <c r="J218" t="s">
        <v>755</v>
      </c>
      <c r="K218" t="s">
        <v>756</v>
      </c>
      <c r="L218" t="s">
        <v>757</v>
      </c>
      <c r="M218" s="4" t="s">
        <v>43</v>
      </c>
      <c r="N218" t="s">
        <v>182</v>
      </c>
      <c r="P218" s="3" t="s">
        <v>36</v>
      </c>
      <c r="Q218" s="3" t="s">
        <v>84</v>
      </c>
      <c r="R218">
        <v>2</v>
      </c>
      <c r="S218" s="5">
        <v>45876</v>
      </c>
      <c r="T218" t="s">
        <v>38</v>
      </c>
      <c r="U218">
        <f t="shared" ca="1" si="18"/>
        <v>21</v>
      </c>
      <c r="V218" s="6">
        <f t="shared" ca="1" si="19"/>
        <v>46023</v>
      </c>
      <c r="W218" s="6">
        <f t="shared" ca="1" si="20"/>
        <v>46029</v>
      </c>
      <c r="X218" t="str">
        <f t="shared" ca="1" si="21"/>
        <v>Jan 1 to Jan 7</v>
      </c>
      <c r="Y218" t="str">
        <f t="shared" ca="1" si="22"/>
        <v>⚪ SCHEDULED</v>
      </c>
      <c r="Z218" t="str">
        <f t="shared" ca="1" si="23"/>
        <v>No action needed yet</v>
      </c>
    </row>
    <row r="219" spans="1:26">
      <c r="A219">
        <v>1007521279</v>
      </c>
      <c r="B219" s="3" t="s">
        <v>758</v>
      </c>
      <c r="C219">
        <v>53</v>
      </c>
      <c r="D219" t="s">
        <v>27</v>
      </c>
      <c r="E219" t="s">
        <v>29</v>
      </c>
      <c r="F219" t="s">
        <v>28</v>
      </c>
      <c r="G219" t="s">
        <v>28</v>
      </c>
      <c r="H219">
        <v>3</v>
      </c>
      <c r="I219" t="s">
        <v>66</v>
      </c>
      <c r="J219" t="s">
        <v>168</v>
      </c>
      <c r="K219" t="s">
        <v>759</v>
      </c>
      <c r="L219" t="s">
        <v>170</v>
      </c>
      <c r="M219" s="4" t="s">
        <v>94</v>
      </c>
      <c r="N219" t="s">
        <v>162</v>
      </c>
      <c r="P219" s="3" t="s">
        <v>36</v>
      </c>
      <c r="Q219" s="3" t="s">
        <v>760</v>
      </c>
      <c r="R219">
        <v>1</v>
      </c>
      <c r="S219" s="5">
        <v>45937</v>
      </c>
      <c r="T219" t="s">
        <v>38</v>
      </c>
      <c r="U219">
        <f t="shared" ca="1" si="18"/>
        <v>22</v>
      </c>
      <c r="V219" s="6">
        <f t="shared" ca="1" si="19"/>
        <v>46024</v>
      </c>
      <c r="W219" s="6">
        <f t="shared" ca="1" si="20"/>
        <v>46030</v>
      </c>
      <c r="X219" t="str">
        <f t="shared" ca="1" si="21"/>
        <v>Jan 2 to Jan 8</v>
      </c>
      <c r="Y219" t="str">
        <f t="shared" ca="1" si="22"/>
        <v>⚪ SCHEDULED</v>
      </c>
      <c r="Z219" t="str">
        <f t="shared" ca="1" si="23"/>
        <v>No action needed yet</v>
      </c>
    </row>
    <row r="220" spans="1:26">
      <c r="A220">
        <v>1007566340</v>
      </c>
      <c r="B220" s="3" t="s">
        <v>761</v>
      </c>
      <c r="C220">
        <v>64</v>
      </c>
      <c r="D220" t="s">
        <v>27</v>
      </c>
      <c r="E220" t="s">
        <v>29</v>
      </c>
      <c r="F220" t="s">
        <v>28</v>
      </c>
      <c r="G220" t="s">
        <v>29</v>
      </c>
      <c r="H220">
        <v>6</v>
      </c>
      <c r="I220" t="s">
        <v>30</v>
      </c>
      <c r="J220" t="s">
        <v>762</v>
      </c>
      <c r="K220" t="s">
        <v>763</v>
      </c>
      <c r="L220" t="s">
        <v>208</v>
      </c>
      <c r="M220" s="4" t="s">
        <v>34</v>
      </c>
      <c r="N220" t="s">
        <v>51</v>
      </c>
      <c r="P220" s="3" t="s">
        <v>36</v>
      </c>
      <c r="Q220" s="3" t="s">
        <v>764</v>
      </c>
      <c r="R220">
        <v>1</v>
      </c>
      <c r="S220" s="5">
        <v>45833</v>
      </c>
      <c r="T220" t="s">
        <v>38</v>
      </c>
      <c r="U220">
        <f t="shared" ca="1" si="18"/>
        <v>8</v>
      </c>
      <c r="V220" s="6">
        <f t="shared" ca="1" si="19"/>
        <v>46010</v>
      </c>
      <c r="W220" s="6">
        <f t="shared" ca="1" si="20"/>
        <v>46016</v>
      </c>
      <c r="X220" t="str">
        <f t="shared" ca="1" si="21"/>
        <v>Dec 19 to Dec 25</v>
      </c>
      <c r="Y220" t="str">
        <f t="shared" ca="1" si="22"/>
        <v>🔵 NEXT 2 WEEKS</v>
      </c>
      <c r="Z220" t="str">
        <f t="shared" ca="1" si="23"/>
        <v>Send reminder SMS</v>
      </c>
    </row>
    <row r="221" spans="1:26">
      <c r="A221">
        <v>1007612086</v>
      </c>
      <c r="B221" s="3" t="s">
        <v>765</v>
      </c>
      <c r="C221">
        <v>48</v>
      </c>
      <c r="D221" t="s">
        <v>27</v>
      </c>
      <c r="E221" t="s">
        <v>29</v>
      </c>
      <c r="F221" t="s">
        <v>28</v>
      </c>
      <c r="G221" t="s">
        <v>28</v>
      </c>
      <c r="H221">
        <v>3</v>
      </c>
      <c r="I221" t="s">
        <v>66</v>
      </c>
      <c r="J221" t="s">
        <v>766</v>
      </c>
      <c r="K221" t="s">
        <v>767</v>
      </c>
      <c r="M221" s="4" t="s">
        <v>34</v>
      </c>
      <c r="N221" t="s">
        <v>148</v>
      </c>
      <c r="P221" s="3" t="s">
        <v>36</v>
      </c>
      <c r="Q221" s="3" t="s">
        <v>84</v>
      </c>
      <c r="R221">
        <v>1</v>
      </c>
      <c r="S221" s="5">
        <v>45832</v>
      </c>
      <c r="T221" t="s">
        <v>38</v>
      </c>
      <c r="U221">
        <f t="shared" ca="1" si="18"/>
        <v>7</v>
      </c>
      <c r="V221" s="6">
        <f t="shared" ca="1" si="19"/>
        <v>46009</v>
      </c>
      <c r="W221" s="6">
        <f t="shared" ca="1" si="20"/>
        <v>46015</v>
      </c>
      <c r="X221" t="str">
        <f t="shared" ca="1" si="21"/>
        <v>Dec 18 to Dec 24</v>
      </c>
      <c r="Y221" t="str">
        <f t="shared" ca="1" si="22"/>
        <v>🟢 THIS WEEK</v>
      </c>
      <c r="Z221" t="str">
        <f t="shared" ca="1" si="23"/>
        <v>Confirm appointment</v>
      </c>
    </row>
    <row r="222" spans="1:26">
      <c r="A222">
        <v>1007629239</v>
      </c>
      <c r="B222" s="3" t="s">
        <v>768</v>
      </c>
      <c r="C222">
        <v>76</v>
      </c>
      <c r="D222" t="s">
        <v>27</v>
      </c>
      <c r="E222" t="s">
        <v>29</v>
      </c>
      <c r="F222" t="s">
        <v>29</v>
      </c>
      <c r="G222" t="s">
        <v>29</v>
      </c>
      <c r="H222">
        <v>8</v>
      </c>
      <c r="I222" t="s">
        <v>30</v>
      </c>
      <c r="J222" t="s">
        <v>769</v>
      </c>
      <c r="K222" t="s">
        <v>770</v>
      </c>
      <c r="L222" t="s">
        <v>75</v>
      </c>
      <c r="M222" s="4" t="s">
        <v>43</v>
      </c>
      <c r="N222" t="s">
        <v>76</v>
      </c>
      <c r="P222" s="3" t="s">
        <v>36</v>
      </c>
      <c r="Q222" s="3" t="s">
        <v>107</v>
      </c>
      <c r="R222">
        <v>2</v>
      </c>
      <c r="S222" s="5">
        <v>45920</v>
      </c>
      <c r="T222" t="s">
        <v>38</v>
      </c>
      <c r="U222">
        <f t="shared" ca="1" si="18"/>
        <v>5</v>
      </c>
      <c r="V222" s="6">
        <f t="shared" ca="1" si="19"/>
        <v>46007</v>
      </c>
      <c r="W222" s="6">
        <f t="shared" ca="1" si="20"/>
        <v>46013</v>
      </c>
      <c r="X222" t="str">
        <f t="shared" ca="1" si="21"/>
        <v>Dec 16 to Dec 22</v>
      </c>
      <c r="Y222" t="str">
        <f t="shared" ca="1" si="22"/>
        <v>🟢 THIS WEEK</v>
      </c>
      <c r="Z222" t="str">
        <f t="shared" ca="1" si="23"/>
        <v>Confirm appointment</v>
      </c>
    </row>
    <row r="223" spans="1:26">
      <c r="A223">
        <v>1007629999</v>
      </c>
      <c r="B223" s="3" t="s">
        <v>771</v>
      </c>
      <c r="C223">
        <v>62</v>
      </c>
      <c r="D223" t="s">
        <v>47</v>
      </c>
      <c r="E223" t="s">
        <v>29</v>
      </c>
      <c r="F223" t="s">
        <v>29</v>
      </c>
      <c r="G223" t="s">
        <v>29</v>
      </c>
      <c r="H223">
        <v>7</v>
      </c>
      <c r="I223" t="s">
        <v>30</v>
      </c>
      <c r="J223" t="s">
        <v>772</v>
      </c>
      <c r="K223" t="s">
        <v>773</v>
      </c>
      <c r="L223" t="s">
        <v>114</v>
      </c>
      <c r="M223" s="4" t="s">
        <v>34</v>
      </c>
      <c r="N223" t="s">
        <v>470</v>
      </c>
      <c r="P223" s="3" t="s">
        <v>36</v>
      </c>
      <c r="Q223" s="3" t="s">
        <v>107</v>
      </c>
      <c r="R223">
        <v>1</v>
      </c>
      <c r="S223" s="5">
        <v>45611</v>
      </c>
      <c r="T223" t="s">
        <v>38</v>
      </c>
      <c r="U223">
        <f t="shared" ca="1" si="18"/>
        <v>26</v>
      </c>
      <c r="V223" s="6">
        <f t="shared" ca="1" si="19"/>
        <v>46028</v>
      </c>
      <c r="W223" s="6">
        <f t="shared" ca="1" si="20"/>
        <v>46034</v>
      </c>
      <c r="X223" t="str">
        <f t="shared" ca="1" si="21"/>
        <v>Jan 6 to Jan 12</v>
      </c>
      <c r="Y223" t="str">
        <f t="shared" ca="1" si="22"/>
        <v>⚪ SCHEDULED</v>
      </c>
      <c r="Z223" t="str">
        <f t="shared" ca="1" si="23"/>
        <v>No action needed yet</v>
      </c>
    </row>
    <row r="224" spans="1:26">
      <c r="A224">
        <v>1007633256</v>
      </c>
      <c r="B224" s="3" t="s">
        <v>774</v>
      </c>
      <c r="C224">
        <v>66</v>
      </c>
      <c r="D224" t="s">
        <v>47</v>
      </c>
      <c r="E224" t="s">
        <v>28</v>
      </c>
      <c r="F224" t="s">
        <v>28</v>
      </c>
      <c r="G224" t="s">
        <v>28</v>
      </c>
      <c r="H224">
        <v>4</v>
      </c>
      <c r="I224" t="s">
        <v>66</v>
      </c>
      <c r="J224" t="s">
        <v>775</v>
      </c>
      <c r="K224" t="s">
        <v>776</v>
      </c>
      <c r="L224" t="s">
        <v>139</v>
      </c>
      <c r="M224" s="4" t="s">
        <v>34</v>
      </c>
      <c r="N224" t="s">
        <v>59</v>
      </c>
      <c r="P224" s="3" t="s">
        <v>36</v>
      </c>
      <c r="Q224" s="3" t="s">
        <v>777</v>
      </c>
      <c r="R224">
        <v>2</v>
      </c>
      <c r="S224" s="5">
        <v>45786</v>
      </c>
      <c r="T224" t="s">
        <v>38</v>
      </c>
      <c r="U224">
        <f t="shared" ca="1" si="18"/>
        <v>21</v>
      </c>
      <c r="V224" s="6">
        <f t="shared" ca="1" si="19"/>
        <v>46023</v>
      </c>
      <c r="W224" s="6">
        <f t="shared" ca="1" si="20"/>
        <v>46029</v>
      </c>
      <c r="X224" t="str">
        <f t="shared" ca="1" si="21"/>
        <v>Jan 1 to Jan 7</v>
      </c>
      <c r="Y224" t="str">
        <f t="shared" ca="1" si="22"/>
        <v>⚪ SCHEDULED</v>
      </c>
      <c r="Z224" t="str">
        <f t="shared" ca="1" si="23"/>
        <v>No action needed yet</v>
      </c>
    </row>
    <row r="225" spans="1:26">
      <c r="A225">
        <v>1007774563</v>
      </c>
      <c r="B225" s="3" t="s">
        <v>778</v>
      </c>
      <c r="C225">
        <v>44</v>
      </c>
      <c r="D225" t="s">
        <v>27</v>
      </c>
      <c r="E225" t="s">
        <v>28</v>
      </c>
      <c r="F225" t="s">
        <v>28</v>
      </c>
      <c r="G225" t="s">
        <v>28</v>
      </c>
      <c r="H225">
        <v>1</v>
      </c>
      <c r="I225" t="s">
        <v>55</v>
      </c>
      <c r="J225" t="s">
        <v>519</v>
      </c>
      <c r="K225" t="s">
        <v>779</v>
      </c>
      <c r="L225" t="s">
        <v>114</v>
      </c>
      <c r="M225" s="4" t="s">
        <v>34</v>
      </c>
      <c r="N225" t="s">
        <v>59</v>
      </c>
      <c r="P225" s="3" t="s">
        <v>36</v>
      </c>
      <c r="Q225" s="3" t="s">
        <v>90</v>
      </c>
      <c r="R225">
        <v>2</v>
      </c>
      <c r="S225" s="5">
        <v>45677</v>
      </c>
      <c r="T225" t="s">
        <v>393</v>
      </c>
      <c r="U225">
        <f t="shared" ca="1" si="18"/>
        <v>32</v>
      </c>
      <c r="V225" s="6">
        <f t="shared" ca="1" si="19"/>
        <v>46034</v>
      </c>
      <c r="W225" s="6">
        <f t="shared" ca="1" si="20"/>
        <v>46040</v>
      </c>
      <c r="X225" t="str">
        <f t="shared" ca="1" si="21"/>
        <v>Jan 12 to Jan 18</v>
      </c>
      <c r="Y225" t="str">
        <f t="shared" ca="1" si="22"/>
        <v>⚪ SCHEDULED</v>
      </c>
      <c r="Z225" t="str">
        <f t="shared" ca="1" si="23"/>
        <v>No action needed yet</v>
      </c>
    </row>
    <row r="226" spans="1:26">
      <c r="A226">
        <v>1007809815</v>
      </c>
      <c r="B226" s="3" t="s">
        <v>780</v>
      </c>
      <c r="C226">
        <v>69</v>
      </c>
      <c r="D226" t="s">
        <v>47</v>
      </c>
      <c r="E226" t="s">
        <v>28</v>
      </c>
      <c r="F226" t="s">
        <v>29</v>
      </c>
      <c r="G226" t="s">
        <v>29</v>
      </c>
      <c r="H226">
        <v>6</v>
      </c>
      <c r="I226" t="s">
        <v>30</v>
      </c>
      <c r="J226" t="s">
        <v>781</v>
      </c>
      <c r="K226" t="s">
        <v>782</v>
      </c>
      <c r="L226" t="s">
        <v>783</v>
      </c>
      <c r="M226" s="4" t="s">
        <v>34</v>
      </c>
      <c r="N226" t="s">
        <v>209</v>
      </c>
      <c r="P226" s="3" t="s">
        <v>36</v>
      </c>
      <c r="Q226" s="3" t="s">
        <v>313</v>
      </c>
      <c r="R226">
        <v>2</v>
      </c>
      <c r="S226" s="5">
        <v>45706</v>
      </c>
      <c r="T226" t="s">
        <v>38</v>
      </c>
      <c r="U226">
        <f t="shared" ca="1" si="18"/>
        <v>1</v>
      </c>
      <c r="V226" s="6">
        <f t="shared" ca="1" si="19"/>
        <v>46003</v>
      </c>
      <c r="W226" s="6">
        <f t="shared" ca="1" si="20"/>
        <v>46009</v>
      </c>
      <c r="X226" t="str">
        <f t="shared" ca="1" si="21"/>
        <v>Dec 12 to Dec 18</v>
      </c>
      <c r="Y226" t="str">
        <f t="shared" ca="1" si="22"/>
        <v>🟡 IMMINENT (within 3 days)</v>
      </c>
      <c r="Z226" t="str">
        <f t="shared" ca="1" si="23"/>
        <v>Prepare medications TODAY</v>
      </c>
    </row>
    <row r="227" spans="1:26">
      <c r="A227">
        <v>1007858044</v>
      </c>
      <c r="B227" s="3" t="s">
        <v>784</v>
      </c>
      <c r="C227">
        <v>50</v>
      </c>
      <c r="D227" t="s">
        <v>27</v>
      </c>
      <c r="E227" t="s">
        <v>28</v>
      </c>
      <c r="F227" t="s">
        <v>29</v>
      </c>
      <c r="G227" t="s">
        <v>28</v>
      </c>
      <c r="H227">
        <v>3</v>
      </c>
      <c r="I227" t="s">
        <v>66</v>
      </c>
      <c r="J227" t="s">
        <v>67</v>
      </c>
      <c r="K227" t="s">
        <v>785</v>
      </c>
      <c r="L227" t="s">
        <v>69</v>
      </c>
      <c r="M227" s="4" t="s">
        <v>34</v>
      </c>
      <c r="N227" t="s">
        <v>70</v>
      </c>
      <c r="P227" s="3" t="s">
        <v>36</v>
      </c>
      <c r="Q227" t="s">
        <v>54</v>
      </c>
      <c r="R227">
        <v>1</v>
      </c>
      <c r="S227" s="5">
        <v>45640</v>
      </c>
      <c r="T227" t="s">
        <v>38</v>
      </c>
      <c r="U227">
        <f t="shared" ca="1" si="18"/>
        <v>25</v>
      </c>
      <c r="V227" s="6">
        <f t="shared" ca="1" si="19"/>
        <v>46027</v>
      </c>
      <c r="W227" s="6">
        <f t="shared" ca="1" si="20"/>
        <v>46033</v>
      </c>
      <c r="X227" t="str">
        <f t="shared" ca="1" si="21"/>
        <v>Jan 5 to Jan 11</v>
      </c>
      <c r="Y227" t="str">
        <f t="shared" ca="1" si="22"/>
        <v>⚪ SCHEDULED</v>
      </c>
      <c r="Z227" t="str">
        <f t="shared" ca="1" si="23"/>
        <v>No action needed yet</v>
      </c>
    </row>
    <row r="228" spans="1:26">
      <c r="A228">
        <v>1007868415</v>
      </c>
      <c r="B228" s="3" t="s">
        <v>786</v>
      </c>
      <c r="C228">
        <v>60</v>
      </c>
      <c r="D228" t="s">
        <v>47</v>
      </c>
      <c r="E228" t="s">
        <v>29</v>
      </c>
      <c r="F228" t="s">
        <v>29</v>
      </c>
      <c r="G228" t="s">
        <v>29</v>
      </c>
      <c r="H228">
        <v>6</v>
      </c>
      <c r="I228" t="s">
        <v>30</v>
      </c>
      <c r="J228" t="s">
        <v>184</v>
      </c>
      <c r="K228" t="s">
        <v>787</v>
      </c>
      <c r="L228" t="s">
        <v>186</v>
      </c>
      <c r="M228" s="4" t="s">
        <v>34</v>
      </c>
      <c r="N228" t="s">
        <v>44</v>
      </c>
      <c r="P228" s="3" t="s">
        <v>36</v>
      </c>
      <c r="Q228" s="3" t="s">
        <v>84</v>
      </c>
      <c r="R228">
        <v>1</v>
      </c>
      <c r="S228" s="5">
        <v>45609</v>
      </c>
      <c r="T228" t="s">
        <v>38</v>
      </c>
      <c r="U228">
        <f t="shared" ca="1" si="18"/>
        <v>24</v>
      </c>
      <c r="V228" s="6">
        <f t="shared" ca="1" si="19"/>
        <v>46026</v>
      </c>
      <c r="W228" s="6">
        <f t="shared" ca="1" si="20"/>
        <v>46032</v>
      </c>
      <c r="X228" t="str">
        <f t="shared" ca="1" si="21"/>
        <v>Jan 4 to Jan 10</v>
      </c>
      <c r="Y228" t="str">
        <f t="shared" ca="1" si="22"/>
        <v>⚪ SCHEDULED</v>
      </c>
      <c r="Z228" t="str">
        <f t="shared" ca="1" si="23"/>
        <v>No action needed yet</v>
      </c>
    </row>
    <row r="229" spans="1:26">
      <c r="A229">
        <v>1007888546</v>
      </c>
      <c r="B229" s="3" t="s">
        <v>788</v>
      </c>
      <c r="C229">
        <v>69</v>
      </c>
      <c r="D229" t="s">
        <v>47</v>
      </c>
      <c r="E229" t="s">
        <v>29</v>
      </c>
      <c r="F229" t="s">
        <v>29</v>
      </c>
      <c r="G229" t="s">
        <v>28</v>
      </c>
      <c r="H229">
        <v>6</v>
      </c>
      <c r="I229" t="s">
        <v>30</v>
      </c>
      <c r="J229" t="s">
        <v>789</v>
      </c>
      <c r="K229" t="s">
        <v>790</v>
      </c>
      <c r="L229" t="s">
        <v>50</v>
      </c>
      <c r="M229" s="4" t="s">
        <v>43</v>
      </c>
      <c r="N229" t="s">
        <v>119</v>
      </c>
      <c r="P229" s="3" t="s">
        <v>36</v>
      </c>
      <c r="Q229" s="3" t="s">
        <v>45</v>
      </c>
      <c r="R229">
        <v>2</v>
      </c>
      <c r="S229" s="5">
        <v>45871</v>
      </c>
      <c r="T229" t="s">
        <v>38</v>
      </c>
      <c r="U229">
        <f t="shared" ca="1" si="18"/>
        <v>16</v>
      </c>
      <c r="V229" s="6">
        <f t="shared" ca="1" si="19"/>
        <v>46018</v>
      </c>
      <c r="W229" s="6">
        <f t="shared" ca="1" si="20"/>
        <v>46024</v>
      </c>
      <c r="X229" t="str">
        <f t="shared" ca="1" si="21"/>
        <v>Dec 27 to Jan 2</v>
      </c>
      <c r="Y229" t="str">
        <f t="shared" ca="1" si="22"/>
        <v>⚪ SCHEDULED</v>
      </c>
      <c r="Z229" t="str">
        <f t="shared" ca="1" si="23"/>
        <v>No action needed yet</v>
      </c>
    </row>
    <row r="230" spans="1:26">
      <c r="A230">
        <v>1007921172</v>
      </c>
      <c r="B230" s="3" t="s">
        <v>791</v>
      </c>
      <c r="C230">
        <v>63</v>
      </c>
      <c r="D230" t="s">
        <v>47</v>
      </c>
      <c r="E230" t="s">
        <v>28</v>
      </c>
      <c r="F230" t="s">
        <v>28</v>
      </c>
      <c r="G230" t="s">
        <v>29</v>
      </c>
      <c r="H230">
        <v>5</v>
      </c>
      <c r="I230" t="s">
        <v>30</v>
      </c>
      <c r="J230" t="s">
        <v>792</v>
      </c>
      <c r="K230" t="s">
        <v>793</v>
      </c>
      <c r="M230" s="4" t="s">
        <v>94</v>
      </c>
      <c r="N230" t="s">
        <v>794</v>
      </c>
      <c r="P230" s="3" t="s">
        <v>36</v>
      </c>
      <c r="Q230" s="3" t="s">
        <v>230</v>
      </c>
      <c r="R230">
        <v>1</v>
      </c>
      <c r="S230" s="5">
        <v>45938</v>
      </c>
      <c r="T230" t="s">
        <v>38</v>
      </c>
      <c r="U230">
        <f t="shared" ca="1" si="18"/>
        <v>23</v>
      </c>
      <c r="V230" s="6">
        <f t="shared" ca="1" si="19"/>
        <v>46025</v>
      </c>
      <c r="W230" s="6">
        <f t="shared" ca="1" si="20"/>
        <v>46031</v>
      </c>
      <c r="X230" t="str">
        <f t="shared" ca="1" si="21"/>
        <v>Jan 3 to Jan 9</v>
      </c>
      <c r="Y230" t="str">
        <f t="shared" ca="1" si="22"/>
        <v>⚪ SCHEDULED</v>
      </c>
      <c r="Z230" t="str">
        <f t="shared" ca="1" si="23"/>
        <v>No action needed yet</v>
      </c>
    </row>
    <row r="231" spans="1:26">
      <c r="A231">
        <v>1007924093</v>
      </c>
      <c r="B231" s="3" t="s">
        <v>795</v>
      </c>
      <c r="C231">
        <v>42</v>
      </c>
      <c r="D231" t="s">
        <v>27</v>
      </c>
      <c r="E231" t="s">
        <v>29</v>
      </c>
      <c r="F231" t="s">
        <v>28</v>
      </c>
      <c r="G231" t="s">
        <v>29</v>
      </c>
      <c r="H231">
        <v>4</v>
      </c>
      <c r="I231" t="s">
        <v>66</v>
      </c>
      <c r="J231" t="s">
        <v>796</v>
      </c>
      <c r="K231" t="s">
        <v>797</v>
      </c>
      <c r="M231" s="4" t="s">
        <v>43</v>
      </c>
      <c r="N231" t="s">
        <v>95</v>
      </c>
      <c r="P231" s="3" t="s">
        <v>36</v>
      </c>
      <c r="Q231" s="3" t="s">
        <v>45</v>
      </c>
      <c r="R231">
        <v>1</v>
      </c>
      <c r="S231" s="5">
        <v>45875</v>
      </c>
      <c r="T231" t="s">
        <v>38</v>
      </c>
      <c r="U231">
        <f t="shared" ca="1" si="18"/>
        <v>20</v>
      </c>
      <c r="V231" s="6">
        <f t="shared" ca="1" si="19"/>
        <v>46022</v>
      </c>
      <c r="W231" s="6">
        <f t="shared" ca="1" si="20"/>
        <v>46028</v>
      </c>
      <c r="X231" t="str">
        <f t="shared" ca="1" si="21"/>
        <v>Dec 31 to Jan 6</v>
      </c>
      <c r="Y231" t="str">
        <f t="shared" ca="1" si="22"/>
        <v>⚪ SCHEDULED</v>
      </c>
      <c r="Z231" t="str">
        <f t="shared" ca="1" si="23"/>
        <v>No action needed yet</v>
      </c>
    </row>
    <row r="232" spans="1:26">
      <c r="A232">
        <v>1007935297</v>
      </c>
      <c r="B232" s="3" t="s">
        <v>798</v>
      </c>
      <c r="C232">
        <v>52</v>
      </c>
      <c r="D232" t="s">
        <v>47</v>
      </c>
      <c r="E232" t="s">
        <v>29</v>
      </c>
      <c r="F232" t="s">
        <v>28</v>
      </c>
      <c r="G232" t="s">
        <v>28</v>
      </c>
      <c r="H232">
        <v>4</v>
      </c>
      <c r="I232" t="s">
        <v>66</v>
      </c>
      <c r="J232" t="s">
        <v>799</v>
      </c>
      <c r="K232" t="s">
        <v>800</v>
      </c>
      <c r="L232" t="s">
        <v>105</v>
      </c>
      <c r="M232" s="4" t="s">
        <v>43</v>
      </c>
      <c r="N232" t="s">
        <v>162</v>
      </c>
      <c r="P232" s="3" t="s">
        <v>36</v>
      </c>
      <c r="Q232" s="3" t="s">
        <v>123</v>
      </c>
      <c r="R232">
        <v>2</v>
      </c>
      <c r="S232" s="5">
        <v>45923</v>
      </c>
      <c r="T232" t="s">
        <v>38</v>
      </c>
      <c r="U232">
        <f t="shared" ca="1" si="18"/>
        <v>8</v>
      </c>
      <c r="V232" s="6">
        <f t="shared" ca="1" si="19"/>
        <v>46010</v>
      </c>
      <c r="W232" s="6">
        <f t="shared" ca="1" si="20"/>
        <v>46016</v>
      </c>
      <c r="X232" t="str">
        <f t="shared" ca="1" si="21"/>
        <v>Dec 19 to Dec 25</v>
      </c>
      <c r="Y232" t="str">
        <f t="shared" ca="1" si="22"/>
        <v>🔵 NEXT 2 WEEKS</v>
      </c>
      <c r="Z232" t="str">
        <f t="shared" ca="1" si="23"/>
        <v>Send reminder SMS</v>
      </c>
    </row>
    <row r="233" spans="1:26">
      <c r="A233">
        <v>1008038968</v>
      </c>
      <c r="B233" s="3" t="s">
        <v>801</v>
      </c>
      <c r="C233">
        <v>66</v>
      </c>
      <c r="D233" t="s">
        <v>27</v>
      </c>
      <c r="E233" t="s">
        <v>28</v>
      </c>
      <c r="F233" t="s">
        <v>29</v>
      </c>
      <c r="G233" t="s">
        <v>28</v>
      </c>
      <c r="H233">
        <v>4</v>
      </c>
      <c r="I233" t="s">
        <v>66</v>
      </c>
      <c r="J233" t="s">
        <v>398</v>
      </c>
      <c r="K233" t="s">
        <v>802</v>
      </c>
      <c r="L233" t="s">
        <v>69</v>
      </c>
      <c r="M233" s="4" t="s">
        <v>34</v>
      </c>
      <c r="N233" t="s">
        <v>70</v>
      </c>
      <c r="P233" s="3" t="s">
        <v>36</v>
      </c>
      <c r="Q233" s="3" t="s">
        <v>45</v>
      </c>
      <c r="R233">
        <v>2</v>
      </c>
      <c r="S233" s="5">
        <v>45625</v>
      </c>
      <c r="T233" t="s">
        <v>38</v>
      </c>
      <c r="U233">
        <f t="shared" ca="1" si="18"/>
        <v>10</v>
      </c>
      <c r="V233" s="6">
        <f t="shared" ca="1" si="19"/>
        <v>46012</v>
      </c>
      <c r="W233" s="6">
        <f t="shared" ca="1" si="20"/>
        <v>46018</v>
      </c>
      <c r="X233" t="str">
        <f t="shared" ca="1" si="21"/>
        <v>Dec 21 to Dec 27</v>
      </c>
      <c r="Y233" t="str">
        <f t="shared" ca="1" si="22"/>
        <v>🔵 NEXT 2 WEEKS</v>
      </c>
      <c r="Z233" t="str">
        <f t="shared" ca="1" si="23"/>
        <v>Send reminder SMS</v>
      </c>
    </row>
    <row r="234" spans="1:26">
      <c r="A234">
        <v>1008130740</v>
      </c>
      <c r="B234" s="3" t="s">
        <v>803</v>
      </c>
      <c r="C234">
        <v>57</v>
      </c>
      <c r="D234" t="s">
        <v>47</v>
      </c>
      <c r="E234" t="s">
        <v>28</v>
      </c>
      <c r="F234" t="s">
        <v>29</v>
      </c>
      <c r="G234" t="s">
        <v>28</v>
      </c>
      <c r="H234">
        <v>3</v>
      </c>
      <c r="I234" t="s">
        <v>66</v>
      </c>
      <c r="J234" t="s">
        <v>125</v>
      </c>
      <c r="K234" t="s">
        <v>709</v>
      </c>
      <c r="L234" t="s">
        <v>69</v>
      </c>
      <c r="M234" s="4" t="s">
        <v>43</v>
      </c>
      <c r="N234" t="s">
        <v>70</v>
      </c>
      <c r="P234" s="3" t="s">
        <v>36</v>
      </c>
      <c r="Q234" s="3" t="s">
        <v>804</v>
      </c>
      <c r="R234">
        <v>2</v>
      </c>
      <c r="S234" s="5">
        <v>45853</v>
      </c>
      <c r="T234" t="s">
        <v>38</v>
      </c>
      <c r="U234">
        <f t="shared" ca="1" si="18"/>
        <v>28</v>
      </c>
      <c r="V234" s="6">
        <f t="shared" ca="1" si="19"/>
        <v>46030</v>
      </c>
      <c r="W234" s="6">
        <f t="shared" ca="1" si="20"/>
        <v>46036</v>
      </c>
      <c r="X234" t="str">
        <f t="shared" ca="1" si="21"/>
        <v>Jan 8 to Jan 14</v>
      </c>
      <c r="Y234" t="str">
        <f t="shared" ca="1" si="22"/>
        <v>⚪ SCHEDULED</v>
      </c>
      <c r="Z234" t="str">
        <f t="shared" ca="1" si="23"/>
        <v>No action needed yet</v>
      </c>
    </row>
    <row r="235" spans="1:26">
      <c r="A235">
        <v>1008162743</v>
      </c>
      <c r="B235" s="3" t="s">
        <v>805</v>
      </c>
      <c r="C235">
        <v>76</v>
      </c>
      <c r="D235" t="s">
        <v>47</v>
      </c>
      <c r="E235" t="s">
        <v>28</v>
      </c>
      <c r="F235" t="s">
        <v>29</v>
      </c>
      <c r="G235" t="s">
        <v>29</v>
      </c>
      <c r="H235">
        <v>6</v>
      </c>
      <c r="I235" t="s">
        <v>30</v>
      </c>
      <c r="J235" t="s">
        <v>806</v>
      </c>
      <c r="K235" t="s">
        <v>807</v>
      </c>
      <c r="L235" t="s">
        <v>808</v>
      </c>
      <c r="M235" s="4" t="s">
        <v>94</v>
      </c>
      <c r="N235" t="s">
        <v>333</v>
      </c>
      <c r="P235" s="3" t="s">
        <v>36</v>
      </c>
      <c r="Q235" s="3" t="s">
        <v>90</v>
      </c>
      <c r="R235">
        <v>2</v>
      </c>
      <c r="S235" s="5">
        <v>45932</v>
      </c>
      <c r="T235" t="s">
        <v>38</v>
      </c>
      <c r="U235">
        <f t="shared" ca="1" si="18"/>
        <v>17</v>
      </c>
      <c r="V235" s="6">
        <f t="shared" ca="1" si="19"/>
        <v>46019</v>
      </c>
      <c r="W235" s="6">
        <f t="shared" ca="1" si="20"/>
        <v>46025</v>
      </c>
      <c r="X235" t="str">
        <f t="shared" ca="1" si="21"/>
        <v>Dec 28 to Jan 3</v>
      </c>
      <c r="Y235" t="str">
        <f t="shared" ca="1" si="22"/>
        <v>⚪ SCHEDULED</v>
      </c>
      <c r="Z235" t="str">
        <f t="shared" ca="1" si="23"/>
        <v>No action needed yet</v>
      </c>
    </row>
    <row r="236" spans="1:26">
      <c r="A236">
        <v>1008270744</v>
      </c>
      <c r="B236" s="3" t="s">
        <v>809</v>
      </c>
      <c r="C236">
        <v>52</v>
      </c>
      <c r="D236" t="s">
        <v>47</v>
      </c>
      <c r="E236" t="s">
        <v>29</v>
      </c>
      <c r="F236" t="s">
        <v>28</v>
      </c>
      <c r="G236" t="s">
        <v>29</v>
      </c>
      <c r="H236">
        <v>4</v>
      </c>
      <c r="I236" t="s">
        <v>66</v>
      </c>
      <c r="J236" t="s">
        <v>810</v>
      </c>
      <c r="K236" t="s">
        <v>811</v>
      </c>
      <c r="L236" t="s">
        <v>208</v>
      </c>
      <c r="M236" s="4" t="s">
        <v>43</v>
      </c>
      <c r="N236" t="s">
        <v>51</v>
      </c>
      <c r="P236" s="3" t="s">
        <v>36</v>
      </c>
      <c r="Q236" s="3" t="s">
        <v>45</v>
      </c>
      <c r="R236">
        <v>2</v>
      </c>
      <c r="S236" s="5">
        <v>45902</v>
      </c>
      <c r="T236" t="s">
        <v>38</v>
      </c>
      <c r="U236">
        <f t="shared" ca="1" si="18"/>
        <v>17</v>
      </c>
      <c r="V236" s="6">
        <f t="shared" ca="1" si="19"/>
        <v>46019</v>
      </c>
      <c r="W236" s="6">
        <f t="shared" ca="1" si="20"/>
        <v>46025</v>
      </c>
      <c r="X236" t="str">
        <f t="shared" ca="1" si="21"/>
        <v>Dec 28 to Jan 3</v>
      </c>
      <c r="Y236" t="str">
        <f t="shared" ca="1" si="22"/>
        <v>⚪ SCHEDULED</v>
      </c>
      <c r="Z236" t="str">
        <f t="shared" ca="1" si="23"/>
        <v>No action needed yet</v>
      </c>
    </row>
    <row r="237" spans="1:26">
      <c r="A237">
        <v>1008277343</v>
      </c>
      <c r="B237" s="3" t="s">
        <v>812</v>
      </c>
      <c r="C237">
        <v>64</v>
      </c>
      <c r="D237" t="s">
        <v>27</v>
      </c>
      <c r="E237" t="s">
        <v>29</v>
      </c>
      <c r="F237" t="s">
        <v>29</v>
      </c>
      <c r="G237" t="s">
        <v>29</v>
      </c>
      <c r="H237">
        <v>7</v>
      </c>
      <c r="I237" t="s">
        <v>30</v>
      </c>
      <c r="J237" t="s">
        <v>813</v>
      </c>
      <c r="K237" t="s">
        <v>814</v>
      </c>
      <c r="M237" s="4" t="s">
        <v>43</v>
      </c>
      <c r="N237" t="s">
        <v>44</v>
      </c>
      <c r="P237" s="3" t="s">
        <v>36</v>
      </c>
      <c r="Q237" s="3" t="s">
        <v>45</v>
      </c>
      <c r="R237">
        <v>1</v>
      </c>
      <c r="S237" s="5">
        <v>45898</v>
      </c>
      <c r="T237" t="s">
        <v>38</v>
      </c>
      <c r="U237">
        <f t="shared" ca="1" si="18"/>
        <v>13</v>
      </c>
      <c r="V237" s="6">
        <f t="shared" ca="1" si="19"/>
        <v>46015</v>
      </c>
      <c r="W237" s="6">
        <f t="shared" ca="1" si="20"/>
        <v>46021</v>
      </c>
      <c r="X237" t="str">
        <f t="shared" ca="1" si="21"/>
        <v>Dec 24 to Dec 30</v>
      </c>
      <c r="Y237" t="str">
        <f t="shared" ca="1" si="22"/>
        <v>🔵 NEXT 2 WEEKS</v>
      </c>
      <c r="Z237" t="str">
        <f t="shared" ca="1" si="23"/>
        <v>Send reminder SMS</v>
      </c>
    </row>
    <row r="238" spans="1:26">
      <c r="A238">
        <v>1008277632</v>
      </c>
      <c r="B238" s="3" t="s">
        <v>815</v>
      </c>
      <c r="C238">
        <v>53</v>
      </c>
      <c r="D238" t="s">
        <v>27</v>
      </c>
      <c r="E238" t="s">
        <v>29</v>
      </c>
      <c r="F238" t="s">
        <v>29</v>
      </c>
      <c r="G238" t="s">
        <v>29</v>
      </c>
      <c r="H238">
        <v>5</v>
      </c>
      <c r="I238" t="s">
        <v>30</v>
      </c>
      <c r="J238" t="s">
        <v>816</v>
      </c>
      <c r="K238" t="s">
        <v>817</v>
      </c>
      <c r="L238" t="s">
        <v>606</v>
      </c>
      <c r="M238" s="4" t="s">
        <v>94</v>
      </c>
      <c r="N238" t="s">
        <v>76</v>
      </c>
      <c r="P238" s="3" t="s">
        <v>36</v>
      </c>
      <c r="Q238" s="3" t="s">
        <v>90</v>
      </c>
      <c r="R238">
        <v>1</v>
      </c>
      <c r="S238" s="5">
        <v>45940</v>
      </c>
      <c r="T238" t="s">
        <v>38</v>
      </c>
      <c r="U238">
        <f t="shared" ca="1" si="18"/>
        <v>25</v>
      </c>
      <c r="V238" s="6">
        <f t="shared" ca="1" si="19"/>
        <v>46027</v>
      </c>
      <c r="W238" s="6">
        <f t="shared" ca="1" si="20"/>
        <v>46033</v>
      </c>
      <c r="X238" t="str">
        <f t="shared" ca="1" si="21"/>
        <v>Jan 5 to Jan 11</v>
      </c>
      <c r="Y238" t="str">
        <f t="shared" ca="1" si="22"/>
        <v>⚪ SCHEDULED</v>
      </c>
      <c r="Z238" t="str">
        <f t="shared" ca="1" si="23"/>
        <v>No action needed yet</v>
      </c>
    </row>
    <row r="239" spans="1:26">
      <c r="A239">
        <v>1008293712</v>
      </c>
      <c r="B239" s="3" t="s">
        <v>818</v>
      </c>
      <c r="C239">
        <v>49</v>
      </c>
      <c r="D239" t="s">
        <v>27</v>
      </c>
      <c r="E239" t="s">
        <v>29</v>
      </c>
      <c r="F239" t="s">
        <v>29</v>
      </c>
      <c r="G239" t="s">
        <v>28</v>
      </c>
      <c r="H239">
        <v>4</v>
      </c>
      <c r="I239" t="s">
        <v>66</v>
      </c>
      <c r="J239" t="s">
        <v>819</v>
      </c>
      <c r="K239" t="s">
        <v>820</v>
      </c>
      <c r="L239" t="s">
        <v>58</v>
      </c>
      <c r="M239" s="4" t="s">
        <v>43</v>
      </c>
      <c r="N239" t="s">
        <v>119</v>
      </c>
      <c r="P239" s="3" t="s">
        <v>36</v>
      </c>
      <c r="Q239" s="3" t="s">
        <v>175</v>
      </c>
      <c r="R239">
        <v>1</v>
      </c>
      <c r="S239" s="5">
        <v>45883</v>
      </c>
      <c r="T239" t="s">
        <v>38</v>
      </c>
      <c r="U239">
        <f t="shared" ca="1" si="18"/>
        <v>28</v>
      </c>
      <c r="V239" s="6">
        <f t="shared" ca="1" si="19"/>
        <v>46030</v>
      </c>
      <c r="W239" s="6">
        <f t="shared" ca="1" si="20"/>
        <v>46036</v>
      </c>
      <c r="X239" t="str">
        <f t="shared" ca="1" si="21"/>
        <v>Jan 8 to Jan 14</v>
      </c>
      <c r="Y239" t="str">
        <f t="shared" ca="1" si="22"/>
        <v>⚪ SCHEDULED</v>
      </c>
      <c r="Z239" t="str">
        <f t="shared" ca="1" si="23"/>
        <v>No action needed yet</v>
      </c>
    </row>
    <row r="240" spans="1:26">
      <c r="A240">
        <v>1008302646</v>
      </c>
      <c r="B240" s="3" t="s">
        <v>821</v>
      </c>
      <c r="C240">
        <v>54</v>
      </c>
      <c r="D240" t="s">
        <v>27</v>
      </c>
      <c r="E240" t="s">
        <v>29</v>
      </c>
      <c r="F240" t="s">
        <v>29</v>
      </c>
      <c r="G240" t="s">
        <v>29</v>
      </c>
      <c r="H240">
        <v>6</v>
      </c>
      <c r="I240" t="s">
        <v>30</v>
      </c>
      <c r="J240" t="s">
        <v>822</v>
      </c>
      <c r="K240" t="s">
        <v>823</v>
      </c>
      <c r="L240" t="s">
        <v>200</v>
      </c>
      <c r="M240" s="4" t="s">
        <v>43</v>
      </c>
      <c r="N240" t="s">
        <v>201</v>
      </c>
      <c r="P240" s="3" t="s">
        <v>36</v>
      </c>
      <c r="Q240" s="3" t="s">
        <v>107</v>
      </c>
      <c r="R240">
        <v>2</v>
      </c>
      <c r="S240" s="5">
        <v>45925</v>
      </c>
      <c r="T240" t="s">
        <v>38</v>
      </c>
      <c r="U240">
        <f t="shared" ca="1" si="18"/>
        <v>10</v>
      </c>
      <c r="V240" s="6">
        <f t="shared" ca="1" si="19"/>
        <v>46012</v>
      </c>
      <c r="W240" s="6">
        <f t="shared" ca="1" si="20"/>
        <v>46018</v>
      </c>
      <c r="X240" t="str">
        <f t="shared" ca="1" si="21"/>
        <v>Dec 21 to Dec 27</v>
      </c>
      <c r="Y240" t="str">
        <f t="shared" ca="1" si="22"/>
        <v>🔵 NEXT 2 WEEKS</v>
      </c>
      <c r="Z240" t="str">
        <f t="shared" ca="1" si="23"/>
        <v>Send reminder SMS</v>
      </c>
    </row>
    <row r="241" spans="1:26">
      <c r="A241">
        <v>1008310326</v>
      </c>
      <c r="B241" s="3" t="s">
        <v>824</v>
      </c>
      <c r="C241">
        <v>66</v>
      </c>
      <c r="D241" t="s">
        <v>27</v>
      </c>
      <c r="E241" t="s">
        <v>29</v>
      </c>
      <c r="F241" t="s">
        <v>29</v>
      </c>
      <c r="G241" t="s">
        <v>29</v>
      </c>
      <c r="H241">
        <v>6</v>
      </c>
      <c r="I241" t="s">
        <v>30</v>
      </c>
      <c r="J241" t="s">
        <v>825</v>
      </c>
      <c r="K241" t="s">
        <v>826</v>
      </c>
      <c r="L241" t="s">
        <v>170</v>
      </c>
      <c r="M241" s="4" t="s">
        <v>43</v>
      </c>
      <c r="N241" t="s">
        <v>171</v>
      </c>
      <c r="P241" s="3" t="s">
        <v>36</v>
      </c>
      <c r="Q241" s="3" t="s">
        <v>107</v>
      </c>
      <c r="R241">
        <v>2</v>
      </c>
      <c r="S241" s="5">
        <v>45870</v>
      </c>
      <c r="T241" t="s">
        <v>38</v>
      </c>
      <c r="U241">
        <f t="shared" ca="1" si="18"/>
        <v>15</v>
      </c>
      <c r="V241" s="6">
        <f t="shared" ca="1" si="19"/>
        <v>46017</v>
      </c>
      <c r="W241" s="6">
        <f t="shared" ca="1" si="20"/>
        <v>46023</v>
      </c>
      <c r="X241" t="str">
        <f t="shared" ca="1" si="21"/>
        <v>Dec 26 to Jan 1</v>
      </c>
      <c r="Y241" t="str">
        <f t="shared" ca="1" si="22"/>
        <v>⚪ SCHEDULED</v>
      </c>
      <c r="Z241" t="str">
        <f t="shared" ca="1" si="23"/>
        <v>No action needed yet</v>
      </c>
    </row>
    <row r="242" spans="1:26">
      <c r="A242">
        <v>1008312975</v>
      </c>
      <c r="B242" s="3" t="s">
        <v>827</v>
      </c>
      <c r="C242">
        <v>66</v>
      </c>
      <c r="D242" t="s">
        <v>47</v>
      </c>
      <c r="E242" t="s">
        <v>29</v>
      </c>
      <c r="F242" t="s">
        <v>29</v>
      </c>
      <c r="G242" t="s">
        <v>29</v>
      </c>
      <c r="H242">
        <v>7</v>
      </c>
      <c r="I242" t="s">
        <v>30</v>
      </c>
      <c r="J242" t="s">
        <v>828</v>
      </c>
      <c r="K242" t="s">
        <v>829</v>
      </c>
      <c r="L242" t="s">
        <v>355</v>
      </c>
      <c r="M242" s="4" t="s">
        <v>43</v>
      </c>
      <c r="N242" t="s">
        <v>76</v>
      </c>
      <c r="P242" s="3" t="s">
        <v>36</v>
      </c>
      <c r="Q242" s="3" t="s">
        <v>381</v>
      </c>
      <c r="R242">
        <v>1</v>
      </c>
      <c r="S242" s="5">
        <v>45903</v>
      </c>
      <c r="T242" t="s">
        <v>38</v>
      </c>
      <c r="U242">
        <f t="shared" ca="1" si="18"/>
        <v>18</v>
      </c>
      <c r="V242" s="6">
        <f t="shared" ca="1" si="19"/>
        <v>46020</v>
      </c>
      <c r="W242" s="6">
        <f t="shared" ca="1" si="20"/>
        <v>46026</v>
      </c>
      <c r="X242" t="str">
        <f t="shared" ca="1" si="21"/>
        <v>Dec 29 to Jan 4</v>
      </c>
      <c r="Y242" t="str">
        <f t="shared" ca="1" si="22"/>
        <v>⚪ SCHEDULED</v>
      </c>
      <c r="Z242" t="str">
        <f t="shared" ca="1" si="23"/>
        <v>No action needed yet</v>
      </c>
    </row>
    <row r="243" spans="1:26">
      <c r="A243">
        <v>1008364752</v>
      </c>
      <c r="B243" s="3" t="s">
        <v>830</v>
      </c>
      <c r="C243">
        <v>62</v>
      </c>
      <c r="D243" t="s">
        <v>27</v>
      </c>
      <c r="E243" t="s">
        <v>29</v>
      </c>
      <c r="F243" t="s">
        <v>28</v>
      </c>
      <c r="G243" t="s">
        <v>29</v>
      </c>
      <c r="H243">
        <v>5</v>
      </c>
      <c r="I243" t="s">
        <v>30</v>
      </c>
      <c r="J243" t="s">
        <v>831</v>
      </c>
      <c r="K243" t="s">
        <v>832</v>
      </c>
      <c r="L243" t="s">
        <v>170</v>
      </c>
      <c r="M243" s="4" t="s">
        <v>34</v>
      </c>
      <c r="N243" t="s">
        <v>182</v>
      </c>
      <c r="P243" s="3" t="s">
        <v>36</v>
      </c>
      <c r="Q243" s="3" t="s">
        <v>45</v>
      </c>
      <c r="R243">
        <v>1</v>
      </c>
      <c r="S243" s="5">
        <v>45399</v>
      </c>
      <c r="T243" t="s">
        <v>38</v>
      </c>
      <c r="U243">
        <f t="shared" ca="1" si="18"/>
        <v>24</v>
      </c>
      <c r="V243" s="6">
        <f t="shared" ca="1" si="19"/>
        <v>46026</v>
      </c>
      <c r="W243" s="6">
        <f t="shared" ca="1" si="20"/>
        <v>46032</v>
      </c>
      <c r="X243" t="str">
        <f t="shared" ca="1" si="21"/>
        <v>Jan 4 to Jan 10</v>
      </c>
      <c r="Y243" t="str">
        <f t="shared" ca="1" si="22"/>
        <v>⚪ SCHEDULED</v>
      </c>
      <c r="Z243" t="str">
        <f t="shared" ca="1" si="23"/>
        <v>No action needed yet</v>
      </c>
    </row>
    <row r="244" spans="1:26">
      <c r="A244">
        <v>1008382143</v>
      </c>
      <c r="B244" s="3" t="s">
        <v>833</v>
      </c>
      <c r="C244">
        <v>64</v>
      </c>
      <c r="D244" t="s">
        <v>27</v>
      </c>
      <c r="E244" t="s">
        <v>29</v>
      </c>
      <c r="F244" t="s">
        <v>29</v>
      </c>
      <c r="G244" t="s">
        <v>29</v>
      </c>
      <c r="H244">
        <v>7</v>
      </c>
      <c r="I244" t="s">
        <v>30</v>
      </c>
      <c r="J244" t="s">
        <v>519</v>
      </c>
      <c r="K244" t="s">
        <v>834</v>
      </c>
      <c r="L244" t="s">
        <v>114</v>
      </c>
      <c r="M244" s="4" t="s">
        <v>43</v>
      </c>
      <c r="N244" t="s">
        <v>470</v>
      </c>
      <c r="P244" s="3" t="s">
        <v>36</v>
      </c>
      <c r="Q244" s="3" t="s">
        <v>90</v>
      </c>
      <c r="R244">
        <v>1</v>
      </c>
      <c r="S244" s="5">
        <v>45918</v>
      </c>
      <c r="T244" t="s">
        <v>38</v>
      </c>
      <c r="U244">
        <f t="shared" ca="1" si="18"/>
        <v>3</v>
      </c>
      <c r="V244" s="6">
        <f t="shared" ca="1" si="19"/>
        <v>46005</v>
      </c>
      <c r="W244" s="6">
        <f t="shared" ca="1" si="20"/>
        <v>46011</v>
      </c>
      <c r="X244" t="str">
        <f t="shared" ca="1" si="21"/>
        <v>Dec 14 to Dec 20</v>
      </c>
      <c r="Y244" t="str">
        <f t="shared" ca="1" si="22"/>
        <v>🟡 IMMINENT (within 3 days)</v>
      </c>
      <c r="Z244" t="str">
        <f t="shared" ca="1" si="23"/>
        <v>Prepare medications TODAY</v>
      </c>
    </row>
    <row r="245" spans="1:26">
      <c r="A245">
        <v>1008382176</v>
      </c>
      <c r="B245" s="3" t="s">
        <v>835</v>
      </c>
      <c r="C245">
        <v>47</v>
      </c>
      <c r="D245" t="s">
        <v>27</v>
      </c>
      <c r="E245" t="s">
        <v>28</v>
      </c>
      <c r="F245" t="s">
        <v>29</v>
      </c>
      <c r="G245" t="s">
        <v>28</v>
      </c>
      <c r="H245">
        <v>3</v>
      </c>
      <c r="I245" t="s">
        <v>66</v>
      </c>
      <c r="J245" t="s">
        <v>458</v>
      </c>
      <c r="K245" t="s">
        <v>836</v>
      </c>
      <c r="M245" s="4" t="s">
        <v>43</v>
      </c>
      <c r="N245" t="s">
        <v>64</v>
      </c>
      <c r="P245" s="3" t="s">
        <v>36</v>
      </c>
      <c r="Q245" s="3" t="s">
        <v>107</v>
      </c>
      <c r="R245">
        <v>2</v>
      </c>
      <c r="S245" s="5">
        <v>45888</v>
      </c>
      <c r="T245" t="s">
        <v>38</v>
      </c>
      <c r="U245">
        <f t="shared" ca="1" si="18"/>
        <v>3</v>
      </c>
      <c r="V245" s="6">
        <f t="shared" ca="1" si="19"/>
        <v>46005</v>
      </c>
      <c r="W245" s="6">
        <f t="shared" ca="1" si="20"/>
        <v>46011</v>
      </c>
      <c r="X245" t="str">
        <f t="shared" ca="1" si="21"/>
        <v>Dec 14 to Dec 20</v>
      </c>
      <c r="Y245" t="str">
        <f t="shared" ca="1" si="22"/>
        <v>🟡 IMMINENT (within 3 days)</v>
      </c>
      <c r="Z245" t="str">
        <f t="shared" ca="1" si="23"/>
        <v>Prepare medications TODAY</v>
      </c>
    </row>
    <row r="246" spans="1:26">
      <c r="A246">
        <v>1008451310</v>
      </c>
      <c r="B246" s="3" t="s">
        <v>837</v>
      </c>
      <c r="C246">
        <v>53</v>
      </c>
      <c r="D246" t="s">
        <v>27</v>
      </c>
      <c r="E246" t="s">
        <v>29</v>
      </c>
      <c r="F246" t="s">
        <v>28</v>
      </c>
      <c r="G246" t="s">
        <v>29</v>
      </c>
      <c r="H246">
        <v>5</v>
      </c>
      <c r="I246" t="s">
        <v>30</v>
      </c>
      <c r="J246" t="s">
        <v>838</v>
      </c>
      <c r="K246" t="s">
        <v>839</v>
      </c>
      <c r="M246" s="4" t="s">
        <v>34</v>
      </c>
      <c r="N246" t="s">
        <v>95</v>
      </c>
      <c r="P246" s="3" t="s">
        <v>36</v>
      </c>
      <c r="Q246" s="3" t="s">
        <v>90</v>
      </c>
      <c r="R246">
        <v>2</v>
      </c>
      <c r="S246" s="5">
        <v>45813</v>
      </c>
      <c r="T246" t="s">
        <v>38</v>
      </c>
      <c r="U246">
        <f t="shared" ca="1" si="18"/>
        <v>18</v>
      </c>
      <c r="V246" s="6">
        <f t="shared" ca="1" si="19"/>
        <v>46020</v>
      </c>
      <c r="W246" s="6">
        <f t="shared" ca="1" si="20"/>
        <v>46026</v>
      </c>
      <c r="X246" t="str">
        <f t="shared" ca="1" si="21"/>
        <v>Dec 29 to Jan 4</v>
      </c>
      <c r="Y246" t="str">
        <f t="shared" ca="1" si="22"/>
        <v>⚪ SCHEDULED</v>
      </c>
      <c r="Z246" t="str">
        <f t="shared" ca="1" si="23"/>
        <v>No action needed yet</v>
      </c>
    </row>
    <row r="247" spans="1:26">
      <c r="A247">
        <v>1008563445</v>
      </c>
      <c r="B247" s="3" t="s">
        <v>840</v>
      </c>
      <c r="C247">
        <v>64</v>
      </c>
      <c r="D247" t="s">
        <v>47</v>
      </c>
      <c r="E247" t="s">
        <v>29</v>
      </c>
      <c r="F247" t="s">
        <v>28</v>
      </c>
      <c r="G247" t="s">
        <v>29</v>
      </c>
      <c r="H247">
        <v>5</v>
      </c>
      <c r="I247" t="s">
        <v>30</v>
      </c>
      <c r="J247" t="s">
        <v>841</v>
      </c>
      <c r="K247" t="s">
        <v>842</v>
      </c>
      <c r="M247" s="4" t="s">
        <v>43</v>
      </c>
      <c r="N247" t="s">
        <v>95</v>
      </c>
      <c r="P247" s="3" t="s">
        <v>36</v>
      </c>
      <c r="Q247" s="3" t="s">
        <v>84</v>
      </c>
      <c r="R247">
        <v>2</v>
      </c>
      <c r="S247" s="5">
        <v>45888</v>
      </c>
      <c r="T247" t="s">
        <v>38</v>
      </c>
      <c r="U247">
        <f t="shared" ca="1" si="18"/>
        <v>3</v>
      </c>
      <c r="V247" s="6">
        <f t="shared" ca="1" si="19"/>
        <v>46005</v>
      </c>
      <c r="W247" s="6">
        <f t="shared" ca="1" si="20"/>
        <v>46011</v>
      </c>
      <c r="X247" t="str">
        <f t="shared" ca="1" si="21"/>
        <v>Dec 14 to Dec 20</v>
      </c>
      <c r="Y247" t="str">
        <f t="shared" ca="1" si="22"/>
        <v>🟡 IMMINENT (within 3 days)</v>
      </c>
      <c r="Z247" t="str">
        <f t="shared" ca="1" si="23"/>
        <v>Prepare medications TODAY</v>
      </c>
    </row>
    <row r="248" spans="1:26">
      <c r="A248">
        <v>1008582825</v>
      </c>
      <c r="B248" s="3" t="s">
        <v>843</v>
      </c>
      <c r="C248">
        <v>61</v>
      </c>
      <c r="D248" t="s">
        <v>47</v>
      </c>
      <c r="E248" t="s">
        <v>29</v>
      </c>
      <c r="F248" t="s">
        <v>29</v>
      </c>
      <c r="G248" t="s">
        <v>29</v>
      </c>
      <c r="H248">
        <v>7</v>
      </c>
      <c r="I248" t="s">
        <v>30</v>
      </c>
      <c r="J248" t="s">
        <v>844</v>
      </c>
      <c r="K248" t="s">
        <v>845</v>
      </c>
      <c r="L248" t="s">
        <v>846</v>
      </c>
      <c r="M248" s="4" t="s">
        <v>43</v>
      </c>
      <c r="N248" t="s">
        <v>171</v>
      </c>
      <c r="P248" s="3" t="s">
        <v>36</v>
      </c>
      <c r="Q248" s="3" t="s">
        <v>313</v>
      </c>
      <c r="R248">
        <v>1</v>
      </c>
      <c r="S248" s="5">
        <v>45909</v>
      </c>
      <c r="T248" t="s">
        <v>38</v>
      </c>
      <c r="U248">
        <f t="shared" ca="1" si="18"/>
        <v>24</v>
      </c>
      <c r="V248" s="6">
        <f t="shared" ca="1" si="19"/>
        <v>46026</v>
      </c>
      <c r="W248" s="6">
        <f t="shared" ca="1" si="20"/>
        <v>46032</v>
      </c>
      <c r="X248" t="str">
        <f t="shared" ca="1" si="21"/>
        <v>Jan 4 to Jan 10</v>
      </c>
      <c r="Y248" t="str">
        <f t="shared" ca="1" si="22"/>
        <v>⚪ SCHEDULED</v>
      </c>
      <c r="Z248" t="str">
        <f t="shared" ca="1" si="23"/>
        <v>No action needed yet</v>
      </c>
    </row>
    <row r="249" spans="1:26">
      <c r="A249">
        <v>1008586727</v>
      </c>
      <c r="B249" s="3" t="s">
        <v>847</v>
      </c>
      <c r="C249">
        <v>53</v>
      </c>
      <c r="D249" t="s">
        <v>47</v>
      </c>
      <c r="E249" t="s">
        <v>29</v>
      </c>
      <c r="F249" t="s">
        <v>29</v>
      </c>
      <c r="G249" t="s">
        <v>29</v>
      </c>
      <c r="H249">
        <v>6</v>
      </c>
      <c r="I249" t="s">
        <v>30</v>
      </c>
      <c r="J249" t="s">
        <v>848</v>
      </c>
      <c r="K249" t="s">
        <v>849</v>
      </c>
      <c r="L249" t="s">
        <v>234</v>
      </c>
      <c r="M249" s="4" t="s">
        <v>94</v>
      </c>
      <c r="N249" t="s">
        <v>201</v>
      </c>
      <c r="P249" s="3" t="s">
        <v>36</v>
      </c>
      <c r="Q249" s="3" t="s">
        <v>45</v>
      </c>
      <c r="R249">
        <v>2</v>
      </c>
      <c r="S249" s="5">
        <v>45939</v>
      </c>
      <c r="T249" t="s">
        <v>38</v>
      </c>
      <c r="U249">
        <f t="shared" ca="1" si="18"/>
        <v>24</v>
      </c>
      <c r="V249" s="6">
        <f t="shared" ca="1" si="19"/>
        <v>46026</v>
      </c>
      <c r="W249" s="6">
        <f t="shared" ca="1" si="20"/>
        <v>46032</v>
      </c>
      <c r="X249" t="str">
        <f t="shared" ca="1" si="21"/>
        <v>Jan 4 to Jan 10</v>
      </c>
      <c r="Y249" t="str">
        <f t="shared" ca="1" si="22"/>
        <v>⚪ SCHEDULED</v>
      </c>
      <c r="Z249" t="str">
        <f t="shared" ca="1" si="23"/>
        <v>No action needed yet</v>
      </c>
    </row>
    <row r="250" spans="1:26">
      <c r="A250">
        <v>1008613935</v>
      </c>
      <c r="B250" s="3" t="s">
        <v>850</v>
      </c>
      <c r="C250">
        <v>57</v>
      </c>
      <c r="D250" t="s">
        <v>47</v>
      </c>
      <c r="E250" t="s">
        <v>29</v>
      </c>
      <c r="F250" t="s">
        <v>29</v>
      </c>
      <c r="G250" t="s">
        <v>28</v>
      </c>
      <c r="H250">
        <v>4</v>
      </c>
      <c r="I250" t="s">
        <v>66</v>
      </c>
      <c r="J250" t="s">
        <v>247</v>
      </c>
      <c r="K250" t="s">
        <v>851</v>
      </c>
      <c r="M250" s="4" t="s">
        <v>43</v>
      </c>
      <c r="N250" t="s">
        <v>144</v>
      </c>
      <c r="P250" s="3" t="s">
        <v>36</v>
      </c>
      <c r="Q250" t="s">
        <v>54</v>
      </c>
      <c r="R250">
        <v>1</v>
      </c>
      <c r="S250" s="5">
        <v>45854</v>
      </c>
      <c r="T250" t="s">
        <v>38</v>
      </c>
      <c r="U250">
        <f t="shared" ca="1" si="18"/>
        <v>29</v>
      </c>
      <c r="V250" s="6">
        <f t="shared" ca="1" si="19"/>
        <v>46031</v>
      </c>
      <c r="W250" s="6">
        <f t="shared" ca="1" si="20"/>
        <v>46037</v>
      </c>
      <c r="X250" t="str">
        <f t="shared" ca="1" si="21"/>
        <v>Jan 9 to Jan 15</v>
      </c>
      <c r="Y250" t="str">
        <f t="shared" ca="1" si="22"/>
        <v>⚪ SCHEDULED</v>
      </c>
      <c r="Z250" t="str">
        <f t="shared" ca="1" si="23"/>
        <v>No action needed yet</v>
      </c>
    </row>
    <row r="251" spans="1:26">
      <c r="A251">
        <v>1008618835</v>
      </c>
      <c r="B251" s="3" t="s">
        <v>852</v>
      </c>
      <c r="C251">
        <v>61</v>
      </c>
      <c r="D251" t="s">
        <v>27</v>
      </c>
      <c r="E251" t="s">
        <v>28</v>
      </c>
      <c r="F251" t="s">
        <v>28</v>
      </c>
      <c r="G251" t="s">
        <v>29</v>
      </c>
      <c r="H251">
        <v>5</v>
      </c>
      <c r="I251" t="s">
        <v>30</v>
      </c>
      <c r="J251" t="s">
        <v>853</v>
      </c>
      <c r="K251" t="s">
        <v>854</v>
      </c>
      <c r="M251" s="4" t="s">
        <v>34</v>
      </c>
      <c r="N251" t="s">
        <v>794</v>
      </c>
      <c r="P251" s="3" t="s">
        <v>36</v>
      </c>
      <c r="Q251" s="3" t="s">
        <v>45</v>
      </c>
      <c r="R251">
        <v>1</v>
      </c>
      <c r="S251" s="5">
        <v>45366</v>
      </c>
      <c r="T251" t="s">
        <v>38</v>
      </c>
      <c r="U251">
        <f t="shared" ca="1" si="18"/>
        <v>21</v>
      </c>
      <c r="V251" s="6">
        <f t="shared" ca="1" si="19"/>
        <v>46023</v>
      </c>
      <c r="W251" s="6">
        <f t="shared" ca="1" si="20"/>
        <v>46029</v>
      </c>
      <c r="X251" t="str">
        <f t="shared" ca="1" si="21"/>
        <v>Jan 1 to Jan 7</v>
      </c>
      <c r="Y251" t="str">
        <f t="shared" ca="1" si="22"/>
        <v>⚪ SCHEDULED</v>
      </c>
      <c r="Z251" t="str">
        <f t="shared" ca="1" si="23"/>
        <v>No action needed yet</v>
      </c>
    </row>
    <row r="252" spans="1:26">
      <c r="A252">
        <v>1008636761</v>
      </c>
      <c r="B252" s="3" t="s">
        <v>855</v>
      </c>
      <c r="C252">
        <v>83</v>
      </c>
      <c r="D252" t="s">
        <v>47</v>
      </c>
      <c r="E252" t="s">
        <v>29</v>
      </c>
      <c r="F252" t="s">
        <v>29</v>
      </c>
      <c r="G252" t="s">
        <v>28</v>
      </c>
      <c r="H252">
        <v>6</v>
      </c>
      <c r="I252" t="s">
        <v>30</v>
      </c>
      <c r="J252" t="s">
        <v>856</v>
      </c>
      <c r="K252" t="s">
        <v>857</v>
      </c>
      <c r="L252" t="s">
        <v>69</v>
      </c>
      <c r="M252" s="4" t="s">
        <v>34</v>
      </c>
      <c r="N252" t="s">
        <v>131</v>
      </c>
      <c r="P252" s="3" t="s">
        <v>36</v>
      </c>
      <c r="Q252" s="3" t="s">
        <v>858</v>
      </c>
      <c r="R252">
        <v>2</v>
      </c>
      <c r="S252" s="5">
        <v>45456</v>
      </c>
      <c r="T252" t="s">
        <v>38</v>
      </c>
      <c r="U252">
        <f t="shared" ca="1" si="18"/>
        <v>21</v>
      </c>
      <c r="V252" s="6">
        <f t="shared" ca="1" si="19"/>
        <v>46023</v>
      </c>
      <c r="W252" s="6">
        <f t="shared" ca="1" si="20"/>
        <v>46029</v>
      </c>
      <c r="X252" t="str">
        <f t="shared" ca="1" si="21"/>
        <v>Jan 1 to Jan 7</v>
      </c>
      <c r="Y252" t="str">
        <f t="shared" ca="1" si="22"/>
        <v>⚪ SCHEDULED</v>
      </c>
      <c r="Z252" t="str">
        <f t="shared" ca="1" si="23"/>
        <v>No action needed yet</v>
      </c>
    </row>
    <row r="253" spans="1:26">
      <c r="A253">
        <v>1008642546</v>
      </c>
      <c r="B253" s="3" t="s">
        <v>859</v>
      </c>
      <c r="C253">
        <v>68</v>
      </c>
      <c r="D253" t="s">
        <v>47</v>
      </c>
      <c r="E253" t="s">
        <v>29</v>
      </c>
      <c r="F253" t="s">
        <v>29</v>
      </c>
      <c r="G253" t="s">
        <v>29</v>
      </c>
      <c r="H253">
        <v>6</v>
      </c>
      <c r="I253" t="s">
        <v>30</v>
      </c>
      <c r="J253" t="s">
        <v>860</v>
      </c>
      <c r="K253" t="s">
        <v>861</v>
      </c>
      <c r="L253" t="s">
        <v>862</v>
      </c>
      <c r="M253" s="4" t="s">
        <v>43</v>
      </c>
      <c r="N253" t="s">
        <v>201</v>
      </c>
      <c r="P253" s="3" t="s">
        <v>36</v>
      </c>
      <c r="Q253" s="3" t="s">
        <v>107</v>
      </c>
      <c r="R253">
        <v>1</v>
      </c>
      <c r="S253" s="5">
        <v>45926</v>
      </c>
      <c r="T253" t="s">
        <v>38</v>
      </c>
      <c r="U253">
        <f t="shared" ca="1" si="18"/>
        <v>11</v>
      </c>
      <c r="V253" s="6">
        <f t="shared" ca="1" si="19"/>
        <v>46013</v>
      </c>
      <c r="W253" s="6">
        <f t="shared" ca="1" si="20"/>
        <v>46019</v>
      </c>
      <c r="X253" t="str">
        <f t="shared" ca="1" si="21"/>
        <v>Dec 22 to Dec 28</v>
      </c>
      <c r="Y253" t="str">
        <f t="shared" ca="1" si="22"/>
        <v>🔵 NEXT 2 WEEKS</v>
      </c>
      <c r="Z253" t="str">
        <f t="shared" ca="1" si="23"/>
        <v>Send reminder SMS</v>
      </c>
    </row>
    <row r="254" spans="1:26">
      <c r="A254">
        <v>1008652271</v>
      </c>
      <c r="B254" s="3" t="s">
        <v>863</v>
      </c>
      <c r="C254">
        <v>67</v>
      </c>
      <c r="D254" t="s">
        <v>27</v>
      </c>
      <c r="E254" t="s">
        <v>29</v>
      </c>
      <c r="F254" t="s">
        <v>29</v>
      </c>
      <c r="G254" t="s">
        <v>28</v>
      </c>
      <c r="H254">
        <v>6</v>
      </c>
      <c r="I254" t="s">
        <v>30</v>
      </c>
      <c r="J254" t="s">
        <v>864</v>
      </c>
      <c r="K254" t="s">
        <v>865</v>
      </c>
      <c r="L254" t="s">
        <v>450</v>
      </c>
      <c r="M254" s="4" t="s">
        <v>34</v>
      </c>
      <c r="N254" t="s">
        <v>119</v>
      </c>
      <c r="P254" s="3" t="s">
        <v>36</v>
      </c>
      <c r="Q254" s="3" t="s">
        <v>45</v>
      </c>
      <c r="R254">
        <v>1</v>
      </c>
      <c r="S254" s="5">
        <v>45839</v>
      </c>
      <c r="T254" t="s">
        <v>38</v>
      </c>
      <c r="U254">
        <f t="shared" ca="1" si="18"/>
        <v>14</v>
      </c>
      <c r="V254" s="6">
        <f t="shared" ca="1" si="19"/>
        <v>46016</v>
      </c>
      <c r="W254" s="6">
        <f t="shared" ca="1" si="20"/>
        <v>46022</v>
      </c>
      <c r="X254" t="str">
        <f t="shared" ca="1" si="21"/>
        <v>Dec 25 to Dec 31</v>
      </c>
      <c r="Y254" t="str">
        <f t="shared" ca="1" si="22"/>
        <v>🔵 NEXT 2 WEEKS</v>
      </c>
      <c r="Z254" t="str">
        <f t="shared" ca="1" si="23"/>
        <v>Send reminder SMS</v>
      </c>
    </row>
    <row r="255" spans="1:26">
      <c r="A255">
        <v>1008691618</v>
      </c>
      <c r="B255" s="3" t="s">
        <v>866</v>
      </c>
      <c r="C255">
        <v>58</v>
      </c>
      <c r="D255" t="s">
        <v>27</v>
      </c>
      <c r="E255" t="s">
        <v>29</v>
      </c>
      <c r="F255" t="s">
        <v>29</v>
      </c>
      <c r="G255" t="s">
        <v>29</v>
      </c>
      <c r="H255">
        <v>6</v>
      </c>
      <c r="I255" t="s">
        <v>30</v>
      </c>
      <c r="J255" t="s">
        <v>867</v>
      </c>
      <c r="K255" t="s">
        <v>868</v>
      </c>
      <c r="L255" t="s">
        <v>869</v>
      </c>
      <c r="M255" s="4" t="s">
        <v>43</v>
      </c>
      <c r="N255" t="s">
        <v>76</v>
      </c>
      <c r="P255" s="3" t="s">
        <v>36</v>
      </c>
      <c r="Q255" s="3" t="s">
        <v>90</v>
      </c>
      <c r="R255">
        <v>2</v>
      </c>
      <c r="S255" s="5">
        <v>45910</v>
      </c>
      <c r="T255" t="s">
        <v>38</v>
      </c>
      <c r="U255">
        <f t="shared" ca="1" si="18"/>
        <v>25</v>
      </c>
      <c r="V255" s="6">
        <f t="shared" ca="1" si="19"/>
        <v>46027</v>
      </c>
      <c r="W255" s="6">
        <f t="shared" ca="1" si="20"/>
        <v>46033</v>
      </c>
      <c r="X255" t="str">
        <f t="shared" ca="1" si="21"/>
        <v>Jan 5 to Jan 11</v>
      </c>
      <c r="Y255" t="str">
        <f t="shared" ca="1" si="22"/>
        <v>⚪ SCHEDULED</v>
      </c>
      <c r="Z255" t="str">
        <f t="shared" ca="1" si="23"/>
        <v>No action needed yet</v>
      </c>
    </row>
    <row r="256" spans="1:26">
      <c r="A256">
        <v>1008693051</v>
      </c>
      <c r="B256" s="3" t="s">
        <v>870</v>
      </c>
      <c r="C256">
        <v>69</v>
      </c>
      <c r="D256" t="s">
        <v>27</v>
      </c>
      <c r="E256" t="s">
        <v>29</v>
      </c>
      <c r="F256" t="s">
        <v>28</v>
      </c>
      <c r="G256" t="s">
        <v>28</v>
      </c>
      <c r="H256">
        <v>4</v>
      </c>
      <c r="I256" t="s">
        <v>66</v>
      </c>
      <c r="J256" t="s">
        <v>871</v>
      </c>
      <c r="K256" t="s">
        <v>872</v>
      </c>
      <c r="M256" s="4" t="s">
        <v>43</v>
      </c>
      <c r="N256" t="s">
        <v>148</v>
      </c>
      <c r="P256" s="3" t="s">
        <v>36</v>
      </c>
      <c r="Q256" s="3" t="s">
        <v>123</v>
      </c>
      <c r="R256">
        <v>2</v>
      </c>
      <c r="S256" s="5">
        <v>45888</v>
      </c>
      <c r="T256" t="s">
        <v>38</v>
      </c>
      <c r="U256">
        <f t="shared" ca="1" si="18"/>
        <v>3</v>
      </c>
      <c r="V256" s="6">
        <f t="shared" ca="1" si="19"/>
        <v>46005</v>
      </c>
      <c r="W256" s="6">
        <f t="shared" ca="1" si="20"/>
        <v>46011</v>
      </c>
      <c r="X256" t="str">
        <f t="shared" ca="1" si="21"/>
        <v>Dec 14 to Dec 20</v>
      </c>
      <c r="Y256" t="str">
        <f t="shared" ca="1" si="22"/>
        <v>🟡 IMMINENT (within 3 days)</v>
      </c>
      <c r="Z256" t="str">
        <f t="shared" ca="1" si="23"/>
        <v>Prepare medications TODAY</v>
      </c>
    </row>
    <row r="257" spans="1:26">
      <c r="A257">
        <v>1008734392</v>
      </c>
      <c r="B257" s="3" t="s">
        <v>873</v>
      </c>
      <c r="C257">
        <v>51</v>
      </c>
      <c r="D257" t="s">
        <v>27</v>
      </c>
      <c r="E257" t="s">
        <v>28</v>
      </c>
      <c r="F257" t="s">
        <v>28</v>
      </c>
      <c r="G257" t="s">
        <v>29</v>
      </c>
      <c r="H257">
        <v>3</v>
      </c>
      <c r="I257" t="s">
        <v>66</v>
      </c>
      <c r="J257" t="s">
        <v>874</v>
      </c>
      <c r="K257" t="s">
        <v>875</v>
      </c>
      <c r="L257" t="s">
        <v>33</v>
      </c>
      <c r="M257" s="4" t="s">
        <v>94</v>
      </c>
      <c r="N257" t="s">
        <v>794</v>
      </c>
      <c r="P257" s="3" t="s">
        <v>36</v>
      </c>
      <c r="Q257" s="3" t="s">
        <v>107</v>
      </c>
      <c r="R257">
        <v>1</v>
      </c>
      <c r="S257" s="5">
        <v>45951</v>
      </c>
      <c r="T257" t="s">
        <v>38</v>
      </c>
      <c r="U257">
        <f t="shared" ca="1" si="18"/>
        <v>6</v>
      </c>
      <c r="V257" s="6">
        <f t="shared" ca="1" si="19"/>
        <v>46008</v>
      </c>
      <c r="W257" s="6">
        <f t="shared" ca="1" si="20"/>
        <v>46014</v>
      </c>
      <c r="X257" t="str">
        <f t="shared" ca="1" si="21"/>
        <v>Dec 17 to Dec 23</v>
      </c>
      <c r="Y257" t="str">
        <f t="shared" ca="1" si="22"/>
        <v>🟢 THIS WEEK</v>
      </c>
      <c r="Z257" t="str">
        <f t="shared" ca="1" si="23"/>
        <v>Confirm appointment</v>
      </c>
    </row>
    <row r="258" spans="1:26">
      <c r="A258">
        <v>1008745463</v>
      </c>
      <c r="B258" s="3" t="s">
        <v>876</v>
      </c>
      <c r="C258">
        <v>63</v>
      </c>
      <c r="D258" t="s">
        <v>27</v>
      </c>
      <c r="E258" t="s">
        <v>29</v>
      </c>
      <c r="F258" t="s">
        <v>29</v>
      </c>
      <c r="G258" t="s">
        <v>29</v>
      </c>
      <c r="H258">
        <v>7</v>
      </c>
      <c r="I258" t="s">
        <v>30</v>
      </c>
      <c r="J258" t="s">
        <v>877</v>
      </c>
      <c r="K258" t="s">
        <v>878</v>
      </c>
      <c r="L258" t="s">
        <v>450</v>
      </c>
      <c r="M258" s="4" t="s">
        <v>43</v>
      </c>
      <c r="N258" t="s">
        <v>89</v>
      </c>
      <c r="P258" s="3" t="s">
        <v>36</v>
      </c>
      <c r="Q258" s="3" t="s">
        <v>45</v>
      </c>
      <c r="R258">
        <v>1</v>
      </c>
      <c r="S258" s="5">
        <v>45862</v>
      </c>
      <c r="T258" t="s">
        <v>38</v>
      </c>
      <c r="U258">
        <f t="shared" ref="U258:U321" ca="1" si="24">IF(S258&gt;=TODAY(),S258,S258+CEILING((TODAY()-S258)/IF(T258="Monthly",30,IF(T258="Bi-Monthly",60,90)),1)*IF(T258="Monthly",30,IF(T258="Bi-Monthly",60,90)))-TODAY()</f>
        <v>7</v>
      </c>
      <c r="V258" s="6">
        <f t="shared" ref="V258:V321" ca="1" si="25">IF(S258&gt;=TODAY(),S258,S258+CEILING((TODAY()-S258)/IF(T258="Monthly",30,IF(T258="Bi-Monthly",60,90)),1)*IF(T258="Monthly",30,IF(T258="Bi-Monthly",60,90)))-3</f>
        <v>46009</v>
      </c>
      <c r="W258" s="6">
        <f t="shared" ref="W258:W321" ca="1" si="26">IF(S258&gt;=TODAY(),S258,S258+CEILING((TODAY()-S258)/IF(T258="Monthly",30,IF(T258="Bi-Monthly",60,90)),1)*IF(T258="Monthly",30,IF(T258="Bi-Monthly",60,90)))+3</f>
        <v>46015</v>
      </c>
      <c r="X258" t="str">
        <f t="shared" ref="X258:X321" ca="1" si="27">TEXT(V258,"MMM D")&amp;" to "&amp;TEXT(W258,"MMM D")</f>
        <v>Dec 18 to Dec 24</v>
      </c>
      <c r="Y258" t="str">
        <f t="shared" ref="Y258:Y321" ca="1" si="28">IF(U258&lt;=3,"🟡 IMMINENT (within 3 days)",IF(U258&lt;=7,"🟢 THIS WEEK",IF(U258&lt;=14,"🔵 NEXT 2 WEEKS","⚪ SCHEDULED")))</f>
        <v>🟢 THIS WEEK</v>
      </c>
      <c r="Z258" t="str">
        <f t="shared" ref="Z258:Z321" ca="1" si="29">IF(U258&lt;=3,"Prepare medications TODAY",IF(U258&lt;=7,"Confirm appointment",IF(U258&lt;=14,"Send reminder SMS","No action needed yet")))</f>
        <v>Confirm appointment</v>
      </c>
    </row>
    <row r="259" spans="1:26">
      <c r="A259">
        <v>1008751800</v>
      </c>
      <c r="B259" s="3" t="s">
        <v>879</v>
      </c>
      <c r="C259">
        <v>57</v>
      </c>
      <c r="D259" t="s">
        <v>47</v>
      </c>
      <c r="E259" t="s">
        <v>28</v>
      </c>
      <c r="F259" t="s">
        <v>29</v>
      </c>
      <c r="G259" t="s">
        <v>28</v>
      </c>
      <c r="H259">
        <v>4</v>
      </c>
      <c r="I259" t="s">
        <v>66</v>
      </c>
      <c r="J259" t="s">
        <v>880</v>
      </c>
      <c r="K259" t="s">
        <v>881</v>
      </c>
      <c r="L259" t="s">
        <v>882</v>
      </c>
      <c r="M259" s="4" t="s">
        <v>34</v>
      </c>
      <c r="N259" t="s">
        <v>70</v>
      </c>
      <c r="P259" s="3" t="s">
        <v>36</v>
      </c>
      <c r="Q259" s="3" t="s">
        <v>96</v>
      </c>
      <c r="R259">
        <v>2</v>
      </c>
      <c r="S259" s="5">
        <v>45786</v>
      </c>
      <c r="T259" t="s">
        <v>38</v>
      </c>
      <c r="U259">
        <f t="shared" ca="1" si="24"/>
        <v>21</v>
      </c>
      <c r="V259" s="6">
        <f t="shared" ca="1" si="25"/>
        <v>46023</v>
      </c>
      <c r="W259" s="6">
        <f t="shared" ca="1" si="26"/>
        <v>46029</v>
      </c>
      <c r="X259" t="str">
        <f t="shared" ca="1" si="27"/>
        <v>Jan 1 to Jan 7</v>
      </c>
      <c r="Y259" t="str">
        <f t="shared" ca="1" si="28"/>
        <v>⚪ SCHEDULED</v>
      </c>
      <c r="Z259" t="str">
        <f t="shared" ca="1" si="29"/>
        <v>No action needed yet</v>
      </c>
    </row>
    <row r="260" spans="1:26">
      <c r="A260">
        <v>1008853507</v>
      </c>
      <c r="B260" s="3" t="s">
        <v>883</v>
      </c>
      <c r="C260">
        <v>43</v>
      </c>
      <c r="D260" t="s">
        <v>47</v>
      </c>
      <c r="E260" t="s">
        <v>54</v>
      </c>
      <c r="F260" t="s">
        <v>54</v>
      </c>
      <c r="G260" t="s">
        <v>54</v>
      </c>
      <c r="H260">
        <v>1</v>
      </c>
      <c r="I260" t="s">
        <v>55</v>
      </c>
      <c r="J260" t="s">
        <v>884</v>
      </c>
      <c r="K260" t="s">
        <v>885</v>
      </c>
      <c r="L260" t="s">
        <v>217</v>
      </c>
      <c r="M260" s="4" t="s">
        <v>94</v>
      </c>
      <c r="N260" t="s">
        <v>59</v>
      </c>
      <c r="P260" s="3" t="s">
        <v>36</v>
      </c>
      <c r="Q260" s="3" t="s">
        <v>886</v>
      </c>
      <c r="R260">
        <v>2</v>
      </c>
      <c r="S260" s="5">
        <v>45997</v>
      </c>
      <c r="T260" t="s">
        <v>393</v>
      </c>
      <c r="U260">
        <f t="shared" ca="1" si="24"/>
        <v>82</v>
      </c>
      <c r="V260" s="6">
        <f t="shared" ca="1" si="25"/>
        <v>46084</v>
      </c>
      <c r="W260" s="6">
        <f t="shared" ca="1" si="26"/>
        <v>46090</v>
      </c>
      <c r="X260" t="str">
        <f t="shared" ca="1" si="27"/>
        <v>Mar 3 to Mar 9</v>
      </c>
      <c r="Y260" t="str">
        <f t="shared" ca="1" si="28"/>
        <v>⚪ SCHEDULED</v>
      </c>
      <c r="Z260" t="str">
        <f t="shared" ca="1" si="29"/>
        <v>No action needed yet</v>
      </c>
    </row>
    <row r="261" spans="1:26">
      <c r="A261">
        <v>1008890194</v>
      </c>
      <c r="B261" s="3" t="s">
        <v>887</v>
      </c>
      <c r="C261">
        <v>43</v>
      </c>
      <c r="D261" t="s">
        <v>27</v>
      </c>
      <c r="E261" t="s">
        <v>54</v>
      </c>
      <c r="F261" t="s">
        <v>54</v>
      </c>
      <c r="G261" t="s">
        <v>54</v>
      </c>
      <c r="H261">
        <v>1</v>
      </c>
      <c r="I261" t="s">
        <v>55</v>
      </c>
      <c r="J261" t="s">
        <v>519</v>
      </c>
      <c r="K261" t="s">
        <v>888</v>
      </c>
      <c r="L261" t="s">
        <v>114</v>
      </c>
      <c r="M261" s="4" t="s">
        <v>34</v>
      </c>
      <c r="N261" t="s">
        <v>59</v>
      </c>
      <c r="P261" s="3" t="s">
        <v>36</v>
      </c>
      <c r="Q261" t="s">
        <v>54</v>
      </c>
      <c r="R261">
        <v>1</v>
      </c>
      <c r="S261" s="5">
        <v>45853</v>
      </c>
      <c r="T261" t="s">
        <v>393</v>
      </c>
      <c r="U261">
        <f t="shared" ca="1" si="24"/>
        <v>28</v>
      </c>
      <c r="V261" s="6">
        <f t="shared" ca="1" si="25"/>
        <v>46030</v>
      </c>
      <c r="W261" s="6">
        <f t="shared" ca="1" si="26"/>
        <v>46036</v>
      </c>
      <c r="X261" t="str">
        <f t="shared" ca="1" si="27"/>
        <v>Jan 8 to Jan 14</v>
      </c>
      <c r="Y261" t="str">
        <f t="shared" ca="1" si="28"/>
        <v>⚪ SCHEDULED</v>
      </c>
      <c r="Z261" t="str">
        <f t="shared" ca="1" si="29"/>
        <v>No action needed yet</v>
      </c>
    </row>
    <row r="262" spans="1:26">
      <c r="A262">
        <v>1008893404</v>
      </c>
      <c r="B262" s="3" t="s">
        <v>889</v>
      </c>
      <c r="C262">
        <v>42</v>
      </c>
      <c r="D262" t="s">
        <v>47</v>
      </c>
      <c r="E262" t="s">
        <v>28</v>
      </c>
      <c r="F262" t="s">
        <v>28</v>
      </c>
      <c r="G262" t="s">
        <v>29</v>
      </c>
      <c r="H262">
        <v>2</v>
      </c>
      <c r="I262" t="s">
        <v>55</v>
      </c>
      <c r="J262" t="s">
        <v>519</v>
      </c>
      <c r="K262" t="s">
        <v>890</v>
      </c>
      <c r="L262" t="s">
        <v>114</v>
      </c>
      <c r="M262" s="4" t="s">
        <v>34</v>
      </c>
      <c r="N262" t="s">
        <v>140</v>
      </c>
      <c r="P262" s="3" t="s">
        <v>36</v>
      </c>
      <c r="Q262" s="3" t="s">
        <v>84</v>
      </c>
      <c r="R262">
        <v>1</v>
      </c>
      <c r="S262" s="5">
        <v>45382</v>
      </c>
      <c r="T262" t="s">
        <v>60</v>
      </c>
      <c r="U262">
        <f t="shared" ca="1" si="24"/>
        <v>37</v>
      </c>
      <c r="V262" s="6">
        <f t="shared" ca="1" si="25"/>
        <v>46039</v>
      </c>
      <c r="W262" s="6">
        <f t="shared" ca="1" si="26"/>
        <v>46045</v>
      </c>
      <c r="X262" t="str">
        <f t="shared" ca="1" si="27"/>
        <v>Jan 17 to Jan 23</v>
      </c>
      <c r="Y262" t="str">
        <f t="shared" ca="1" si="28"/>
        <v>⚪ SCHEDULED</v>
      </c>
      <c r="Z262" t="str">
        <f t="shared" ca="1" si="29"/>
        <v>No action needed yet</v>
      </c>
    </row>
    <row r="263" spans="1:26">
      <c r="A263">
        <v>1008894824</v>
      </c>
      <c r="B263" s="3" t="s">
        <v>891</v>
      </c>
      <c r="C263">
        <v>72</v>
      </c>
      <c r="D263" t="s">
        <v>47</v>
      </c>
      <c r="E263" t="s">
        <v>29</v>
      </c>
      <c r="F263" t="s">
        <v>29</v>
      </c>
      <c r="G263" t="s">
        <v>28</v>
      </c>
      <c r="H263">
        <v>6</v>
      </c>
      <c r="I263" t="s">
        <v>30</v>
      </c>
      <c r="J263" t="s">
        <v>296</v>
      </c>
      <c r="K263" t="s">
        <v>892</v>
      </c>
      <c r="M263" s="4" t="s">
        <v>43</v>
      </c>
      <c r="N263" t="s">
        <v>144</v>
      </c>
      <c r="P263" s="3" t="s">
        <v>36</v>
      </c>
      <c r="Q263" s="3" t="s">
        <v>84</v>
      </c>
      <c r="R263">
        <v>2</v>
      </c>
      <c r="S263" s="5">
        <v>45913</v>
      </c>
      <c r="T263" t="s">
        <v>38</v>
      </c>
      <c r="U263">
        <f t="shared" ca="1" si="24"/>
        <v>28</v>
      </c>
      <c r="V263" s="6">
        <f t="shared" ca="1" si="25"/>
        <v>46030</v>
      </c>
      <c r="W263" s="6">
        <f t="shared" ca="1" si="26"/>
        <v>46036</v>
      </c>
      <c r="X263" t="str">
        <f t="shared" ca="1" si="27"/>
        <v>Jan 8 to Jan 14</v>
      </c>
      <c r="Y263" t="str">
        <f t="shared" ca="1" si="28"/>
        <v>⚪ SCHEDULED</v>
      </c>
      <c r="Z263" t="str">
        <f t="shared" ca="1" si="29"/>
        <v>No action needed yet</v>
      </c>
    </row>
    <row r="264" spans="1:26">
      <c r="A264">
        <v>1008900985</v>
      </c>
      <c r="B264" s="3" t="s">
        <v>893</v>
      </c>
      <c r="C264">
        <v>63</v>
      </c>
      <c r="D264" t="s">
        <v>47</v>
      </c>
      <c r="E264" t="s">
        <v>29</v>
      </c>
      <c r="F264" t="s">
        <v>28</v>
      </c>
      <c r="G264" t="s">
        <v>29</v>
      </c>
      <c r="H264">
        <v>6</v>
      </c>
      <c r="I264" t="s">
        <v>30</v>
      </c>
      <c r="J264" t="s">
        <v>894</v>
      </c>
      <c r="K264" t="s">
        <v>895</v>
      </c>
      <c r="M264" s="4" t="s">
        <v>94</v>
      </c>
      <c r="N264" t="s">
        <v>95</v>
      </c>
      <c r="P264" s="3" t="s">
        <v>36</v>
      </c>
      <c r="Q264" s="3" t="s">
        <v>45</v>
      </c>
      <c r="R264">
        <v>2</v>
      </c>
      <c r="S264" s="5">
        <v>45951</v>
      </c>
      <c r="T264" t="s">
        <v>38</v>
      </c>
      <c r="U264">
        <f t="shared" ca="1" si="24"/>
        <v>6</v>
      </c>
      <c r="V264" s="6">
        <f t="shared" ca="1" si="25"/>
        <v>46008</v>
      </c>
      <c r="W264" s="6">
        <f t="shared" ca="1" si="26"/>
        <v>46014</v>
      </c>
      <c r="X264" t="str">
        <f t="shared" ca="1" si="27"/>
        <v>Dec 17 to Dec 23</v>
      </c>
      <c r="Y264" t="str">
        <f t="shared" ca="1" si="28"/>
        <v>🟢 THIS WEEK</v>
      </c>
      <c r="Z264" t="str">
        <f t="shared" ca="1" si="29"/>
        <v>Confirm appointment</v>
      </c>
    </row>
    <row r="265" spans="1:26">
      <c r="A265">
        <v>1008901595</v>
      </c>
      <c r="B265" s="3" t="s">
        <v>896</v>
      </c>
      <c r="C265">
        <v>58</v>
      </c>
      <c r="D265" t="s">
        <v>27</v>
      </c>
      <c r="E265" t="s">
        <v>29</v>
      </c>
      <c r="F265" t="s">
        <v>29</v>
      </c>
      <c r="G265" t="s">
        <v>28</v>
      </c>
      <c r="H265">
        <v>5</v>
      </c>
      <c r="I265" t="s">
        <v>30</v>
      </c>
      <c r="J265" t="s">
        <v>897</v>
      </c>
      <c r="K265" t="s">
        <v>898</v>
      </c>
      <c r="L265" t="s">
        <v>562</v>
      </c>
      <c r="M265" s="4" t="s">
        <v>34</v>
      </c>
      <c r="N265" t="s">
        <v>131</v>
      </c>
      <c r="P265" s="3" t="s">
        <v>36</v>
      </c>
      <c r="Q265" t="s">
        <v>54</v>
      </c>
      <c r="R265">
        <v>1</v>
      </c>
      <c r="S265" s="5">
        <v>45798</v>
      </c>
      <c r="T265" t="s">
        <v>38</v>
      </c>
      <c r="U265">
        <f t="shared" ca="1" si="24"/>
        <v>3</v>
      </c>
      <c r="V265" s="6">
        <f t="shared" ca="1" si="25"/>
        <v>46005</v>
      </c>
      <c r="W265" s="6">
        <f t="shared" ca="1" si="26"/>
        <v>46011</v>
      </c>
      <c r="X265" t="str">
        <f t="shared" ca="1" si="27"/>
        <v>Dec 14 to Dec 20</v>
      </c>
      <c r="Y265" t="str">
        <f t="shared" ca="1" si="28"/>
        <v>🟡 IMMINENT (within 3 days)</v>
      </c>
      <c r="Z265" t="str">
        <f t="shared" ca="1" si="29"/>
        <v>Prepare medications TODAY</v>
      </c>
    </row>
    <row r="266" spans="1:26">
      <c r="A266">
        <v>1009058437</v>
      </c>
      <c r="B266" s="3" t="s">
        <v>899</v>
      </c>
      <c r="C266">
        <v>72</v>
      </c>
      <c r="D266" t="s">
        <v>27</v>
      </c>
      <c r="E266" t="s">
        <v>29</v>
      </c>
      <c r="F266" t="s">
        <v>28</v>
      </c>
      <c r="G266" t="s">
        <v>28</v>
      </c>
      <c r="H266">
        <v>5</v>
      </c>
      <c r="I266" t="s">
        <v>30</v>
      </c>
      <c r="J266" t="s">
        <v>253</v>
      </c>
      <c r="K266" t="s">
        <v>900</v>
      </c>
      <c r="L266" t="s">
        <v>33</v>
      </c>
      <c r="M266" s="4" t="s">
        <v>43</v>
      </c>
      <c r="N266" t="s">
        <v>148</v>
      </c>
      <c r="P266" s="3" t="s">
        <v>36</v>
      </c>
      <c r="Q266" s="3" t="s">
        <v>84</v>
      </c>
      <c r="R266">
        <v>2</v>
      </c>
      <c r="S266" s="5">
        <v>45889</v>
      </c>
      <c r="T266" t="s">
        <v>38</v>
      </c>
      <c r="U266">
        <f t="shared" ca="1" si="24"/>
        <v>4</v>
      </c>
      <c r="V266" s="6">
        <f t="shared" ca="1" si="25"/>
        <v>46006</v>
      </c>
      <c r="W266" s="6">
        <f t="shared" ca="1" si="26"/>
        <v>46012</v>
      </c>
      <c r="X266" t="str">
        <f t="shared" ca="1" si="27"/>
        <v>Dec 15 to Dec 21</v>
      </c>
      <c r="Y266" t="str">
        <f t="shared" ca="1" si="28"/>
        <v>🟢 THIS WEEK</v>
      </c>
      <c r="Z266" t="str">
        <f t="shared" ca="1" si="29"/>
        <v>Confirm appointment</v>
      </c>
    </row>
    <row r="267" spans="1:26">
      <c r="A267">
        <v>1009087600</v>
      </c>
      <c r="B267" s="3" t="s">
        <v>901</v>
      </c>
      <c r="C267">
        <v>43</v>
      </c>
      <c r="D267" t="s">
        <v>27</v>
      </c>
      <c r="E267" t="s">
        <v>28</v>
      </c>
      <c r="F267" t="s">
        <v>28</v>
      </c>
      <c r="G267" t="s">
        <v>29</v>
      </c>
      <c r="H267">
        <v>2</v>
      </c>
      <c r="I267" t="s">
        <v>55</v>
      </c>
      <c r="J267" t="s">
        <v>902</v>
      </c>
      <c r="K267" t="s">
        <v>903</v>
      </c>
      <c r="L267" t="s">
        <v>139</v>
      </c>
      <c r="M267" s="4" t="s">
        <v>43</v>
      </c>
      <c r="N267" t="s">
        <v>140</v>
      </c>
      <c r="P267" s="3" t="s">
        <v>36</v>
      </c>
      <c r="Q267" s="3" t="s">
        <v>45</v>
      </c>
      <c r="R267">
        <v>1</v>
      </c>
      <c r="S267" s="5">
        <v>45942</v>
      </c>
      <c r="T267" t="s">
        <v>60</v>
      </c>
      <c r="U267">
        <f t="shared" ca="1" si="24"/>
        <v>57</v>
      </c>
      <c r="V267" s="6">
        <f t="shared" ca="1" si="25"/>
        <v>46059</v>
      </c>
      <c r="W267" s="6">
        <f t="shared" ca="1" si="26"/>
        <v>46065</v>
      </c>
      <c r="X267" t="str">
        <f t="shared" ca="1" si="27"/>
        <v>Feb 6 to Feb 12</v>
      </c>
      <c r="Y267" t="str">
        <f t="shared" ca="1" si="28"/>
        <v>⚪ SCHEDULED</v>
      </c>
      <c r="Z267" t="str">
        <f t="shared" ca="1" si="29"/>
        <v>No action needed yet</v>
      </c>
    </row>
    <row r="268" spans="1:26">
      <c r="A268">
        <v>1009102318</v>
      </c>
      <c r="B268" s="3" t="s">
        <v>904</v>
      </c>
      <c r="C268">
        <v>52</v>
      </c>
      <c r="D268" t="s">
        <v>47</v>
      </c>
      <c r="E268" t="s">
        <v>29</v>
      </c>
      <c r="F268" t="s">
        <v>28</v>
      </c>
      <c r="G268" t="s">
        <v>29</v>
      </c>
      <c r="H268">
        <v>4</v>
      </c>
      <c r="I268" t="s">
        <v>66</v>
      </c>
      <c r="J268" t="s">
        <v>388</v>
      </c>
      <c r="K268" t="s">
        <v>905</v>
      </c>
      <c r="L268" t="s">
        <v>33</v>
      </c>
      <c r="M268" s="4" t="s">
        <v>43</v>
      </c>
      <c r="N268" t="s">
        <v>95</v>
      </c>
      <c r="P268" s="3" t="s">
        <v>36</v>
      </c>
      <c r="Q268" s="3" t="s">
        <v>84</v>
      </c>
      <c r="R268">
        <v>1</v>
      </c>
      <c r="S268" s="5">
        <v>45923</v>
      </c>
      <c r="T268" t="s">
        <v>38</v>
      </c>
      <c r="U268">
        <f t="shared" ca="1" si="24"/>
        <v>8</v>
      </c>
      <c r="V268" s="6">
        <f t="shared" ca="1" si="25"/>
        <v>46010</v>
      </c>
      <c r="W268" s="6">
        <f t="shared" ca="1" si="26"/>
        <v>46016</v>
      </c>
      <c r="X268" t="str">
        <f t="shared" ca="1" si="27"/>
        <v>Dec 19 to Dec 25</v>
      </c>
      <c r="Y268" t="str">
        <f t="shared" ca="1" si="28"/>
        <v>🔵 NEXT 2 WEEKS</v>
      </c>
      <c r="Z268" t="str">
        <f t="shared" ca="1" si="29"/>
        <v>Send reminder SMS</v>
      </c>
    </row>
    <row r="269" spans="1:26">
      <c r="A269">
        <v>1009125277</v>
      </c>
      <c r="B269" s="3" t="s">
        <v>906</v>
      </c>
      <c r="C269">
        <v>46</v>
      </c>
      <c r="D269" t="s">
        <v>47</v>
      </c>
      <c r="E269" t="s">
        <v>29</v>
      </c>
      <c r="F269" t="s">
        <v>29</v>
      </c>
      <c r="G269" t="s">
        <v>28</v>
      </c>
      <c r="H269">
        <v>3</v>
      </c>
      <c r="I269" t="s">
        <v>66</v>
      </c>
      <c r="J269" t="s">
        <v>253</v>
      </c>
      <c r="K269" t="s">
        <v>907</v>
      </c>
      <c r="L269" t="s">
        <v>33</v>
      </c>
      <c r="M269" s="4" t="s">
        <v>94</v>
      </c>
      <c r="N269" t="s">
        <v>144</v>
      </c>
      <c r="P269" s="3" t="s">
        <v>36</v>
      </c>
      <c r="Q269" s="3" t="s">
        <v>107</v>
      </c>
      <c r="R269">
        <v>1</v>
      </c>
      <c r="S269" s="5">
        <v>45951</v>
      </c>
      <c r="T269" t="s">
        <v>38</v>
      </c>
      <c r="U269">
        <f t="shared" ca="1" si="24"/>
        <v>6</v>
      </c>
      <c r="V269" s="6">
        <f t="shared" ca="1" si="25"/>
        <v>46008</v>
      </c>
      <c r="W269" s="6">
        <f t="shared" ca="1" si="26"/>
        <v>46014</v>
      </c>
      <c r="X269" t="str">
        <f t="shared" ca="1" si="27"/>
        <v>Dec 17 to Dec 23</v>
      </c>
      <c r="Y269" t="str">
        <f t="shared" ca="1" si="28"/>
        <v>🟢 THIS WEEK</v>
      </c>
      <c r="Z269" t="str">
        <f t="shared" ca="1" si="29"/>
        <v>Confirm appointment</v>
      </c>
    </row>
    <row r="270" spans="1:26">
      <c r="A270">
        <v>1009160183</v>
      </c>
      <c r="B270" s="3" t="s">
        <v>908</v>
      </c>
      <c r="C270">
        <v>70</v>
      </c>
      <c r="D270" t="s">
        <v>27</v>
      </c>
      <c r="E270" t="s">
        <v>29</v>
      </c>
      <c r="F270" t="s">
        <v>29</v>
      </c>
      <c r="G270" t="s">
        <v>29</v>
      </c>
      <c r="H270">
        <v>8</v>
      </c>
      <c r="I270" t="s">
        <v>30</v>
      </c>
      <c r="J270" t="s">
        <v>909</v>
      </c>
      <c r="K270" t="s">
        <v>910</v>
      </c>
      <c r="L270" t="s">
        <v>69</v>
      </c>
      <c r="M270" s="4" t="s">
        <v>43</v>
      </c>
      <c r="N270" t="s">
        <v>127</v>
      </c>
      <c r="P270" s="3" t="s">
        <v>36</v>
      </c>
      <c r="Q270" s="3" t="s">
        <v>45</v>
      </c>
      <c r="R270">
        <v>1</v>
      </c>
      <c r="S270" s="5">
        <v>45882</v>
      </c>
      <c r="T270" t="s">
        <v>38</v>
      </c>
      <c r="U270">
        <f t="shared" ca="1" si="24"/>
        <v>27</v>
      </c>
      <c r="V270" s="6">
        <f t="shared" ca="1" si="25"/>
        <v>46029</v>
      </c>
      <c r="W270" s="6">
        <f t="shared" ca="1" si="26"/>
        <v>46035</v>
      </c>
      <c r="X270" t="str">
        <f t="shared" ca="1" si="27"/>
        <v>Jan 7 to Jan 13</v>
      </c>
      <c r="Y270" t="str">
        <f t="shared" ca="1" si="28"/>
        <v>⚪ SCHEDULED</v>
      </c>
      <c r="Z270" t="str">
        <f t="shared" ca="1" si="29"/>
        <v>No action needed yet</v>
      </c>
    </row>
    <row r="271" spans="1:26">
      <c r="A271">
        <v>1009166362</v>
      </c>
      <c r="B271" s="3" t="s">
        <v>911</v>
      </c>
      <c r="C271">
        <v>54</v>
      </c>
      <c r="D271" t="s">
        <v>27</v>
      </c>
      <c r="E271" t="s">
        <v>29</v>
      </c>
      <c r="F271" t="s">
        <v>29</v>
      </c>
      <c r="G271" t="s">
        <v>28</v>
      </c>
      <c r="H271">
        <v>5</v>
      </c>
      <c r="I271" t="s">
        <v>30</v>
      </c>
      <c r="J271" t="s">
        <v>912</v>
      </c>
      <c r="K271" t="s">
        <v>913</v>
      </c>
      <c r="L271" t="s">
        <v>914</v>
      </c>
      <c r="M271" s="4" t="s">
        <v>94</v>
      </c>
      <c r="N271" t="s">
        <v>119</v>
      </c>
      <c r="P271" s="3" t="s">
        <v>36</v>
      </c>
      <c r="Q271" s="3" t="s">
        <v>45</v>
      </c>
      <c r="R271">
        <v>1</v>
      </c>
      <c r="S271" s="5">
        <v>45940</v>
      </c>
      <c r="T271" t="s">
        <v>38</v>
      </c>
      <c r="U271">
        <f t="shared" ca="1" si="24"/>
        <v>25</v>
      </c>
      <c r="V271" s="6">
        <f t="shared" ca="1" si="25"/>
        <v>46027</v>
      </c>
      <c r="W271" s="6">
        <f t="shared" ca="1" si="26"/>
        <v>46033</v>
      </c>
      <c r="X271" t="str">
        <f t="shared" ca="1" si="27"/>
        <v>Jan 5 to Jan 11</v>
      </c>
      <c r="Y271" t="str">
        <f t="shared" ca="1" si="28"/>
        <v>⚪ SCHEDULED</v>
      </c>
      <c r="Z271" t="str">
        <f t="shared" ca="1" si="29"/>
        <v>No action needed yet</v>
      </c>
    </row>
    <row r="272" spans="1:26">
      <c r="A272">
        <v>1009188259</v>
      </c>
      <c r="B272" s="3" t="s">
        <v>915</v>
      </c>
      <c r="C272">
        <v>60</v>
      </c>
      <c r="D272" t="s">
        <v>27</v>
      </c>
      <c r="E272" t="s">
        <v>28</v>
      </c>
      <c r="F272" t="s">
        <v>29</v>
      </c>
      <c r="G272" t="s">
        <v>29</v>
      </c>
      <c r="H272">
        <v>6</v>
      </c>
      <c r="I272" t="s">
        <v>30</v>
      </c>
      <c r="J272" t="s">
        <v>184</v>
      </c>
      <c r="K272" t="s">
        <v>376</v>
      </c>
      <c r="L272" t="s">
        <v>186</v>
      </c>
      <c r="M272" s="4" t="s">
        <v>43</v>
      </c>
      <c r="N272" t="s">
        <v>35</v>
      </c>
      <c r="P272" s="3" t="s">
        <v>36</v>
      </c>
      <c r="Q272" s="3" t="s">
        <v>916</v>
      </c>
      <c r="R272">
        <v>1</v>
      </c>
      <c r="S272" s="5">
        <v>45920</v>
      </c>
      <c r="T272" t="s">
        <v>38</v>
      </c>
      <c r="U272">
        <f t="shared" ca="1" si="24"/>
        <v>5</v>
      </c>
      <c r="V272" s="6">
        <f t="shared" ca="1" si="25"/>
        <v>46007</v>
      </c>
      <c r="W272" s="6">
        <f t="shared" ca="1" si="26"/>
        <v>46013</v>
      </c>
      <c r="X272" t="str">
        <f t="shared" ca="1" si="27"/>
        <v>Dec 16 to Dec 22</v>
      </c>
      <c r="Y272" t="str">
        <f t="shared" ca="1" si="28"/>
        <v>🟢 THIS WEEK</v>
      </c>
      <c r="Z272" t="str">
        <f t="shared" ca="1" si="29"/>
        <v>Confirm appointment</v>
      </c>
    </row>
    <row r="273" spans="1:26">
      <c r="A273">
        <v>1009236827</v>
      </c>
      <c r="B273" s="3" t="s">
        <v>917</v>
      </c>
      <c r="C273">
        <v>59</v>
      </c>
      <c r="D273" t="s">
        <v>47</v>
      </c>
      <c r="E273" t="s">
        <v>54</v>
      </c>
      <c r="F273" t="s">
        <v>54</v>
      </c>
      <c r="G273" t="s">
        <v>54</v>
      </c>
      <c r="H273">
        <v>2</v>
      </c>
      <c r="I273" t="s">
        <v>55</v>
      </c>
      <c r="J273" t="s">
        <v>918</v>
      </c>
      <c r="K273" t="s">
        <v>919</v>
      </c>
      <c r="L273" t="s">
        <v>170</v>
      </c>
      <c r="M273" s="4" t="s">
        <v>43</v>
      </c>
      <c r="N273" t="s">
        <v>59</v>
      </c>
      <c r="P273" s="3" t="s">
        <v>36</v>
      </c>
      <c r="Q273" s="3" t="s">
        <v>175</v>
      </c>
      <c r="R273">
        <v>1</v>
      </c>
      <c r="S273" s="5">
        <v>45949</v>
      </c>
      <c r="T273" t="s">
        <v>60</v>
      </c>
      <c r="U273">
        <f t="shared" ca="1" si="24"/>
        <v>4</v>
      </c>
      <c r="V273" s="6">
        <f t="shared" ca="1" si="25"/>
        <v>46006</v>
      </c>
      <c r="W273" s="6">
        <f t="shared" ca="1" si="26"/>
        <v>46012</v>
      </c>
      <c r="X273" t="str">
        <f t="shared" ca="1" si="27"/>
        <v>Dec 15 to Dec 21</v>
      </c>
      <c r="Y273" t="str">
        <f t="shared" ca="1" si="28"/>
        <v>🟢 THIS WEEK</v>
      </c>
      <c r="Z273" t="str">
        <f t="shared" ca="1" si="29"/>
        <v>Confirm appointment</v>
      </c>
    </row>
    <row r="274" spans="1:26">
      <c r="A274">
        <v>1009247691</v>
      </c>
      <c r="B274" s="3" t="s">
        <v>920</v>
      </c>
      <c r="C274">
        <v>60</v>
      </c>
      <c r="D274" t="s">
        <v>27</v>
      </c>
      <c r="E274" t="s">
        <v>29</v>
      </c>
      <c r="F274" t="s">
        <v>29</v>
      </c>
      <c r="G274" t="s">
        <v>28</v>
      </c>
      <c r="H274">
        <v>5</v>
      </c>
      <c r="I274" t="s">
        <v>30</v>
      </c>
      <c r="J274" t="s">
        <v>921</v>
      </c>
      <c r="K274" t="s">
        <v>922</v>
      </c>
      <c r="L274" t="s">
        <v>50</v>
      </c>
      <c r="M274" s="4" t="s">
        <v>43</v>
      </c>
      <c r="N274" t="s">
        <v>119</v>
      </c>
      <c r="P274" s="3" t="s">
        <v>36</v>
      </c>
      <c r="Q274" s="3" t="s">
        <v>84</v>
      </c>
      <c r="R274">
        <v>2</v>
      </c>
      <c r="S274" s="5">
        <v>45918</v>
      </c>
      <c r="T274" t="s">
        <v>38</v>
      </c>
      <c r="U274">
        <f t="shared" ca="1" si="24"/>
        <v>3</v>
      </c>
      <c r="V274" s="6">
        <f t="shared" ca="1" si="25"/>
        <v>46005</v>
      </c>
      <c r="W274" s="6">
        <f t="shared" ca="1" si="26"/>
        <v>46011</v>
      </c>
      <c r="X274" t="str">
        <f t="shared" ca="1" si="27"/>
        <v>Dec 14 to Dec 20</v>
      </c>
      <c r="Y274" t="str">
        <f t="shared" ca="1" si="28"/>
        <v>🟡 IMMINENT (within 3 days)</v>
      </c>
      <c r="Z274" t="str">
        <f t="shared" ca="1" si="29"/>
        <v>Prepare medications TODAY</v>
      </c>
    </row>
    <row r="275" spans="1:26">
      <c r="A275">
        <v>1009264076</v>
      </c>
      <c r="B275" s="3" t="s">
        <v>923</v>
      </c>
      <c r="C275">
        <v>89</v>
      </c>
      <c r="D275" t="s">
        <v>47</v>
      </c>
      <c r="E275" t="s">
        <v>54</v>
      </c>
      <c r="F275" t="s">
        <v>54</v>
      </c>
      <c r="G275" t="s">
        <v>54</v>
      </c>
      <c r="H275">
        <v>4</v>
      </c>
      <c r="I275" t="s">
        <v>66</v>
      </c>
      <c r="J275" t="s">
        <v>924</v>
      </c>
      <c r="K275" t="s">
        <v>925</v>
      </c>
      <c r="L275" t="s">
        <v>105</v>
      </c>
      <c r="M275" s="4" t="s">
        <v>34</v>
      </c>
      <c r="N275" t="s">
        <v>59</v>
      </c>
      <c r="P275" s="3" t="s">
        <v>36</v>
      </c>
      <c r="Q275" s="3" t="s">
        <v>84</v>
      </c>
      <c r="R275">
        <v>1</v>
      </c>
      <c r="S275" s="5">
        <v>45372</v>
      </c>
      <c r="T275" t="s">
        <v>38</v>
      </c>
      <c r="U275">
        <f t="shared" ca="1" si="24"/>
        <v>27</v>
      </c>
      <c r="V275" s="6">
        <f t="shared" ca="1" si="25"/>
        <v>46029</v>
      </c>
      <c r="W275" s="6">
        <f t="shared" ca="1" si="26"/>
        <v>46035</v>
      </c>
      <c r="X275" t="str">
        <f t="shared" ca="1" si="27"/>
        <v>Jan 7 to Jan 13</v>
      </c>
      <c r="Y275" t="str">
        <f t="shared" ca="1" si="28"/>
        <v>⚪ SCHEDULED</v>
      </c>
      <c r="Z275" t="str">
        <f t="shared" ca="1" si="29"/>
        <v>No action needed yet</v>
      </c>
    </row>
    <row r="276" spans="1:26">
      <c r="A276">
        <v>1009329119</v>
      </c>
      <c r="B276" s="3" t="s">
        <v>926</v>
      </c>
      <c r="C276">
        <v>75</v>
      </c>
      <c r="D276" t="s">
        <v>27</v>
      </c>
      <c r="E276" t="s">
        <v>29</v>
      </c>
      <c r="F276" t="s">
        <v>29</v>
      </c>
      <c r="G276" t="s">
        <v>28</v>
      </c>
      <c r="H276">
        <v>7</v>
      </c>
      <c r="I276" t="s">
        <v>30</v>
      </c>
      <c r="J276" t="s">
        <v>927</v>
      </c>
      <c r="K276" t="s">
        <v>928</v>
      </c>
      <c r="L276" t="s">
        <v>929</v>
      </c>
      <c r="M276" s="4" t="s">
        <v>34</v>
      </c>
      <c r="N276" t="s">
        <v>119</v>
      </c>
      <c r="P276" s="3" t="s">
        <v>36</v>
      </c>
      <c r="Q276" s="3" t="s">
        <v>107</v>
      </c>
      <c r="R276">
        <v>1</v>
      </c>
      <c r="S276" s="5">
        <v>45701</v>
      </c>
      <c r="T276" t="s">
        <v>38</v>
      </c>
      <c r="U276">
        <f t="shared" ca="1" si="24"/>
        <v>26</v>
      </c>
      <c r="V276" s="6">
        <f t="shared" ca="1" si="25"/>
        <v>46028</v>
      </c>
      <c r="W276" s="6">
        <f t="shared" ca="1" si="26"/>
        <v>46034</v>
      </c>
      <c r="X276" t="str">
        <f t="shared" ca="1" si="27"/>
        <v>Jan 6 to Jan 12</v>
      </c>
      <c r="Y276" t="str">
        <f t="shared" ca="1" si="28"/>
        <v>⚪ SCHEDULED</v>
      </c>
      <c r="Z276" t="str">
        <f t="shared" ca="1" si="29"/>
        <v>No action needed yet</v>
      </c>
    </row>
    <row r="277" spans="1:26">
      <c r="A277">
        <v>1009416734</v>
      </c>
      <c r="B277" s="3" t="s">
        <v>930</v>
      </c>
      <c r="C277">
        <v>66</v>
      </c>
      <c r="D277" t="s">
        <v>27</v>
      </c>
      <c r="E277" t="s">
        <v>29</v>
      </c>
      <c r="F277" t="s">
        <v>29</v>
      </c>
      <c r="G277" t="s">
        <v>29</v>
      </c>
      <c r="H277">
        <v>7</v>
      </c>
      <c r="I277" t="s">
        <v>30</v>
      </c>
      <c r="J277" t="s">
        <v>112</v>
      </c>
      <c r="K277" t="s">
        <v>931</v>
      </c>
      <c r="L277" t="s">
        <v>114</v>
      </c>
      <c r="M277" s="4" t="s">
        <v>43</v>
      </c>
      <c r="N277" t="s">
        <v>470</v>
      </c>
      <c r="P277" s="3" t="s">
        <v>36</v>
      </c>
      <c r="Q277" s="3" t="s">
        <v>45</v>
      </c>
      <c r="R277">
        <v>2</v>
      </c>
      <c r="S277" s="5">
        <v>45856</v>
      </c>
      <c r="T277" t="s">
        <v>38</v>
      </c>
      <c r="U277">
        <f t="shared" ca="1" si="24"/>
        <v>1</v>
      </c>
      <c r="V277" s="6">
        <f t="shared" ca="1" si="25"/>
        <v>46003</v>
      </c>
      <c r="W277" s="6">
        <f t="shared" ca="1" si="26"/>
        <v>46009</v>
      </c>
      <c r="X277" t="str">
        <f t="shared" ca="1" si="27"/>
        <v>Dec 12 to Dec 18</v>
      </c>
      <c r="Y277" t="str">
        <f t="shared" ca="1" si="28"/>
        <v>🟡 IMMINENT (within 3 days)</v>
      </c>
      <c r="Z277" t="str">
        <f t="shared" ca="1" si="29"/>
        <v>Prepare medications TODAY</v>
      </c>
    </row>
    <row r="278" spans="1:26">
      <c r="A278">
        <v>1009421171</v>
      </c>
      <c r="B278" s="3" t="s">
        <v>932</v>
      </c>
      <c r="C278">
        <v>50</v>
      </c>
      <c r="D278" t="s">
        <v>47</v>
      </c>
      <c r="E278" t="s">
        <v>29</v>
      </c>
      <c r="F278" t="s">
        <v>28</v>
      </c>
      <c r="G278" t="s">
        <v>28</v>
      </c>
      <c r="H278">
        <v>4</v>
      </c>
      <c r="I278" t="s">
        <v>66</v>
      </c>
      <c r="J278" t="s">
        <v>933</v>
      </c>
      <c r="K278" t="s">
        <v>934</v>
      </c>
      <c r="L278" t="s">
        <v>105</v>
      </c>
      <c r="M278" s="4" t="s">
        <v>94</v>
      </c>
      <c r="N278" t="s">
        <v>162</v>
      </c>
      <c r="P278" s="3" t="s">
        <v>36</v>
      </c>
      <c r="Q278" s="3" t="s">
        <v>123</v>
      </c>
      <c r="R278">
        <v>1</v>
      </c>
      <c r="S278" s="5">
        <v>45959</v>
      </c>
      <c r="T278" t="s">
        <v>38</v>
      </c>
      <c r="U278">
        <f t="shared" ca="1" si="24"/>
        <v>14</v>
      </c>
      <c r="V278" s="6">
        <f t="shared" ca="1" si="25"/>
        <v>46016</v>
      </c>
      <c r="W278" s="6">
        <f t="shared" ca="1" si="26"/>
        <v>46022</v>
      </c>
      <c r="X278" t="str">
        <f t="shared" ca="1" si="27"/>
        <v>Dec 25 to Dec 31</v>
      </c>
      <c r="Y278" t="str">
        <f t="shared" ca="1" si="28"/>
        <v>🔵 NEXT 2 WEEKS</v>
      </c>
      <c r="Z278" t="str">
        <f t="shared" ca="1" si="29"/>
        <v>Send reminder SMS</v>
      </c>
    </row>
    <row r="279" spans="1:26">
      <c r="A279">
        <v>1009425636</v>
      </c>
      <c r="B279" s="3" t="s">
        <v>935</v>
      </c>
      <c r="C279">
        <v>55</v>
      </c>
      <c r="D279" t="s">
        <v>47</v>
      </c>
      <c r="E279" t="s">
        <v>29</v>
      </c>
      <c r="F279" t="s">
        <v>28</v>
      </c>
      <c r="G279" t="s">
        <v>28</v>
      </c>
      <c r="H279">
        <v>4</v>
      </c>
      <c r="I279" t="s">
        <v>66</v>
      </c>
      <c r="J279" t="s">
        <v>936</v>
      </c>
      <c r="K279" t="s">
        <v>937</v>
      </c>
      <c r="L279" t="s">
        <v>105</v>
      </c>
      <c r="M279" s="4" t="s">
        <v>34</v>
      </c>
      <c r="N279" t="s">
        <v>162</v>
      </c>
      <c r="P279" s="3" t="s">
        <v>36</v>
      </c>
      <c r="Q279" s="3" t="s">
        <v>381</v>
      </c>
      <c r="R279">
        <v>1</v>
      </c>
      <c r="S279" s="5">
        <v>45344</v>
      </c>
      <c r="T279" t="s">
        <v>38</v>
      </c>
      <c r="U279">
        <f t="shared" ca="1" si="24"/>
        <v>29</v>
      </c>
      <c r="V279" s="6">
        <f t="shared" ca="1" si="25"/>
        <v>46031</v>
      </c>
      <c r="W279" s="6">
        <f t="shared" ca="1" si="26"/>
        <v>46037</v>
      </c>
      <c r="X279" t="str">
        <f t="shared" ca="1" si="27"/>
        <v>Jan 9 to Jan 15</v>
      </c>
      <c r="Y279" t="str">
        <f t="shared" ca="1" si="28"/>
        <v>⚪ SCHEDULED</v>
      </c>
      <c r="Z279" t="str">
        <f t="shared" ca="1" si="29"/>
        <v>No action needed yet</v>
      </c>
    </row>
    <row r="280" spans="1:26">
      <c r="A280">
        <v>1009500479</v>
      </c>
      <c r="B280" s="3" t="s">
        <v>938</v>
      </c>
      <c r="C280">
        <v>78</v>
      </c>
      <c r="D280" t="s">
        <v>47</v>
      </c>
      <c r="E280" t="s">
        <v>29</v>
      </c>
      <c r="F280" t="s">
        <v>28</v>
      </c>
      <c r="G280" t="s">
        <v>29</v>
      </c>
      <c r="H280">
        <v>6</v>
      </c>
      <c r="I280" t="s">
        <v>30</v>
      </c>
      <c r="J280" t="s">
        <v>939</v>
      </c>
      <c r="K280" t="s">
        <v>940</v>
      </c>
      <c r="L280" t="s">
        <v>941</v>
      </c>
      <c r="M280" s="4" t="s">
        <v>43</v>
      </c>
      <c r="N280" t="s">
        <v>51</v>
      </c>
      <c r="P280" s="3" t="s">
        <v>36</v>
      </c>
      <c r="Q280" s="3" t="s">
        <v>90</v>
      </c>
      <c r="R280">
        <v>2</v>
      </c>
      <c r="S280" s="5">
        <v>45920</v>
      </c>
      <c r="T280" t="s">
        <v>38</v>
      </c>
      <c r="U280">
        <f t="shared" ca="1" si="24"/>
        <v>5</v>
      </c>
      <c r="V280" s="6">
        <f t="shared" ca="1" si="25"/>
        <v>46007</v>
      </c>
      <c r="W280" s="6">
        <f t="shared" ca="1" si="26"/>
        <v>46013</v>
      </c>
      <c r="X280" t="str">
        <f t="shared" ca="1" si="27"/>
        <v>Dec 16 to Dec 22</v>
      </c>
      <c r="Y280" t="str">
        <f t="shared" ca="1" si="28"/>
        <v>🟢 THIS WEEK</v>
      </c>
      <c r="Z280" t="str">
        <f t="shared" ca="1" si="29"/>
        <v>Confirm appointment</v>
      </c>
    </row>
    <row r="281" spans="1:26">
      <c r="A281">
        <v>1009529593</v>
      </c>
      <c r="B281" s="3" t="s">
        <v>942</v>
      </c>
      <c r="C281">
        <v>54</v>
      </c>
      <c r="D281" t="s">
        <v>27</v>
      </c>
      <c r="E281" t="s">
        <v>29</v>
      </c>
      <c r="F281" t="s">
        <v>29</v>
      </c>
      <c r="G281" t="s">
        <v>28</v>
      </c>
      <c r="H281">
        <v>4</v>
      </c>
      <c r="I281" t="s">
        <v>66</v>
      </c>
      <c r="J281" t="s">
        <v>943</v>
      </c>
      <c r="K281" t="s">
        <v>944</v>
      </c>
      <c r="M281" s="4" t="s">
        <v>43</v>
      </c>
      <c r="N281" t="s">
        <v>144</v>
      </c>
      <c r="P281" s="3" t="s">
        <v>36</v>
      </c>
      <c r="Q281" s="3" t="s">
        <v>84</v>
      </c>
      <c r="R281">
        <v>2</v>
      </c>
      <c r="S281" s="5">
        <v>45930</v>
      </c>
      <c r="T281" t="s">
        <v>38</v>
      </c>
      <c r="U281">
        <f t="shared" ca="1" si="24"/>
        <v>15</v>
      </c>
      <c r="V281" s="6">
        <f t="shared" ca="1" si="25"/>
        <v>46017</v>
      </c>
      <c r="W281" s="6">
        <f t="shared" ca="1" si="26"/>
        <v>46023</v>
      </c>
      <c r="X281" t="str">
        <f t="shared" ca="1" si="27"/>
        <v>Dec 26 to Jan 1</v>
      </c>
      <c r="Y281" t="str">
        <f t="shared" ca="1" si="28"/>
        <v>⚪ SCHEDULED</v>
      </c>
      <c r="Z281" t="str">
        <f t="shared" ca="1" si="29"/>
        <v>No action needed yet</v>
      </c>
    </row>
    <row r="282" spans="1:26">
      <c r="A282">
        <v>1009536101</v>
      </c>
      <c r="B282" s="3" t="s">
        <v>945</v>
      </c>
      <c r="C282">
        <v>54</v>
      </c>
      <c r="D282" t="s">
        <v>27</v>
      </c>
      <c r="E282" t="s">
        <v>28</v>
      </c>
      <c r="F282" t="s">
        <v>29</v>
      </c>
      <c r="G282" t="s">
        <v>28</v>
      </c>
      <c r="H282">
        <v>4</v>
      </c>
      <c r="I282" t="s">
        <v>66</v>
      </c>
      <c r="J282" t="s">
        <v>946</v>
      </c>
      <c r="K282" t="s">
        <v>947</v>
      </c>
      <c r="L282" t="s">
        <v>948</v>
      </c>
      <c r="M282" s="4" t="s">
        <v>43</v>
      </c>
      <c r="N282" t="s">
        <v>64</v>
      </c>
      <c r="P282" s="3" t="s">
        <v>36</v>
      </c>
      <c r="Q282" s="3" t="s">
        <v>84</v>
      </c>
      <c r="R282">
        <v>1</v>
      </c>
      <c r="S282" s="5">
        <v>45877</v>
      </c>
      <c r="T282" t="s">
        <v>38</v>
      </c>
      <c r="U282">
        <f t="shared" ca="1" si="24"/>
        <v>22</v>
      </c>
      <c r="V282" s="6">
        <f t="shared" ca="1" si="25"/>
        <v>46024</v>
      </c>
      <c r="W282" s="6">
        <f t="shared" ca="1" si="26"/>
        <v>46030</v>
      </c>
      <c r="X282" t="str">
        <f t="shared" ca="1" si="27"/>
        <v>Jan 2 to Jan 8</v>
      </c>
      <c r="Y282" t="str">
        <f t="shared" ca="1" si="28"/>
        <v>⚪ SCHEDULED</v>
      </c>
      <c r="Z282" t="str">
        <f t="shared" ca="1" si="29"/>
        <v>No action needed yet</v>
      </c>
    </row>
    <row r="283" spans="1:26">
      <c r="A283">
        <v>1009536986</v>
      </c>
      <c r="B283" s="3" t="s">
        <v>949</v>
      </c>
      <c r="C283">
        <v>71</v>
      </c>
      <c r="D283" t="s">
        <v>47</v>
      </c>
      <c r="E283" t="s">
        <v>28</v>
      </c>
      <c r="F283" t="s">
        <v>29</v>
      </c>
      <c r="G283" t="s">
        <v>29</v>
      </c>
      <c r="H283">
        <v>6</v>
      </c>
      <c r="I283" t="s">
        <v>30</v>
      </c>
      <c r="J283" t="s">
        <v>950</v>
      </c>
      <c r="K283" t="s">
        <v>951</v>
      </c>
      <c r="L283" t="s">
        <v>193</v>
      </c>
      <c r="M283" s="4" t="s">
        <v>94</v>
      </c>
      <c r="N283" t="s">
        <v>333</v>
      </c>
      <c r="P283" s="3" t="s">
        <v>36</v>
      </c>
      <c r="Q283" s="3" t="s">
        <v>77</v>
      </c>
      <c r="R283">
        <v>1</v>
      </c>
      <c r="S283" s="5">
        <v>45951</v>
      </c>
      <c r="T283" t="s">
        <v>38</v>
      </c>
      <c r="U283">
        <f t="shared" ca="1" si="24"/>
        <v>6</v>
      </c>
      <c r="V283" s="6">
        <f t="shared" ca="1" si="25"/>
        <v>46008</v>
      </c>
      <c r="W283" s="6">
        <f t="shared" ca="1" si="26"/>
        <v>46014</v>
      </c>
      <c r="X283" t="str">
        <f t="shared" ca="1" si="27"/>
        <v>Dec 17 to Dec 23</v>
      </c>
      <c r="Y283" t="str">
        <f t="shared" ca="1" si="28"/>
        <v>🟢 THIS WEEK</v>
      </c>
      <c r="Z283" t="str">
        <f t="shared" ca="1" si="29"/>
        <v>Confirm appointment</v>
      </c>
    </row>
    <row r="284" spans="1:26">
      <c r="A284">
        <v>1009536994</v>
      </c>
      <c r="B284" s="3" t="s">
        <v>952</v>
      </c>
      <c r="C284">
        <v>65</v>
      </c>
      <c r="D284" t="s">
        <v>47</v>
      </c>
      <c r="E284" t="s">
        <v>29</v>
      </c>
      <c r="F284" t="s">
        <v>29</v>
      </c>
      <c r="G284" t="s">
        <v>28</v>
      </c>
      <c r="H284">
        <v>5</v>
      </c>
      <c r="I284" t="s">
        <v>30</v>
      </c>
      <c r="J284" t="s">
        <v>953</v>
      </c>
      <c r="K284" t="s">
        <v>954</v>
      </c>
      <c r="L284" t="s">
        <v>317</v>
      </c>
      <c r="M284" s="4" t="s">
        <v>34</v>
      </c>
      <c r="N284" t="s">
        <v>119</v>
      </c>
      <c r="P284" s="3" t="s">
        <v>36</v>
      </c>
      <c r="Q284" s="3" t="s">
        <v>107</v>
      </c>
      <c r="R284">
        <v>1</v>
      </c>
      <c r="S284" s="5">
        <v>45828</v>
      </c>
      <c r="T284" t="s">
        <v>38</v>
      </c>
      <c r="U284">
        <f t="shared" ca="1" si="24"/>
        <v>3</v>
      </c>
      <c r="V284" s="6">
        <f t="shared" ca="1" si="25"/>
        <v>46005</v>
      </c>
      <c r="W284" s="6">
        <f t="shared" ca="1" si="26"/>
        <v>46011</v>
      </c>
      <c r="X284" t="str">
        <f t="shared" ca="1" si="27"/>
        <v>Dec 14 to Dec 20</v>
      </c>
      <c r="Y284" t="str">
        <f t="shared" ca="1" si="28"/>
        <v>🟡 IMMINENT (within 3 days)</v>
      </c>
      <c r="Z284" t="str">
        <f t="shared" ca="1" si="29"/>
        <v>Prepare medications TODAY</v>
      </c>
    </row>
    <row r="285" spans="1:26">
      <c r="A285">
        <v>1009558931</v>
      </c>
      <c r="B285" s="3" t="s">
        <v>955</v>
      </c>
      <c r="C285">
        <v>56</v>
      </c>
      <c r="D285" t="s">
        <v>27</v>
      </c>
      <c r="E285" t="s">
        <v>29</v>
      </c>
      <c r="F285" t="s">
        <v>28</v>
      </c>
      <c r="G285" t="s">
        <v>28</v>
      </c>
      <c r="H285">
        <v>4</v>
      </c>
      <c r="I285" t="s">
        <v>66</v>
      </c>
      <c r="J285" t="s">
        <v>956</v>
      </c>
      <c r="K285" t="s">
        <v>957</v>
      </c>
      <c r="M285" s="4" t="s">
        <v>43</v>
      </c>
      <c r="N285" t="s">
        <v>148</v>
      </c>
      <c r="P285" s="3" t="s">
        <v>36</v>
      </c>
      <c r="Q285" s="3" t="s">
        <v>958</v>
      </c>
      <c r="R285">
        <v>1</v>
      </c>
      <c r="S285" s="5">
        <v>45868</v>
      </c>
      <c r="T285" t="s">
        <v>38</v>
      </c>
      <c r="U285">
        <f t="shared" ca="1" si="24"/>
        <v>13</v>
      </c>
      <c r="V285" s="6">
        <f t="shared" ca="1" si="25"/>
        <v>46015</v>
      </c>
      <c r="W285" s="6">
        <f t="shared" ca="1" si="26"/>
        <v>46021</v>
      </c>
      <c r="X285" t="str">
        <f t="shared" ca="1" si="27"/>
        <v>Dec 24 to Dec 30</v>
      </c>
      <c r="Y285" t="str">
        <f t="shared" ca="1" si="28"/>
        <v>🔵 NEXT 2 WEEKS</v>
      </c>
      <c r="Z285" t="str">
        <f t="shared" ca="1" si="29"/>
        <v>Send reminder SMS</v>
      </c>
    </row>
    <row r="286" spans="1:26">
      <c r="A286">
        <v>1009591130</v>
      </c>
      <c r="B286" s="3" t="s">
        <v>959</v>
      </c>
      <c r="C286">
        <v>48</v>
      </c>
      <c r="D286" t="s">
        <v>27</v>
      </c>
      <c r="E286" t="s">
        <v>28</v>
      </c>
      <c r="F286" t="s">
        <v>28</v>
      </c>
      <c r="G286" t="s">
        <v>28</v>
      </c>
      <c r="H286">
        <v>1</v>
      </c>
      <c r="I286" t="s">
        <v>55</v>
      </c>
      <c r="J286" t="s">
        <v>960</v>
      </c>
      <c r="K286" t="s">
        <v>961</v>
      </c>
      <c r="L286" t="s">
        <v>962</v>
      </c>
      <c r="M286" s="4" t="s">
        <v>34</v>
      </c>
      <c r="N286" t="s">
        <v>59</v>
      </c>
      <c r="P286" s="3" t="s">
        <v>36</v>
      </c>
      <c r="Q286" s="3" t="s">
        <v>84</v>
      </c>
      <c r="R286">
        <v>2</v>
      </c>
      <c r="S286" s="5">
        <v>45725</v>
      </c>
      <c r="T286" t="s">
        <v>393</v>
      </c>
      <c r="U286">
        <f t="shared" ca="1" si="24"/>
        <v>80</v>
      </c>
      <c r="V286" s="6">
        <f t="shared" ca="1" si="25"/>
        <v>46082</v>
      </c>
      <c r="W286" s="6">
        <f t="shared" ca="1" si="26"/>
        <v>46088</v>
      </c>
      <c r="X286" t="str">
        <f t="shared" ca="1" si="27"/>
        <v>Mar 1 to Mar 7</v>
      </c>
      <c r="Y286" t="str">
        <f t="shared" ca="1" si="28"/>
        <v>⚪ SCHEDULED</v>
      </c>
      <c r="Z286" t="str">
        <f t="shared" ca="1" si="29"/>
        <v>No action needed yet</v>
      </c>
    </row>
    <row r="287" spans="1:26">
      <c r="A287">
        <v>1009636133</v>
      </c>
      <c r="B287" s="3" t="s">
        <v>963</v>
      </c>
      <c r="C287">
        <v>45</v>
      </c>
      <c r="D287" t="s">
        <v>27</v>
      </c>
      <c r="E287" t="s">
        <v>28</v>
      </c>
      <c r="F287" t="s">
        <v>29</v>
      </c>
      <c r="G287" t="s">
        <v>28</v>
      </c>
      <c r="H287">
        <v>2</v>
      </c>
      <c r="I287" t="s">
        <v>55</v>
      </c>
      <c r="J287" t="s">
        <v>398</v>
      </c>
      <c r="K287" t="s">
        <v>964</v>
      </c>
      <c r="L287" t="s">
        <v>69</v>
      </c>
      <c r="M287" s="4" t="s">
        <v>94</v>
      </c>
      <c r="N287" t="s">
        <v>70</v>
      </c>
      <c r="P287" s="3" t="s">
        <v>36</v>
      </c>
      <c r="Q287" s="3" t="s">
        <v>107</v>
      </c>
      <c r="R287">
        <v>1</v>
      </c>
      <c r="S287" s="5">
        <v>45990</v>
      </c>
      <c r="T287" t="s">
        <v>60</v>
      </c>
      <c r="U287">
        <f t="shared" ca="1" si="24"/>
        <v>45</v>
      </c>
      <c r="V287" s="6">
        <f t="shared" ca="1" si="25"/>
        <v>46047</v>
      </c>
      <c r="W287" s="6">
        <f t="shared" ca="1" si="26"/>
        <v>46053</v>
      </c>
      <c r="X287" t="str">
        <f t="shared" ca="1" si="27"/>
        <v>Jan 25 to Jan 31</v>
      </c>
      <c r="Y287" t="str">
        <f t="shared" ca="1" si="28"/>
        <v>⚪ SCHEDULED</v>
      </c>
      <c r="Z287" t="str">
        <f t="shared" ca="1" si="29"/>
        <v>No action needed yet</v>
      </c>
    </row>
    <row r="288" spans="1:26">
      <c r="A288">
        <v>1009667740</v>
      </c>
      <c r="B288" s="3" t="s">
        <v>965</v>
      </c>
      <c r="C288">
        <v>65</v>
      </c>
      <c r="D288" t="s">
        <v>47</v>
      </c>
      <c r="E288" t="s">
        <v>29</v>
      </c>
      <c r="F288" t="s">
        <v>29</v>
      </c>
      <c r="G288" t="s">
        <v>28</v>
      </c>
      <c r="H288">
        <v>5</v>
      </c>
      <c r="I288" t="s">
        <v>30</v>
      </c>
      <c r="J288" t="s">
        <v>966</v>
      </c>
      <c r="K288" t="s">
        <v>967</v>
      </c>
      <c r="L288" t="s">
        <v>968</v>
      </c>
      <c r="M288" s="4" t="s">
        <v>34</v>
      </c>
      <c r="N288" t="s">
        <v>106</v>
      </c>
      <c r="P288" s="3" t="s">
        <v>36</v>
      </c>
      <c r="Q288" s="3" t="s">
        <v>969</v>
      </c>
      <c r="R288">
        <v>2</v>
      </c>
      <c r="S288" s="5">
        <v>45820</v>
      </c>
      <c r="T288" t="s">
        <v>38</v>
      </c>
      <c r="U288">
        <f t="shared" ca="1" si="24"/>
        <v>25</v>
      </c>
      <c r="V288" s="6">
        <f t="shared" ca="1" si="25"/>
        <v>46027</v>
      </c>
      <c r="W288" s="6">
        <f t="shared" ca="1" si="26"/>
        <v>46033</v>
      </c>
      <c r="X288" t="str">
        <f t="shared" ca="1" si="27"/>
        <v>Jan 5 to Jan 11</v>
      </c>
      <c r="Y288" t="str">
        <f t="shared" ca="1" si="28"/>
        <v>⚪ SCHEDULED</v>
      </c>
      <c r="Z288" t="str">
        <f t="shared" ca="1" si="29"/>
        <v>No action needed yet</v>
      </c>
    </row>
    <row r="289" spans="1:26">
      <c r="A289">
        <v>1009675917</v>
      </c>
      <c r="B289" s="3" t="s">
        <v>970</v>
      </c>
      <c r="C289">
        <v>62</v>
      </c>
      <c r="D289" t="s">
        <v>47</v>
      </c>
      <c r="E289" t="s">
        <v>29</v>
      </c>
      <c r="F289" t="s">
        <v>29</v>
      </c>
      <c r="G289" t="s">
        <v>29</v>
      </c>
      <c r="H289">
        <v>6</v>
      </c>
      <c r="I289" t="s">
        <v>30</v>
      </c>
      <c r="J289" t="s">
        <v>388</v>
      </c>
      <c r="K289" t="s">
        <v>971</v>
      </c>
      <c r="L289" t="s">
        <v>33</v>
      </c>
      <c r="M289" s="4" t="s">
        <v>43</v>
      </c>
      <c r="N289" t="s">
        <v>44</v>
      </c>
      <c r="P289" s="3" t="s">
        <v>36</v>
      </c>
      <c r="Q289" s="3" t="s">
        <v>77</v>
      </c>
      <c r="R289">
        <v>2</v>
      </c>
      <c r="S289" s="5">
        <v>45902</v>
      </c>
      <c r="T289" t="s">
        <v>38</v>
      </c>
      <c r="U289">
        <f t="shared" ca="1" si="24"/>
        <v>17</v>
      </c>
      <c r="V289" s="6">
        <f t="shared" ca="1" si="25"/>
        <v>46019</v>
      </c>
      <c r="W289" s="6">
        <f t="shared" ca="1" si="26"/>
        <v>46025</v>
      </c>
      <c r="X289" t="str">
        <f t="shared" ca="1" si="27"/>
        <v>Dec 28 to Jan 3</v>
      </c>
      <c r="Y289" t="str">
        <f t="shared" ca="1" si="28"/>
        <v>⚪ SCHEDULED</v>
      </c>
      <c r="Z289" t="str">
        <f t="shared" ca="1" si="29"/>
        <v>No action needed yet</v>
      </c>
    </row>
    <row r="290" spans="1:26">
      <c r="A290">
        <v>1009689926</v>
      </c>
      <c r="B290" s="3" t="s">
        <v>972</v>
      </c>
      <c r="C290">
        <v>81</v>
      </c>
      <c r="D290" t="s">
        <v>27</v>
      </c>
      <c r="E290" t="s">
        <v>29</v>
      </c>
      <c r="F290" t="s">
        <v>29</v>
      </c>
      <c r="G290" t="s">
        <v>28</v>
      </c>
      <c r="H290">
        <v>6</v>
      </c>
      <c r="I290" t="s">
        <v>30</v>
      </c>
      <c r="J290" t="s">
        <v>973</v>
      </c>
      <c r="K290" t="s">
        <v>974</v>
      </c>
      <c r="L290" t="s">
        <v>975</v>
      </c>
      <c r="M290" s="4" t="s">
        <v>34</v>
      </c>
      <c r="N290" t="s">
        <v>106</v>
      </c>
      <c r="P290" s="3" t="s">
        <v>36</v>
      </c>
      <c r="Q290" s="3" t="s">
        <v>230</v>
      </c>
      <c r="R290">
        <v>2</v>
      </c>
      <c r="S290" s="5">
        <v>45785</v>
      </c>
      <c r="T290" t="s">
        <v>38</v>
      </c>
      <c r="U290">
        <f t="shared" ca="1" si="24"/>
        <v>20</v>
      </c>
      <c r="V290" s="6">
        <f t="shared" ca="1" si="25"/>
        <v>46022</v>
      </c>
      <c r="W290" s="6">
        <f t="shared" ca="1" si="26"/>
        <v>46028</v>
      </c>
      <c r="X290" t="str">
        <f t="shared" ca="1" si="27"/>
        <v>Dec 31 to Jan 6</v>
      </c>
      <c r="Y290" t="str">
        <f t="shared" ca="1" si="28"/>
        <v>⚪ SCHEDULED</v>
      </c>
      <c r="Z290" t="str">
        <f t="shared" ca="1" si="29"/>
        <v>No action needed yet</v>
      </c>
    </row>
    <row r="291" spans="1:26">
      <c r="A291">
        <v>1009725910</v>
      </c>
      <c r="B291" s="3" t="s">
        <v>976</v>
      </c>
      <c r="C291">
        <v>44</v>
      </c>
      <c r="D291" t="s">
        <v>47</v>
      </c>
      <c r="E291" t="s">
        <v>29</v>
      </c>
      <c r="F291" t="s">
        <v>28</v>
      </c>
      <c r="G291" t="s">
        <v>29</v>
      </c>
      <c r="H291">
        <v>4</v>
      </c>
      <c r="I291" t="s">
        <v>66</v>
      </c>
      <c r="J291" t="s">
        <v>146</v>
      </c>
      <c r="K291" t="s">
        <v>977</v>
      </c>
      <c r="M291" s="4" t="s">
        <v>34</v>
      </c>
      <c r="N291" t="s">
        <v>95</v>
      </c>
      <c r="P291" s="3" t="s">
        <v>36</v>
      </c>
      <c r="Q291" s="3" t="s">
        <v>45</v>
      </c>
      <c r="R291">
        <v>1</v>
      </c>
      <c r="S291" s="5">
        <v>45820</v>
      </c>
      <c r="T291" t="s">
        <v>38</v>
      </c>
      <c r="U291">
        <f t="shared" ca="1" si="24"/>
        <v>25</v>
      </c>
      <c r="V291" s="6">
        <f t="shared" ca="1" si="25"/>
        <v>46027</v>
      </c>
      <c r="W291" s="6">
        <f t="shared" ca="1" si="26"/>
        <v>46033</v>
      </c>
      <c r="X291" t="str">
        <f t="shared" ca="1" si="27"/>
        <v>Jan 5 to Jan 11</v>
      </c>
      <c r="Y291" t="str">
        <f t="shared" ca="1" si="28"/>
        <v>⚪ SCHEDULED</v>
      </c>
      <c r="Z291" t="str">
        <f t="shared" ca="1" si="29"/>
        <v>No action needed yet</v>
      </c>
    </row>
    <row r="292" spans="1:26">
      <c r="A292">
        <v>1009811785</v>
      </c>
      <c r="B292" s="3" t="s">
        <v>978</v>
      </c>
      <c r="C292">
        <v>71</v>
      </c>
      <c r="D292" t="s">
        <v>47</v>
      </c>
      <c r="E292" t="s">
        <v>29</v>
      </c>
      <c r="F292" t="s">
        <v>29</v>
      </c>
      <c r="G292" t="s">
        <v>29</v>
      </c>
      <c r="H292">
        <v>7</v>
      </c>
      <c r="I292" t="s">
        <v>30</v>
      </c>
      <c r="J292" t="s">
        <v>302</v>
      </c>
      <c r="K292" t="s">
        <v>979</v>
      </c>
      <c r="M292" s="4" t="s">
        <v>43</v>
      </c>
      <c r="N292" t="s">
        <v>44</v>
      </c>
      <c r="P292" s="3" t="s">
        <v>36</v>
      </c>
      <c r="Q292" s="3" t="s">
        <v>90</v>
      </c>
      <c r="R292">
        <v>2</v>
      </c>
      <c r="S292" s="5">
        <v>45898</v>
      </c>
      <c r="T292" t="s">
        <v>38</v>
      </c>
      <c r="U292">
        <f t="shared" ca="1" si="24"/>
        <v>13</v>
      </c>
      <c r="V292" s="6">
        <f t="shared" ca="1" si="25"/>
        <v>46015</v>
      </c>
      <c r="W292" s="6">
        <f t="shared" ca="1" si="26"/>
        <v>46021</v>
      </c>
      <c r="X292" t="str">
        <f t="shared" ca="1" si="27"/>
        <v>Dec 24 to Dec 30</v>
      </c>
      <c r="Y292" t="str">
        <f t="shared" ca="1" si="28"/>
        <v>🔵 NEXT 2 WEEKS</v>
      </c>
      <c r="Z292" t="str">
        <f t="shared" ca="1" si="29"/>
        <v>Send reminder SMS</v>
      </c>
    </row>
    <row r="293" spans="1:26">
      <c r="A293">
        <v>1009811793</v>
      </c>
      <c r="B293" s="3" t="s">
        <v>980</v>
      </c>
      <c r="C293">
        <v>68</v>
      </c>
      <c r="D293" t="s">
        <v>27</v>
      </c>
      <c r="E293" t="s">
        <v>29</v>
      </c>
      <c r="F293" t="s">
        <v>29</v>
      </c>
      <c r="G293" t="s">
        <v>29</v>
      </c>
      <c r="H293">
        <v>6</v>
      </c>
      <c r="I293" t="s">
        <v>30</v>
      </c>
      <c r="J293" t="s">
        <v>519</v>
      </c>
      <c r="K293" t="s">
        <v>981</v>
      </c>
      <c r="L293" t="s">
        <v>114</v>
      </c>
      <c r="M293" s="4" t="s">
        <v>43</v>
      </c>
      <c r="N293" t="s">
        <v>470</v>
      </c>
      <c r="P293" s="3" t="s">
        <v>36</v>
      </c>
      <c r="Q293" s="3" t="s">
        <v>90</v>
      </c>
      <c r="R293">
        <v>2</v>
      </c>
      <c r="S293" s="5">
        <v>45861</v>
      </c>
      <c r="T293" t="s">
        <v>38</v>
      </c>
      <c r="U293">
        <f t="shared" ca="1" si="24"/>
        <v>6</v>
      </c>
      <c r="V293" s="6">
        <f t="shared" ca="1" si="25"/>
        <v>46008</v>
      </c>
      <c r="W293" s="6">
        <f t="shared" ca="1" si="26"/>
        <v>46014</v>
      </c>
      <c r="X293" t="str">
        <f t="shared" ca="1" si="27"/>
        <v>Dec 17 to Dec 23</v>
      </c>
      <c r="Y293" t="str">
        <f t="shared" ca="1" si="28"/>
        <v>🟢 THIS WEEK</v>
      </c>
      <c r="Z293" t="str">
        <f t="shared" ca="1" si="29"/>
        <v>Confirm appointment</v>
      </c>
    </row>
    <row r="294" spans="1:26">
      <c r="A294">
        <v>1009823970</v>
      </c>
      <c r="B294" s="3" t="s">
        <v>982</v>
      </c>
      <c r="C294">
        <v>67</v>
      </c>
      <c r="D294" t="s">
        <v>27</v>
      </c>
      <c r="E294" t="s">
        <v>29</v>
      </c>
      <c r="F294" t="s">
        <v>29</v>
      </c>
      <c r="G294" t="s">
        <v>29</v>
      </c>
      <c r="H294">
        <v>7</v>
      </c>
      <c r="I294" t="s">
        <v>30</v>
      </c>
      <c r="J294" t="s">
        <v>983</v>
      </c>
      <c r="K294" t="s">
        <v>984</v>
      </c>
      <c r="L294" t="s">
        <v>50</v>
      </c>
      <c r="M294" s="4" t="s">
        <v>34</v>
      </c>
      <c r="N294" t="s">
        <v>76</v>
      </c>
      <c r="P294" s="3" t="s">
        <v>36</v>
      </c>
      <c r="Q294" s="3" t="s">
        <v>45</v>
      </c>
      <c r="R294">
        <v>2</v>
      </c>
      <c r="S294" s="5">
        <v>45787</v>
      </c>
      <c r="T294" t="s">
        <v>38</v>
      </c>
      <c r="U294">
        <f t="shared" ca="1" si="24"/>
        <v>22</v>
      </c>
      <c r="V294" s="6">
        <f t="shared" ca="1" si="25"/>
        <v>46024</v>
      </c>
      <c r="W294" s="6">
        <f t="shared" ca="1" si="26"/>
        <v>46030</v>
      </c>
      <c r="X294" t="str">
        <f t="shared" ca="1" si="27"/>
        <v>Jan 2 to Jan 8</v>
      </c>
      <c r="Y294" t="str">
        <f t="shared" ca="1" si="28"/>
        <v>⚪ SCHEDULED</v>
      </c>
      <c r="Z294" t="str">
        <f t="shared" ca="1" si="29"/>
        <v>No action needed yet</v>
      </c>
    </row>
    <row r="295" spans="1:26">
      <c r="A295">
        <v>1009861715</v>
      </c>
      <c r="B295" s="3" t="s">
        <v>985</v>
      </c>
      <c r="C295">
        <v>66</v>
      </c>
      <c r="D295" t="s">
        <v>47</v>
      </c>
      <c r="E295" t="s">
        <v>29</v>
      </c>
      <c r="F295" t="s">
        <v>28</v>
      </c>
      <c r="G295" t="s">
        <v>28</v>
      </c>
      <c r="H295">
        <v>5</v>
      </c>
      <c r="I295" t="s">
        <v>30</v>
      </c>
      <c r="J295" t="s">
        <v>986</v>
      </c>
      <c r="K295" t="s">
        <v>987</v>
      </c>
      <c r="L295" t="s">
        <v>269</v>
      </c>
      <c r="M295" s="4" t="s">
        <v>43</v>
      </c>
      <c r="N295" t="s">
        <v>162</v>
      </c>
      <c r="P295" s="3" t="s">
        <v>36</v>
      </c>
      <c r="Q295" s="3" t="s">
        <v>84</v>
      </c>
      <c r="R295">
        <v>2</v>
      </c>
      <c r="S295" s="5">
        <v>45924</v>
      </c>
      <c r="T295" t="s">
        <v>38</v>
      </c>
      <c r="U295">
        <f t="shared" ca="1" si="24"/>
        <v>9</v>
      </c>
      <c r="V295" s="6">
        <f t="shared" ca="1" si="25"/>
        <v>46011</v>
      </c>
      <c r="W295" s="6">
        <f t="shared" ca="1" si="26"/>
        <v>46017</v>
      </c>
      <c r="X295" t="str">
        <f t="shared" ca="1" si="27"/>
        <v>Dec 20 to Dec 26</v>
      </c>
      <c r="Y295" t="str">
        <f t="shared" ca="1" si="28"/>
        <v>🔵 NEXT 2 WEEKS</v>
      </c>
      <c r="Z295" t="str">
        <f t="shared" ca="1" si="29"/>
        <v>Send reminder SMS</v>
      </c>
    </row>
    <row r="296" spans="1:26">
      <c r="A296">
        <v>1009913359</v>
      </c>
      <c r="B296" s="3" t="s">
        <v>988</v>
      </c>
      <c r="C296">
        <v>58</v>
      </c>
      <c r="D296" t="s">
        <v>47</v>
      </c>
      <c r="E296" t="s">
        <v>29</v>
      </c>
      <c r="F296" t="s">
        <v>28</v>
      </c>
      <c r="G296" t="s">
        <v>28</v>
      </c>
      <c r="H296">
        <v>5</v>
      </c>
      <c r="I296" t="s">
        <v>30</v>
      </c>
      <c r="J296" t="s">
        <v>564</v>
      </c>
      <c r="K296" t="s">
        <v>989</v>
      </c>
      <c r="L296" t="s">
        <v>105</v>
      </c>
      <c r="M296" s="4" t="s">
        <v>34</v>
      </c>
      <c r="N296" t="s">
        <v>162</v>
      </c>
      <c r="P296" s="3" t="s">
        <v>36</v>
      </c>
      <c r="Q296" s="3" t="s">
        <v>84</v>
      </c>
      <c r="R296">
        <v>2</v>
      </c>
      <c r="S296" s="5">
        <v>45821</v>
      </c>
      <c r="T296" t="s">
        <v>38</v>
      </c>
      <c r="U296">
        <f t="shared" ca="1" si="24"/>
        <v>26</v>
      </c>
      <c r="V296" s="6">
        <f t="shared" ca="1" si="25"/>
        <v>46028</v>
      </c>
      <c r="W296" s="6">
        <f t="shared" ca="1" si="26"/>
        <v>46034</v>
      </c>
      <c r="X296" t="str">
        <f t="shared" ca="1" si="27"/>
        <v>Jan 6 to Jan 12</v>
      </c>
      <c r="Y296" t="str">
        <f t="shared" ca="1" si="28"/>
        <v>⚪ SCHEDULED</v>
      </c>
      <c r="Z296" t="str">
        <f t="shared" ca="1" si="29"/>
        <v>No action needed yet</v>
      </c>
    </row>
    <row r="297" spans="1:26">
      <c r="A297">
        <v>1009916634</v>
      </c>
      <c r="B297" s="3" t="s">
        <v>990</v>
      </c>
      <c r="C297">
        <v>48</v>
      </c>
      <c r="D297" t="s">
        <v>47</v>
      </c>
      <c r="E297" t="s">
        <v>29</v>
      </c>
      <c r="F297" t="s">
        <v>29</v>
      </c>
      <c r="G297" t="s">
        <v>28</v>
      </c>
      <c r="H297">
        <v>3</v>
      </c>
      <c r="I297" t="s">
        <v>66</v>
      </c>
      <c r="J297" t="s">
        <v>991</v>
      </c>
      <c r="K297" t="s">
        <v>992</v>
      </c>
      <c r="L297" t="s">
        <v>50</v>
      </c>
      <c r="M297" s="4" t="s">
        <v>94</v>
      </c>
      <c r="N297" t="s">
        <v>119</v>
      </c>
      <c r="P297" s="3" t="s">
        <v>36</v>
      </c>
      <c r="Q297" s="3" t="s">
        <v>90</v>
      </c>
      <c r="R297">
        <v>1</v>
      </c>
      <c r="S297" s="5">
        <v>45939</v>
      </c>
      <c r="T297" t="s">
        <v>38</v>
      </c>
      <c r="U297">
        <f t="shared" ca="1" si="24"/>
        <v>24</v>
      </c>
      <c r="V297" s="6">
        <f t="shared" ca="1" si="25"/>
        <v>46026</v>
      </c>
      <c r="W297" s="6">
        <f t="shared" ca="1" si="26"/>
        <v>46032</v>
      </c>
      <c r="X297" t="str">
        <f t="shared" ca="1" si="27"/>
        <v>Jan 4 to Jan 10</v>
      </c>
      <c r="Y297" t="str">
        <f t="shared" ca="1" si="28"/>
        <v>⚪ SCHEDULED</v>
      </c>
      <c r="Z297" t="str">
        <f t="shared" ca="1" si="29"/>
        <v>No action needed yet</v>
      </c>
    </row>
    <row r="298" spans="1:26">
      <c r="A298">
        <v>1009944263</v>
      </c>
      <c r="B298" s="3" t="s">
        <v>993</v>
      </c>
      <c r="C298">
        <v>57</v>
      </c>
      <c r="D298" t="s">
        <v>47</v>
      </c>
      <c r="E298" t="s">
        <v>28</v>
      </c>
      <c r="F298" t="s">
        <v>29</v>
      </c>
      <c r="G298" t="s">
        <v>29</v>
      </c>
      <c r="H298">
        <v>4</v>
      </c>
      <c r="I298" t="s">
        <v>66</v>
      </c>
      <c r="J298" t="s">
        <v>164</v>
      </c>
      <c r="K298" t="s">
        <v>994</v>
      </c>
      <c r="L298" t="s">
        <v>166</v>
      </c>
      <c r="M298" s="4" t="s">
        <v>34</v>
      </c>
      <c r="N298" t="s">
        <v>333</v>
      </c>
      <c r="P298" s="3" t="s">
        <v>36</v>
      </c>
      <c r="Q298" s="3" t="s">
        <v>45</v>
      </c>
      <c r="R298">
        <v>2</v>
      </c>
      <c r="S298" s="5">
        <v>45836</v>
      </c>
      <c r="T298" t="s">
        <v>38</v>
      </c>
      <c r="U298">
        <f t="shared" ca="1" si="24"/>
        <v>11</v>
      </c>
      <c r="V298" s="6">
        <f t="shared" ca="1" si="25"/>
        <v>46013</v>
      </c>
      <c r="W298" s="6">
        <f t="shared" ca="1" si="26"/>
        <v>46019</v>
      </c>
      <c r="X298" t="str">
        <f t="shared" ca="1" si="27"/>
        <v>Dec 22 to Dec 28</v>
      </c>
      <c r="Y298" t="str">
        <f t="shared" ca="1" si="28"/>
        <v>🔵 NEXT 2 WEEKS</v>
      </c>
      <c r="Z298" t="str">
        <f t="shared" ca="1" si="29"/>
        <v>Send reminder SMS</v>
      </c>
    </row>
    <row r="299" spans="1:26">
      <c r="A299">
        <v>1009955749</v>
      </c>
      <c r="B299" s="3" t="s">
        <v>995</v>
      </c>
      <c r="C299">
        <v>60</v>
      </c>
      <c r="D299" t="s">
        <v>27</v>
      </c>
      <c r="E299" t="s">
        <v>28</v>
      </c>
      <c r="F299" t="s">
        <v>29</v>
      </c>
      <c r="G299" t="s">
        <v>29</v>
      </c>
      <c r="H299">
        <v>6</v>
      </c>
      <c r="I299" t="s">
        <v>30</v>
      </c>
      <c r="J299" t="s">
        <v>996</v>
      </c>
      <c r="K299" t="s">
        <v>997</v>
      </c>
      <c r="M299" s="4" t="s">
        <v>94</v>
      </c>
      <c r="N299" t="s">
        <v>35</v>
      </c>
      <c r="P299" s="3" t="s">
        <v>36</v>
      </c>
      <c r="Q299" s="3" t="s">
        <v>107</v>
      </c>
      <c r="R299">
        <v>2</v>
      </c>
      <c r="S299" s="5">
        <v>45952</v>
      </c>
      <c r="T299" t="s">
        <v>38</v>
      </c>
      <c r="U299">
        <f t="shared" ca="1" si="24"/>
        <v>7</v>
      </c>
      <c r="V299" s="6">
        <f t="shared" ca="1" si="25"/>
        <v>46009</v>
      </c>
      <c r="W299" s="6">
        <f t="shared" ca="1" si="26"/>
        <v>46015</v>
      </c>
      <c r="X299" t="str">
        <f t="shared" ca="1" si="27"/>
        <v>Dec 18 to Dec 24</v>
      </c>
      <c r="Y299" t="str">
        <f t="shared" ca="1" si="28"/>
        <v>🟢 THIS WEEK</v>
      </c>
      <c r="Z299" t="str">
        <f t="shared" ca="1" si="29"/>
        <v>Confirm appointment</v>
      </c>
    </row>
    <row r="300" spans="1:26">
      <c r="A300">
        <v>1009959691</v>
      </c>
      <c r="B300" s="3" t="s">
        <v>998</v>
      </c>
      <c r="C300">
        <v>59</v>
      </c>
      <c r="D300" t="s">
        <v>27</v>
      </c>
      <c r="E300" t="s">
        <v>28</v>
      </c>
      <c r="F300" t="s">
        <v>29</v>
      </c>
      <c r="G300" t="s">
        <v>29</v>
      </c>
      <c r="H300">
        <v>5</v>
      </c>
      <c r="I300" t="s">
        <v>30</v>
      </c>
      <c r="J300" t="s">
        <v>894</v>
      </c>
      <c r="K300" t="s">
        <v>999</v>
      </c>
      <c r="M300" s="4" t="s">
        <v>94</v>
      </c>
      <c r="N300" t="s">
        <v>35</v>
      </c>
      <c r="P300" s="3" t="s">
        <v>36</v>
      </c>
      <c r="Q300" s="3" t="s">
        <v>273</v>
      </c>
      <c r="R300">
        <v>2</v>
      </c>
      <c r="S300" s="5">
        <v>45931</v>
      </c>
      <c r="T300" t="s">
        <v>38</v>
      </c>
      <c r="U300">
        <f t="shared" ca="1" si="24"/>
        <v>16</v>
      </c>
      <c r="V300" s="6">
        <f t="shared" ca="1" si="25"/>
        <v>46018</v>
      </c>
      <c r="W300" s="6">
        <f t="shared" ca="1" si="26"/>
        <v>46024</v>
      </c>
      <c r="X300" t="str">
        <f t="shared" ca="1" si="27"/>
        <v>Dec 27 to Jan 2</v>
      </c>
      <c r="Y300" t="str">
        <f t="shared" ca="1" si="28"/>
        <v>⚪ SCHEDULED</v>
      </c>
      <c r="Z300" t="str">
        <f t="shared" ca="1" si="29"/>
        <v>No action needed yet</v>
      </c>
    </row>
    <row r="301" spans="1:26">
      <c r="A301">
        <v>1009968932</v>
      </c>
      <c r="B301" s="3" t="s">
        <v>1000</v>
      </c>
      <c r="C301">
        <v>63</v>
      </c>
      <c r="D301" t="s">
        <v>27</v>
      </c>
      <c r="E301" t="s">
        <v>28</v>
      </c>
      <c r="F301" t="s">
        <v>29</v>
      </c>
      <c r="G301" t="s">
        <v>29</v>
      </c>
      <c r="H301">
        <v>6</v>
      </c>
      <c r="I301" t="s">
        <v>30</v>
      </c>
      <c r="J301" t="s">
        <v>1001</v>
      </c>
      <c r="K301" t="s">
        <v>1002</v>
      </c>
      <c r="L301" t="s">
        <v>1003</v>
      </c>
      <c r="M301" s="4" t="s">
        <v>43</v>
      </c>
      <c r="N301" t="s">
        <v>35</v>
      </c>
      <c r="P301" s="3" t="s">
        <v>36</v>
      </c>
      <c r="Q301" s="3" t="s">
        <v>90</v>
      </c>
      <c r="R301">
        <v>1</v>
      </c>
      <c r="S301" s="5">
        <v>45919</v>
      </c>
      <c r="T301" t="s">
        <v>38</v>
      </c>
      <c r="U301">
        <f t="shared" ca="1" si="24"/>
        <v>4</v>
      </c>
      <c r="V301" s="6">
        <f t="shared" ca="1" si="25"/>
        <v>46006</v>
      </c>
      <c r="W301" s="6">
        <f t="shared" ca="1" si="26"/>
        <v>46012</v>
      </c>
      <c r="X301" t="str">
        <f t="shared" ca="1" si="27"/>
        <v>Dec 15 to Dec 21</v>
      </c>
      <c r="Y301" t="str">
        <f t="shared" ca="1" si="28"/>
        <v>🟢 THIS WEEK</v>
      </c>
      <c r="Z301" t="str">
        <f t="shared" ca="1" si="29"/>
        <v>Confirm appointment</v>
      </c>
    </row>
    <row r="302" spans="1:26">
      <c r="A302">
        <v>1010040358</v>
      </c>
      <c r="B302" s="3" t="s">
        <v>1004</v>
      </c>
      <c r="C302">
        <v>66</v>
      </c>
      <c r="D302" t="s">
        <v>27</v>
      </c>
      <c r="E302" t="s">
        <v>29</v>
      </c>
      <c r="F302" t="s">
        <v>29</v>
      </c>
      <c r="G302" t="s">
        <v>29</v>
      </c>
      <c r="H302">
        <v>7</v>
      </c>
      <c r="I302" t="s">
        <v>30</v>
      </c>
      <c r="J302" t="s">
        <v>1005</v>
      </c>
      <c r="K302" t="s">
        <v>1006</v>
      </c>
      <c r="L302" t="s">
        <v>75</v>
      </c>
      <c r="M302" s="4" t="s">
        <v>34</v>
      </c>
      <c r="N302" t="s">
        <v>76</v>
      </c>
      <c r="P302" s="3" t="s">
        <v>36</v>
      </c>
      <c r="Q302" s="3" t="s">
        <v>84</v>
      </c>
      <c r="R302">
        <v>2</v>
      </c>
      <c r="S302" s="5">
        <v>45545</v>
      </c>
      <c r="T302" t="s">
        <v>38</v>
      </c>
      <c r="U302">
        <f t="shared" ca="1" si="24"/>
        <v>20</v>
      </c>
      <c r="V302" s="6">
        <f t="shared" ca="1" si="25"/>
        <v>46022</v>
      </c>
      <c r="W302" s="6">
        <f t="shared" ca="1" si="26"/>
        <v>46028</v>
      </c>
      <c r="X302" t="str">
        <f t="shared" ca="1" si="27"/>
        <v>Dec 31 to Jan 6</v>
      </c>
      <c r="Y302" t="str">
        <f t="shared" ca="1" si="28"/>
        <v>⚪ SCHEDULED</v>
      </c>
      <c r="Z302" t="str">
        <f t="shared" ca="1" si="29"/>
        <v>No action needed yet</v>
      </c>
    </row>
    <row r="303" spans="1:26">
      <c r="A303">
        <v>1010062923</v>
      </c>
      <c r="B303" s="3" t="s">
        <v>1007</v>
      </c>
      <c r="C303">
        <v>57</v>
      </c>
      <c r="D303" t="s">
        <v>27</v>
      </c>
      <c r="E303" t="s">
        <v>29</v>
      </c>
      <c r="F303" t="s">
        <v>29</v>
      </c>
      <c r="G303" t="s">
        <v>29</v>
      </c>
      <c r="H303">
        <v>6</v>
      </c>
      <c r="I303" t="s">
        <v>30</v>
      </c>
      <c r="J303" t="s">
        <v>1008</v>
      </c>
      <c r="K303" t="s">
        <v>1009</v>
      </c>
      <c r="L303" t="s">
        <v>234</v>
      </c>
      <c r="M303" s="4" t="s">
        <v>34</v>
      </c>
      <c r="N303" t="s">
        <v>201</v>
      </c>
      <c r="P303" s="3" t="s">
        <v>36</v>
      </c>
      <c r="Q303" s="3" t="s">
        <v>96</v>
      </c>
      <c r="R303">
        <v>1</v>
      </c>
      <c r="S303" s="5">
        <v>45820</v>
      </c>
      <c r="T303" t="s">
        <v>38</v>
      </c>
      <c r="U303">
        <f t="shared" ca="1" si="24"/>
        <v>25</v>
      </c>
      <c r="V303" s="6">
        <f t="shared" ca="1" si="25"/>
        <v>46027</v>
      </c>
      <c r="W303" s="6">
        <f t="shared" ca="1" si="26"/>
        <v>46033</v>
      </c>
      <c r="X303" t="str">
        <f t="shared" ca="1" si="27"/>
        <v>Jan 5 to Jan 11</v>
      </c>
      <c r="Y303" t="str">
        <f t="shared" ca="1" si="28"/>
        <v>⚪ SCHEDULED</v>
      </c>
      <c r="Z303" t="str">
        <f t="shared" ca="1" si="29"/>
        <v>No action needed yet</v>
      </c>
    </row>
    <row r="304" spans="1:26">
      <c r="A304">
        <v>1010102505</v>
      </c>
      <c r="B304" s="3" t="s">
        <v>1010</v>
      </c>
      <c r="C304">
        <v>64</v>
      </c>
      <c r="D304" t="s">
        <v>47</v>
      </c>
      <c r="E304" t="s">
        <v>29</v>
      </c>
      <c r="F304" t="s">
        <v>29</v>
      </c>
      <c r="G304" t="s">
        <v>28</v>
      </c>
      <c r="H304">
        <v>5</v>
      </c>
      <c r="I304" t="s">
        <v>30</v>
      </c>
      <c r="J304" t="s">
        <v>1011</v>
      </c>
      <c r="K304" t="s">
        <v>1012</v>
      </c>
      <c r="L304" t="s">
        <v>380</v>
      </c>
      <c r="M304" s="4" t="s">
        <v>43</v>
      </c>
      <c r="N304" t="s">
        <v>131</v>
      </c>
      <c r="P304" s="3" t="s">
        <v>36</v>
      </c>
      <c r="Q304" s="3" t="s">
        <v>123</v>
      </c>
      <c r="R304">
        <v>2</v>
      </c>
      <c r="S304" s="5">
        <v>45895</v>
      </c>
      <c r="T304" t="s">
        <v>38</v>
      </c>
      <c r="U304">
        <f t="shared" ca="1" si="24"/>
        <v>10</v>
      </c>
      <c r="V304" s="6">
        <f t="shared" ca="1" si="25"/>
        <v>46012</v>
      </c>
      <c r="W304" s="6">
        <f t="shared" ca="1" si="26"/>
        <v>46018</v>
      </c>
      <c r="X304" t="str">
        <f t="shared" ca="1" si="27"/>
        <v>Dec 21 to Dec 27</v>
      </c>
      <c r="Y304" t="str">
        <f t="shared" ca="1" si="28"/>
        <v>🔵 NEXT 2 WEEKS</v>
      </c>
      <c r="Z304" t="str">
        <f t="shared" ca="1" si="29"/>
        <v>Send reminder SMS</v>
      </c>
    </row>
    <row r="305" spans="1:26">
      <c r="A305">
        <v>1010126447</v>
      </c>
      <c r="B305" s="3" t="s">
        <v>1013</v>
      </c>
      <c r="C305">
        <v>53</v>
      </c>
      <c r="D305" t="s">
        <v>27</v>
      </c>
      <c r="E305" t="s">
        <v>29</v>
      </c>
      <c r="F305" t="s">
        <v>29</v>
      </c>
      <c r="G305" t="s">
        <v>29</v>
      </c>
      <c r="H305">
        <v>5</v>
      </c>
      <c r="I305" t="s">
        <v>30</v>
      </c>
      <c r="J305" t="s">
        <v>1014</v>
      </c>
      <c r="K305" t="s">
        <v>1015</v>
      </c>
      <c r="M305" s="4" t="s">
        <v>43</v>
      </c>
      <c r="N305" t="s">
        <v>44</v>
      </c>
      <c r="P305" s="3" t="s">
        <v>36</v>
      </c>
      <c r="Q305" s="3" t="s">
        <v>45</v>
      </c>
      <c r="R305">
        <v>1</v>
      </c>
      <c r="S305" s="5">
        <v>45874</v>
      </c>
      <c r="T305" t="s">
        <v>38</v>
      </c>
      <c r="U305">
        <f t="shared" ca="1" si="24"/>
        <v>19</v>
      </c>
      <c r="V305" s="6">
        <f t="shared" ca="1" si="25"/>
        <v>46021</v>
      </c>
      <c r="W305" s="6">
        <f t="shared" ca="1" si="26"/>
        <v>46027</v>
      </c>
      <c r="X305" t="str">
        <f t="shared" ca="1" si="27"/>
        <v>Dec 30 to Jan 5</v>
      </c>
      <c r="Y305" t="str">
        <f t="shared" ca="1" si="28"/>
        <v>⚪ SCHEDULED</v>
      </c>
      <c r="Z305" t="str">
        <f t="shared" ca="1" si="29"/>
        <v>No action needed yet</v>
      </c>
    </row>
    <row r="306" spans="1:26">
      <c r="A306">
        <v>1010126454</v>
      </c>
      <c r="B306" s="3" t="s">
        <v>1016</v>
      </c>
      <c r="C306">
        <v>51</v>
      </c>
      <c r="D306" t="s">
        <v>27</v>
      </c>
      <c r="E306" t="s">
        <v>28</v>
      </c>
      <c r="F306" t="s">
        <v>29</v>
      </c>
      <c r="G306" t="s">
        <v>29</v>
      </c>
      <c r="H306">
        <v>4</v>
      </c>
      <c r="I306" t="s">
        <v>66</v>
      </c>
      <c r="J306" t="s">
        <v>1017</v>
      </c>
      <c r="K306" t="s">
        <v>1018</v>
      </c>
      <c r="L306" t="s">
        <v>166</v>
      </c>
      <c r="M306" s="4" t="s">
        <v>43</v>
      </c>
      <c r="N306" t="s">
        <v>333</v>
      </c>
      <c r="P306" s="3" t="s">
        <v>36</v>
      </c>
      <c r="Q306" s="3" t="s">
        <v>45</v>
      </c>
      <c r="R306">
        <v>2</v>
      </c>
      <c r="S306" s="5">
        <v>45870</v>
      </c>
      <c r="T306" t="s">
        <v>38</v>
      </c>
      <c r="U306">
        <f t="shared" ca="1" si="24"/>
        <v>15</v>
      </c>
      <c r="V306" s="6">
        <f t="shared" ca="1" si="25"/>
        <v>46017</v>
      </c>
      <c r="W306" s="6">
        <f t="shared" ca="1" si="26"/>
        <v>46023</v>
      </c>
      <c r="X306" t="str">
        <f t="shared" ca="1" si="27"/>
        <v>Dec 26 to Jan 1</v>
      </c>
      <c r="Y306" t="str">
        <f t="shared" ca="1" si="28"/>
        <v>⚪ SCHEDULED</v>
      </c>
      <c r="Z306" t="str">
        <f t="shared" ca="1" si="29"/>
        <v>No action needed yet</v>
      </c>
    </row>
    <row r="307" spans="1:26">
      <c r="A307">
        <v>1010225181</v>
      </c>
      <c r="B307" s="3" t="s">
        <v>1019</v>
      </c>
      <c r="C307">
        <v>69</v>
      </c>
      <c r="D307" t="s">
        <v>27</v>
      </c>
      <c r="E307" t="s">
        <v>29</v>
      </c>
      <c r="F307" t="s">
        <v>28</v>
      </c>
      <c r="G307" t="s">
        <v>28</v>
      </c>
      <c r="H307">
        <v>5</v>
      </c>
      <c r="I307" t="s">
        <v>30</v>
      </c>
      <c r="J307" t="s">
        <v>1020</v>
      </c>
      <c r="K307" t="s">
        <v>1021</v>
      </c>
      <c r="L307" t="s">
        <v>75</v>
      </c>
      <c r="M307" s="4" t="s">
        <v>34</v>
      </c>
      <c r="N307" t="s">
        <v>162</v>
      </c>
      <c r="P307" s="3" t="s">
        <v>36</v>
      </c>
      <c r="Q307" t="s">
        <v>54</v>
      </c>
      <c r="R307">
        <v>2</v>
      </c>
      <c r="S307" s="5">
        <v>45827</v>
      </c>
      <c r="T307" t="s">
        <v>38</v>
      </c>
      <c r="U307">
        <f t="shared" ca="1" si="24"/>
        <v>2</v>
      </c>
      <c r="V307" s="6">
        <f t="shared" ca="1" si="25"/>
        <v>46004</v>
      </c>
      <c r="W307" s="6">
        <f t="shared" ca="1" si="26"/>
        <v>46010</v>
      </c>
      <c r="X307" t="str">
        <f t="shared" ca="1" si="27"/>
        <v>Dec 13 to Dec 19</v>
      </c>
      <c r="Y307" t="str">
        <f t="shared" ca="1" si="28"/>
        <v>🟡 IMMINENT (within 3 days)</v>
      </c>
      <c r="Z307" t="str">
        <f t="shared" ca="1" si="29"/>
        <v>Prepare medications TODAY</v>
      </c>
    </row>
    <row r="308" spans="1:26">
      <c r="A308">
        <v>1010263547</v>
      </c>
      <c r="B308" s="3" t="s">
        <v>1022</v>
      </c>
      <c r="C308">
        <v>64</v>
      </c>
      <c r="D308" t="s">
        <v>47</v>
      </c>
      <c r="E308" t="s">
        <v>29</v>
      </c>
      <c r="F308" t="s">
        <v>28</v>
      </c>
      <c r="G308" t="s">
        <v>28</v>
      </c>
      <c r="H308">
        <v>4</v>
      </c>
      <c r="I308" t="s">
        <v>66</v>
      </c>
      <c r="J308" t="s">
        <v>1023</v>
      </c>
      <c r="K308" t="s">
        <v>1024</v>
      </c>
      <c r="L308" t="s">
        <v>105</v>
      </c>
      <c r="M308" s="4" t="s">
        <v>34</v>
      </c>
      <c r="N308" t="s">
        <v>162</v>
      </c>
      <c r="P308" s="3" t="s">
        <v>36</v>
      </c>
      <c r="Q308" s="3" t="s">
        <v>313</v>
      </c>
      <c r="R308">
        <v>2</v>
      </c>
      <c r="S308" s="5">
        <v>45680</v>
      </c>
      <c r="T308" t="s">
        <v>38</v>
      </c>
      <c r="U308">
        <f t="shared" ca="1" si="24"/>
        <v>5</v>
      </c>
      <c r="V308" s="6">
        <f t="shared" ca="1" si="25"/>
        <v>46007</v>
      </c>
      <c r="W308" s="6">
        <f t="shared" ca="1" si="26"/>
        <v>46013</v>
      </c>
      <c r="X308" t="str">
        <f t="shared" ca="1" si="27"/>
        <v>Dec 16 to Dec 22</v>
      </c>
      <c r="Y308" t="str">
        <f t="shared" ca="1" si="28"/>
        <v>🟢 THIS WEEK</v>
      </c>
      <c r="Z308" t="str">
        <f t="shared" ca="1" si="29"/>
        <v>Confirm appointment</v>
      </c>
    </row>
    <row r="309" spans="1:26">
      <c r="A309">
        <v>1010267282</v>
      </c>
      <c r="B309" s="3" t="s">
        <v>1025</v>
      </c>
      <c r="C309">
        <v>69</v>
      </c>
      <c r="D309" t="s">
        <v>47</v>
      </c>
      <c r="E309" t="s">
        <v>29</v>
      </c>
      <c r="F309" t="s">
        <v>29</v>
      </c>
      <c r="G309" t="s">
        <v>29</v>
      </c>
      <c r="H309">
        <v>6</v>
      </c>
      <c r="I309" t="s">
        <v>30</v>
      </c>
      <c r="J309" t="s">
        <v>1026</v>
      </c>
      <c r="K309" t="s">
        <v>1027</v>
      </c>
      <c r="L309" t="s">
        <v>208</v>
      </c>
      <c r="M309" s="4" t="s">
        <v>34</v>
      </c>
      <c r="N309" t="s">
        <v>201</v>
      </c>
      <c r="P309" s="3" t="s">
        <v>36</v>
      </c>
      <c r="Q309" s="3" t="s">
        <v>175</v>
      </c>
      <c r="R309">
        <v>2</v>
      </c>
      <c r="S309" s="5">
        <v>45825</v>
      </c>
      <c r="T309" t="s">
        <v>38</v>
      </c>
      <c r="U309">
        <f t="shared" ca="1" si="24"/>
        <v>0</v>
      </c>
      <c r="V309" s="6">
        <f t="shared" ca="1" si="25"/>
        <v>46002</v>
      </c>
      <c r="W309" s="6">
        <f t="shared" ca="1" si="26"/>
        <v>46008</v>
      </c>
      <c r="X309" t="str">
        <f t="shared" ca="1" si="27"/>
        <v>Dec 11 to Dec 17</v>
      </c>
      <c r="Y309" t="str">
        <f t="shared" ca="1" si="28"/>
        <v>🟡 IMMINENT (within 3 days)</v>
      </c>
      <c r="Z309" t="str">
        <f t="shared" ca="1" si="29"/>
        <v>Prepare medications TODAY</v>
      </c>
    </row>
    <row r="310" spans="1:26">
      <c r="A310">
        <v>1010301024</v>
      </c>
      <c r="B310" s="3" t="s">
        <v>1028</v>
      </c>
      <c r="C310">
        <v>48</v>
      </c>
      <c r="D310" t="s">
        <v>47</v>
      </c>
      <c r="E310" t="s">
        <v>54</v>
      </c>
      <c r="F310" t="s">
        <v>54</v>
      </c>
      <c r="G310" t="s">
        <v>54</v>
      </c>
      <c r="H310">
        <v>1</v>
      </c>
      <c r="I310" t="s">
        <v>55</v>
      </c>
      <c r="J310" t="s">
        <v>1029</v>
      </c>
      <c r="K310" t="s">
        <v>1030</v>
      </c>
      <c r="L310" t="s">
        <v>33</v>
      </c>
      <c r="M310" s="4" t="s">
        <v>94</v>
      </c>
      <c r="N310" t="s">
        <v>59</v>
      </c>
      <c r="P310" s="3" t="s">
        <v>36</v>
      </c>
      <c r="Q310" t="s">
        <v>54</v>
      </c>
      <c r="R310">
        <v>1</v>
      </c>
      <c r="S310" s="5">
        <v>45993</v>
      </c>
      <c r="T310" t="s">
        <v>393</v>
      </c>
      <c r="U310">
        <f t="shared" ca="1" si="24"/>
        <v>78</v>
      </c>
      <c r="V310" s="6">
        <f t="shared" ca="1" si="25"/>
        <v>46080</v>
      </c>
      <c r="W310" s="6">
        <f t="shared" ca="1" si="26"/>
        <v>46086</v>
      </c>
      <c r="X310" t="str">
        <f t="shared" ca="1" si="27"/>
        <v>Feb 27 to Mar 5</v>
      </c>
      <c r="Y310" t="str">
        <f t="shared" ca="1" si="28"/>
        <v>⚪ SCHEDULED</v>
      </c>
      <c r="Z310" t="str">
        <f t="shared" ca="1" si="29"/>
        <v>No action needed yet</v>
      </c>
    </row>
    <row r="311" spans="1:26">
      <c r="A311">
        <v>1010359048</v>
      </c>
      <c r="B311" s="3" t="s">
        <v>1031</v>
      </c>
      <c r="C311">
        <v>68</v>
      </c>
      <c r="D311" t="s">
        <v>27</v>
      </c>
      <c r="E311" t="s">
        <v>29</v>
      </c>
      <c r="F311" t="s">
        <v>28</v>
      </c>
      <c r="G311" t="s">
        <v>28</v>
      </c>
      <c r="H311">
        <v>5</v>
      </c>
      <c r="I311" t="s">
        <v>30</v>
      </c>
      <c r="J311" t="s">
        <v>1032</v>
      </c>
      <c r="K311" t="s">
        <v>1033</v>
      </c>
      <c r="L311" t="s">
        <v>105</v>
      </c>
      <c r="M311" s="4" t="s">
        <v>94</v>
      </c>
      <c r="N311" t="s">
        <v>162</v>
      </c>
      <c r="P311" s="3" t="s">
        <v>36</v>
      </c>
      <c r="Q311" s="3" t="s">
        <v>45</v>
      </c>
      <c r="R311">
        <v>2</v>
      </c>
      <c r="S311" s="5">
        <v>45937</v>
      </c>
      <c r="T311" t="s">
        <v>38</v>
      </c>
      <c r="U311">
        <f t="shared" ca="1" si="24"/>
        <v>22</v>
      </c>
      <c r="V311" s="6">
        <f t="shared" ca="1" si="25"/>
        <v>46024</v>
      </c>
      <c r="W311" s="6">
        <f t="shared" ca="1" si="26"/>
        <v>46030</v>
      </c>
      <c r="X311" t="str">
        <f t="shared" ca="1" si="27"/>
        <v>Jan 2 to Jan 8</v>
      </c>
      <c r="Y311" t="str">
        <f t="shared" ca="1" si="28"/>
        <v>⚪ SCHEDULED</v>
      </c>
      <c r="Z311" t="str">
        <f t="shared" ca="1" si="29"/>
        <v>No action needed yet</v>
      </c>
    </row>
    <row r="312" spans="1:26">
      <c r="A312">
        <v>1010382206</v>
      </c>
      <c r="B312" s="3" t="s">
        <v>1034</v>
      </c>
      <c r="C312">
        <v>49</v>
      </c>
      <c r="D312" t="s">
        <v>27</v>
      </c>
      <c r="E312" t="s">
        <v>28</v>
      </c>
      <c r="F312" t="s">
        <v>29</v>
      </c>
      <c r="G312" t="s">
        <v>28</v>
      </c>
      <c r="H312">
        <v>2</v>
      </c>
      <c r="I312" t="s">
        <v>55</v>
      </c>
      <c r="J312" t="s">
        <v>1035</v>
      </c>
      <c r="K312" t="s">
        <v>1036</v>
      </c>
      <c r="L312" t="s">
        <v>69</v>
      </c>
      <c r="M312" s="4" t="s">
        <v>34</v>
      </c>
      <c r="N312" t="s">
        <v>70</v>
      </c>
      <c r="P312" s="3" t="s">
        <v>36</v>
      </c>
      <c r="Q312" s="3" t="s">
        <v>84</v>
      </c>
      <c r="R312">
        <v>2</v>
      </c>
      <c r="S312" s="5">
        <v>45775</v>
      </c>
      <c r="T312" t="s">
        <v>60</v>
      </c>
      <c r="U312">
        <f t="shared" ca="1" si="24"/>
        <v>10</v>
      </c>
      <c r="V312" s="6">
        <f t="shared" ca="1" si="25"/>
        <v>46012</v>
      </c>
      <c r="W312" s="6">
        <f t="shared" ca="1" si="26"/>
        <v>46018</v>
      </c>
      <c r="X312" t="str">
        <f t="shared" ca="1" si="27"/>
        <v>Dec 21 to Dec 27</v>
      </c>
      <c r="Y312" t="str">
        <f t="shared" ca="1" si="28"/>
        <v>🔵 NEXT 2 WEEKS</v>
      </c>
      <c r="Z312" t="str">
        <f t="shared" ca="1" si="29"/>
        <v>Send reminder SMS</v>
      </c>
    </row>
    <row r="313" spans="1:26">
      <c r="A313">
        <v>1010382230</v>
      </c>
      <c r="B313" s="3" t="s">
        <v>1037</v>
      </c>
      <c r="C313">
        <v>44</v>
      </c>
      <c r="D313" t="s">
        <v>27</v>
      </c>
      <c r="E313" t="s">
        <v>29</v>
      </c>
      <c r="F313" t="s">
        <v>28</v>
      </c>
      <c r="G313" t="s">
        <v>28</v>
      </c>
      <c r="H313">
        <v>3</v>
      </c>
      <c r="I313" t="s">
        <v>66</v>
      </c>
      <c r="J313" t="s">
        <v>168</v>
      </c>
      <c r="K313" t="s">
        <v>1038</v>
      </c>
      <c r="L313" t="s">
        <v>170</v>
      </c>
      <c r="M313" s="4" t="s">
        <v>34</v>
      </c>
      <c r="N313" t="s">
        <v>162</v>
      </c>
      <c r="P313" s="3" t="s">
        <v>36</v>
      </c>
      <c r="Q313" s="3" t="s">
        <v>84</v>
      </c>
      <c r="R313">
        <v>1</v>
      </c>
      <c r="S313" s="5">
        <v>45524</v>
      </c>
      <c r="T313" t="s">
        <v>38</v>
      </c>
      <c r="U313">
        <f t="shared" ca="1" si="24"/>
        <v>29</v>
      </c>
      <c r="V313" s="6">
        <f t="shared" ca="1" si="25"/>
        <v>46031</v>
      </c>
      <c r="W313" s="6">
        <f t="shared" ca="1" si="26"/>
        <v>46037</v>
      </c>
      <c r="X313" t="str">
        <f t="shared" ca="1" si="27"/>
        <v>Jan 9 to Jan 15</v>
      </c>
      <c r="Y313" t="str">
        <f t="shared" ca="1" si="28"/>
        <v>⚪ SCHEDULED</v>
      </c>
      <c r="Z313" t="str">
        <f t="shared" ca="1" si="29"/>
        <v>No action needed yet</v>
      </c>
    </row>
    <row r="314" spans="1:26">
      <c r="A314">
        <v>1010450755</v>
      </c>
      <c r="B314" s="3" t="s">
        <v>1039</v>
      </c>
      <c r="C314">
        <v>73</v>
      </c>
      <c r="D314" t="s">
        <v>47</v>
      </c>
      <c r="E314" t="s">
        <v>29</v>
      </c>
      <c r="F314" t="s">
        <v>29</v>
      </c>
      <c r="G314" t="s">
        <v>29</v>
      </c>
      <c r="H314">
        <v>8</v>
      </c>
      <c r="I314" t="s">
        <v>30</v>
      </c>
      <c r="J314" t="s">
        <v>619</v>
      </c>
      <c r="K314" t="s">
        <v>1040</v>
      </c>
      <c r="M314" s="4" t="s">
        <v>43</v>
      </c>
      <c r="N314" t="s">
        <v>44</v>
      </c>
      <c r="P314" s="3" t="s">
        <v>36</v>
      </c>
      <c r="Q314" s="3" t="s">
        <v>123</v>
      </c>
      <c r="R314">
        <v>1</v>
      </c>
      <c r="S314" s="5">
        <v>45919</v>
      </c>
      <c r="T314" t="s">
        <v>38</v>
      </c>
      <c r="U314">
        <f t="shared" ca="1" si="24"/>
        <v>4</v>
      </c>
      <c r="V314" s="6">
        <f t="shared" ca="1" si="25"/>
        <v>46006</v>
      </c>
      <c r="W314" s="6">
        <f t="shared" ca="1" si="26"/>
        <v>46012</v>
      </c>
      <c r="X314" t="str">
        <f t="shared" ca="1" si="27"/>
        <v>Dec 15 to Dec 21</v>
      </c>
      <c r="Y314" t="str">
        <f t="shared" ca="1" si="28"/>
        <v>🟢 THIS WEEK</v>
      </c>
      <c r="Z314" t="str">
        <f t="shared" ca="1" si="29"/>
        <v>Confirm appointment</v>
      </c>
    </row>
    <row r="315" spans="1:26">
      <c r="A315">
        <v>1010450763</v>
      </c>
      <c r="B315" s="3" t="s">
        <v>1041</v>
      </c>
      <c r="C315">
        <v>74</v>
      </c>
      <c r="D315" t="s">
        <v>27</v>
      </c>
      <c r="E315" t="s">
        <v>54</v>
      </c>
      <c r="F315" t="s">
        <v>54</v>
      </c>
      <c r="G315" t="s">
        <v>54</v>
      </c>
      <c r="H315">
        <v>4</v>
      </c>
      <c r="I315" t="s">
        <v>66</v>
      </c>
      <c r="J315" t="s">
        <v>1042</v>
      </c>
      <c r="K315" t="s">
        <v>1043</v>
      </c>
      <c r="L315" t="s">
        <v>846</v>
      </c>
      <c r="M315" s="4" t="s">
        <v>34</v>
      </c>
      <c r="N315" t="s">
        <v>59</v>
      </c>
      <c r="P315" s="3" t="s">
        <v>36</v>
      </c>
      <c r="Q315" s="3" t="s">
        <v>123</v>
      </c>
      <c r="R315">
        <v>1</v>
      </c>
      <c r="S315" s="5">
        <v>45694</v>
      </c>
      <c r="T315" t="s">
        <v>38</v>
      </c>
      <c r="U315">
        <f t="shared" ca="1" si="24"/>
        <v>19</v>
      </c>
      <c r="V315" s="6">
        <f t="shared" ca="1" si="25"/>
        <v>46021</v>
      </c>
      <c r="W315" s="6">
        <f t="shared" ca="1" si="26"/>
        <v>46027</v>
      </c>
      <c r="X315" t="str">
        <f t="shared" ca="1" si="27"/>
        <v>Dec 30 to Jan 5</v>
      </c>
      <c r="Y315" t="str">
        <f t="shared" ca="1" si="28"/>
        <v>⚪ SCHEDULED</v>
      </c>
      <c r="Z315" t="str">
        <f t="shared" ca="1" si="29"/>
        <v>No action needed yet</v>
      </c>
    </row>
    <row r="316" spans="1:26">
      <c r="A316">
        <v>1010465704</v>
      </c>
      <c r="B316" s="3" t="s">
        <v>1044</v>
      </c>
      <c r="C316">
        <v>62</v>
      </c>
      <c r="D316" t="s">
        <v>27</v>
      </c>
      <c r="E316" t="s">
        <v>29</v>
      </c>
      <c r="F316" t="s">
        <v>29</v>
      </c>
      <c r="G316" t="s">
        <v>29</v>
      </c>
      <c r="H316">
        <v>7</v>
      </c>
      <c r="I316" t="s">
        <v>30</v>
      </c>
      <c r="J316" t="s">
        <v>1045</v>
      </c>
      <c r="K316" t="s">
        <v>1046</v>
      </c>
      <c r="M316" s="4" t="s">
        <v>34</v>
      </c>
      <c r="N316" t="s">
        <v>44</v>
      </c>
      <c r="P316" s="3" t="s">
        <v>36</v>
      </c>
      <c r="Q316" s="3" t="s">
        <v>107</v>
      </c>
      <c r="R316">
        <v>2</v>
      </c>
      <c r="S316" s="5">
        <v>45435</v>
      </c>
      <c r="T316" t="s">
        <v>38</v>
      </c>
      <c r="U316">
        <f t="shared" ca="1" si="24"/>
        <v>0</v>
      </c>
      <c r="V316" s="6">
        <f t="shared" ca="1" si="25"/>
        <v>46002</v>
      </c>
      <c r="W316" s="6">
        <f t="shared" ca="1" si="26"/>
        <v>46008</v>
      </c>
      <c r="X316" t="str">
        <f t="shared" ca="1" si="27"/>
        <v>Dec 11 to Dec 17</v>
      </c>
      <c r="Y316" t="str">
        <f t="shared" ca="1" si="28"/>
        <v>🟡 IMMINENT (within 3 days)</v>
      </c>
      <c r="Z316" t="str">
        <f t="shared" ca="1" si="29"/>
        <v>Prepare medications TODAY</v>
      </c>
    </row>
    <row r="317" spans="1:26">
      <c r="A317">
        <v>1010528915</v>
      </c>
      <c r="B317" s="3" t="s">
        <v>1047</v>
      </c>
      <c r="C317">
        <v>79</v>
      </c>
      <c r="D317" t="s">
        <v>47</v>
      </c>
      <c r="E317" t="s">
        <v>29</v>
      </c>
      <c r="F317" t="s">
        <v>29</v>
      </c>
      <c r="G317" t="s">
        <v>28</v>
      </c>
      <c r="H317">
        <v>6</v>
      </c>
      <c r="I317" t="s">
        <v>30</v>
      </c>
      <c r="J317" t="s">
        <v>1048</v>
      </c>
      <c r="K317" t="s">
        <v>1049</v>
      </c>
      <c r="L317" t="s">
        <v>69</v>
      </c>
      <c r="M317" s="4" t="s">
        <v>94</v>
      </c>
      <c r="N317" t="s">
        <v>131</v>
      </c>
      <c r="P317" s="3" t="s">
        <v>36</v>
      </c>
      <c r="Q317" s="3" t="s">
        <v>90</v>
      </c>
      <c r="R317">
        <v>2</v>
      </c>
      <c r="S317" s="5">
        <v>45955</v>
      </c>
      <c r="T317" t="s">
        <v>38</v>
      </c>
      <c r="U317">
        <f t="shared" ca="1" si="24"/>
        <v>10</v>
      </c>
      <c r="V317" s="6">
        <f t="shared" ca="1" si="25"/>
        <v>46012</v>
      </c>
      <c r="W317" s="6">
        <f t="shared" ca="1" si="26"/>
        <v>46018</v>
      </c>
      <c r="X317" t="str">
        <f t="shared" ca="1" si="27"/>
        <v>Dec 21 to Dec 27</v>
      </c>
      <c r="Y317" t="str">
        <f t="shared" ca="1" si="28"/>
        <v>🔵 NEXT 2 WEEKS</v>
      </c>
      <c r="Z317" t="str">
        <f t="shared" ca="1" si="29"/>
        <v>Send reminder SMS</v>
      </c>
    </row>
    <row r="318" spans="1:26">
      <c r="A318">
        <v>1010533295</v>
      </c>
      <c r="B318" s="3" t="s">
        <v>1050</v>
      </c>
      <c r="C318">
        <v>52</v>
      </c>
      <c r="D318" t="s">
        <v>47</v>
      </c>
      <c r="E318" t="s">
        <v>54</v>
      </c>
      <c r="F318" t="s">
        <v>54</v>
      </c>
      <c r="G318" t="s">
        <v>54</v>
      </c>
      <c r="H318">
        <v>2</v>
      </c>
      <c r="I318" t="s">
        <v>55</v>
      </c>
      <c r="J318" t="s">
        <v>1051</v>
      </c>
      <c r="K318" t="s">
        <v>1052</v>
      </c>
      <c r="L318" t="s">
        <v>170</v>
      </c>
      <c r="M318" s="4" t="s">
        <v>34</v>
      </c>
      <c r="N318" t="s">
        <v>59</v>
      </c>
      <c r="P318" s="3" t="s">
        <v>36</v>
      </c>
      <c r="Q318" s="3" t="s">
        <v>84</v>
      </c>
      <c r="R318">
        <v>1</v>
      </c>
      <c r="S318" s="5">
        <v>45535</v>
      </c>
      <c r="T318" t="s">
        <v>60</v>
      </c>
      <c r="U318">
        <f t="shared" ca="1" si="24"/>
        <v>10</v>
      </c>
      <c r="V318" s="6">
        <f t="shared" ca="1" si="25"/>
        <v>46012</v>
      </c>
      <c r="W318" s="6">
        <f t="shared" ca="1" si="26"/>
        <v>46018</v>
      </c>
      <c r="X318" t="str">
        <f t="shared" ca="1" si="27"/>
        <v>Dec 21 to Dec 27</v>
      </c>
      <c r="Y318" t="str">
        <f t="shared" ca="1" si="28"/>
        <v>🔵 NEXT 2 WEEKS</v>
      </c>
      <c r="Z318" t="str">
        <f t="shared" ca="1" si="29"/>
        <v>Send reminder SMS</v>
      </c>
    </row>
    <row r="319" spans="1:26">
      <c r="A319">
        <v>1010585873</v>
      </c>
      <c r="B319" s="3" t="s">
        <v>1053</v>
      </c>
      <c r="C319">
        <v>60</v>
      </c>
      <c r="D319" t="s">
        <v>47</v>
      </c>
      <c r="E319" t="s">
        <v>29</v>
      </c>
      <c r="F319" t="s">
        <v>28</v>
      </c>
      <c r="G319" t="s">
        <v>28</v>
      </c>
      <c r="H319">
        <v>4</v>
      </c>
      <c r="I319" t="s">
        <v>66</v>
      </c>
      <c r="J319" t="s">
        <v>1054</v>
      </c>
      <c r="K319" t="s">
        <v>1055</v>
      </c>
      <c r="M319" s="4" t="s">
        <v>94</v>
      </c>
      <c r="N319" t="s">
        <v>148</v>
      </c>
      <c r="P319" s="3" t="s">
        <v>36</v>
      </c>
      <c r="Q319" s="3" t="s">
        <v>107</v>
      </c>
      <c r="R319">
        <v>2</v>
      </c>
      <c r="S319" s="5">
        <v>45930</v>
      </c>
      <c r="T319" t="s">
        <v>38</v>
      </c>
      <c r="U319">
        <f t="shared" ca="1" si="24"/>
        <v>15</v>
      </c>
      <c r="V319" s="6">
        <f t="shared" ca="1" si="25"/>
        <v>46017</v>
      </c>
      <c r="W319" s="6">
        <f t="shared" ca="1" si="26"/>
        <v>46023</v>
      </c>
      <c r="X319" t="str">
        <f t="shared" ca="1" si="27"/>
        <v>Dec 26 to Jan 1</v>
      </c>
      <c r="Y319" t="str">
        <f t="shared" ca="1" si="28"/>
        <v>⚪ SCHEDULED</v>
      </c>
      <c r="Z319" t="str">
        <f t="shared" ca="1" si="29"/>
        <v>No action needed yet</v>
      </c>
    </row>
    <row r="320" spans="1:26">
      <c r="A320">
        <v>1010612503</v>
      </c>
      <c r="B320" s="3" t="s">
        <v>1056</v>
      </c>
      <c r="C320">
        <v>71</v>
      </c>
      <c r="D320" t="s">
        <v>27</v>
      </c>
      <c r="E320" t="s">
        <v>29</v>
      </c>
      <c r="F320" t="s">
        <v>28</v>
      </c>
      <c r="G320" t="s">
        <v>29</v>
      </c>
      <c r="H320">
        <v>6</v>
      </c>
      <c r="I320" t="s">
        <v>30</v>
      </c>
      <c r="J320" t="s">
        <v>853</v>
      </c>
      <c r="K320" t="s">
        <v>1057</v>
      </c>
      <c r="M320" s="4" t="s">
        <v>34</v>
      </c>
      <c r="N320" t="s">
        <v>95</v>
      </c>
      <c r="P320" s="3" t="s">
        <v>36</v>
      </c>
      <c r="Q320" s="3" t="s">
        <v>77</v>
      </c>
      <c r="R320">
        <v>2</v>
      </c>
      <c r="S320" s="5">
        <v>45472</v>
      </c>
      <c r="T320" t="s">
        <v>38</v>
      </c>
      <c r="U320">
        <f t="shared" ca="1" si="24"/>
        <v>7</v>
      </c>
      <c r="V320" s="6">
        <f t="shared" ca="1" si="25"/>
        <v>46009</v>
      </c>
      <c r="W320" s="6">
        <f t="shared" ca="1" si="26"/>
        <v>46015</v>
      </c>
      <c r="X320" t="str">
        <f t="shared" ca="1" si="27"/>
        <v>Dec 18 to Dec 24</v>
      </c>
      <c r="Y320" t="str">
        <f t="shared" ca="1" si="28"/>
        <v>🟢 THIS WEEK</v>
      </c>
      <c r="Z320" t="str">
        <f t="shared" ca="1" si="29"/>
        <v>Confirm appointment</v>
      </c>
    </row>
    <row r="321" spans="1:26">
      <c r="A321">
        <v>1010612560</v>
      </c>
      <c r="B321" s="3" t="s">
        <v>1058</v>
      </c>
      <c r="C321">
        <v>62</v>
      </c>
      <c r="D321" t="s">
        <v>47</v>
      </c>
      <c r="E321" t="s">
        <v>28</v>
      </c>
      <c r="F321" t="s">
        <v>29</v>
      </c>
      <c r="G321" t="s">
        <v>28</v>
      </c>
      <c r="H321">
        <v>5</v>
      </c>
      <c r="I321" t="s">
        <v>30</v>
      </c>
      <c r="J321" t="s">
        <v>1059</v>
      </c>
      <c r="K321" t="s">
        <v>1060</v>
      </c>
      <c r="L321" t="s">
        <v>69</v>
      </c>
      <c r="M321" s="4" t="s">
        <v>43</v>
      </c>
      <c r="N321" t="s">
        <v>70</v>
      </c>
      <c r="P321" s="3" t="s">
        <v>36</v>
      </c>
      <c r="Q321" s="3" t="s">
        <v>84</v>
      </c>
      <c r="R321">
        <v>1</v>
      </c>
      <c r="S321" s="5">
        <v>45867</v>
      </c>
      <c r="T321" t="s">
        <v>38</v>
      </c>
      <c r="U321">
        <f t="shared" ca="1" si="24"/>
        <v>12</v>
      </c>
      <c r="V321" s="6">
        <f t="shared" ca="1" si="25"/>
        <v>46014</v>
      </c>
      <c r="W321" s="6">
        <f t="shared" ca="1" si="26"/>
        <v>46020</v>
      </c>
      <c r="X321" t="str">
        <f t="shared" ca="1" si="27"/>
        <v>Dec 23 to Dec 29</v>
      </c>
      <c r="Y321" t="str">
        <f t="shared" ca="1" si="28"/>
        <v>🔵 NEXT 2 WEEKS</v>
      </c>
      <c r="Z321" t="str">
        <f t="shared" ca="1" si="29"/>
        <v>Send reminder SMS</v>
      </c>
    </row>
    <row r="322" spans="1:26">
      <c r="A322">
        <v>1010614814</v>
      </c>
      <c r="B322" s="3" t="s">
        <v>1061</v>
      </c>
      <c r="C322">
        <v>75</v>
      </c>
      <c r="D322" t="s">
        <v>27</v>
      </c>
      <c r="E322" t="s">
        <v>29</v>
      </c>
      <c r="F322" t="s">
        <v>29</v>
      </c>
      <c r="G322" t="s">
        <v>29</v>
      </c>
      <c r="H322">
        <v>8</v>
      </c>
      <c r="I322" t="s">
        <v>30</v>
      </c>
      <c r="J322" t="s">
        <v>168</v>
      </c>
      <c r="K322" t="s">
        <v>1062</v>
      </c>
      <c r="L322" t="s">
        <v>170</v>
      </c>
      <c r="M322" s="4" t="s">
        <v>34</v>
      </c>
      <c r="N322" t="s">
        <v>171</v>
      </c>
      <c r="P322" s="3" t="s">
        <v>36</v>
      </c>
      <c r="Q322" s="3" t="s">
        <v>230</v>
      </c>
      <c r="R322">
        <v>2</v>
      </c>
      <c r="S322" s="5">
        <v>45661</v>
      </c>
      <c r="T322" t="s">
        <v>38</v>
      </c>
      <c r="U322">
        <f t="shared" ref="U322:U385" ca="1" si="30">IF(S322&gt;=TODAY(),S322,S322+CEILING((TODAY()-S322)/IF(T322="Monthly",30,IF(T322="Bi-Monthly",60,90)),1)*IF(T322="Monthly",30,IF(T322="Bi-Monthly",60,90)))-TODAY()</f>
        <v>16</v>
      </c>
      <c r="V322" s="6">
        <f t="shared" ref="V322:V385" ca="1" si="31">IF(S322&gt;=TODAY(),S322,S322+CEILING((TODAY()-S322)/IF(T322="Monthly",30,IF(T322="Bi-Monthly",60,90)),1)*IF(T322="Monthly",30,IF(T322="Bi-Monthly",60,90)))-3</f>
        <v>46018</v>
      </c>
      <c r="W322" s="6">
        <f t="shared" ref="W322:W385" ca="1" si="32">IF(S322&gt;=TODAY(),S322,S322+CEILING((TODAY()-S322)/IF(T322="Monthly",30,IF(T322="Bi-Monthly",60,90)),1)*IF(T322="Monthly",30,IF(T322="Bi-Monthly",60,90)))+3</f>
        <v>46024</v>
      </c>
      <c r="X322" t="str">
        <f t="shared" ref="X322:X385" ca="1" si="33">TEXT(V322,"MMM D")&amp;" to "&amp;TEXT(W322,"MMM D")</f>
        <v>Dec 27 to Jan 2</v>
      </c>
      <c r="Y322" t="str">
        <f t="shared" ref="Y322:Y385" ca="1" si="34">IF(U322&lt;=3,"🟡 IMMINENT (within 3 days)",IF(U322&lt;=7,"🟢 THIS WEEK",IF(U322&lt;=14,"🔵 NEXT 2 WEEKS","⚪ SCHEDULED")))</f>
        <v>⚪ SCHEDULED</v>
      </c>
      <c r="Z322" t="str">
        <f t="shared" ref="Z322:Z385" ca="1" si="35">IF(U322&lt;=3,"Prepare medications TODAY",IF(U322&lt;=7,"Confirm appointment",IF(U322&lt;=14,"Send reminder SMS","No action needed yet")))</f>
        <v>No action needed yet</v>
      </c>
    </row>
    <row r="323" spans="1:26">
      <c r="A323">
        <v>1010631818</v>
      </c>
      <c r="B323" s="3" t="s">
        <v>1063</v>
      </c>
      <c r="C323">
        <v>76</v>
      </c>
      <c r="D323" t="s">
        <v>47</v>
      </c>
      <c r="E323" t="s">
        <v>29</v>
      </c>
      <c r="F323" t="s">
        <v>29</v>
      </c>
      <c r="G323" t="s">
        <v>29</v>
      </c>
      <c r="H323">
        <v>7</v>
      </c>
      <c r="I323" t="s">
        <v>30</v>
      </c>
      <c r="J323" t="s">
        <v>1064</v>
      </c>
      <c r="K323" t="s">
        <v>1065</v>
      </c>
      <c r="M323" s="4" t="s">
        <v>43</v>
      </c>
      <c r="N323" t="s">
        <v>44</v>
      </c>
      <c r="P323" s="3" t="s">
        <v>36</v>
      </c>
      <c r="Q323" s="3" t="s">
        <v>84</v>
      </c>
      <c r="R323">
        <v>2</v>
      </c>
      <c r="S323" s="5">
        <v>45853</v>
      </c>
      <c r="T323" t="s">
        <v>38</v>
      </c>
      <c r="U323">
        <f t="shared" ca="1" si="30"/>
        <v>28</v>
      </c>
      <c r="V323" s="6">
        <f t="shared" ca="1" si="31"/>
        <v>46030</v>
      </c>
      <c r="W323" s="6">
        <f t="shared" ca="1" si="32"/>
        <v>46036</v>
      </c>
      <c r="X323" t="str">
        <f t="shared" ca="1" si="33"/>
        <v>Jan 8 to Jan 14</v>
      </c>
      <c r="Y323" t="str">
        <f t="shared" ca="1" si="34"/>
        <v>⚪ SCHEDULED</v>
      </c>
      <c r="Z323" t="str">
        <f t="shared" ca="1" si="35"/>
        <v>No action needed yet</v>
      </c>
    </row>
    <row r="324" spans="1:26">
      <c r="A324">
        <v>1010638631</v>
      </c>
      <c r="B324" s="3" t="s">
        <v>1066</v>
      </c>
      <c r="C324">
        <v>66</v>
      </c>
      <c r="D324" t="s">
        <v>47</v>
      </c>
      <c r="E324" t="s">
        <v>28</v>
      </c>
      <c r="F324" t="s">
        <v>29</v>
      </c>
      <c r="G324" t="s">
        <v>29</v>
      </c>
      <c r="H324">
        <v>5</v>
      </c>
      <c r="I324" t="s">
        <v>30</v>
      </c>
      <c r="J324" t="s">
        <v>1067</v>
      </c>
      <c r="K324" t="s">
        <v>1068</v>
      </c>
      <c r="M324" s="4" t="s">
        <v>34</v>
      </c>
      <c r="N324" t="s">
        <v>35</v>
      </c>
      <c r="P324" s="3" t="s">
        <v>36</v>
      </c>
      <c r="Q324" s="3" t="s">
        <v>84</v>
      </c>
      <c r="R324">
        <v>2</v>
      </c>
      <c r="S324" s="5">
        <v>45763</v>
      </c>
      <c r="T324" t="s">
        <v>38</v>
      </c>
      <c r="U324">
        <f t="shared" ca="1" si="30"/>
        <v>28</v>
      </c>
      <c r="V324" s="6">
        <f t="shared" ca="1" si="31"/>
        <v>46030</v>
      </c>
      <c r="W324" s="6">
        <f t="shared" ca="1" si="32"/>
        <v>46036</v>
      </c>
      <c r="X324" t="str">
        <f t="shared" ca="1" si="33"/>
        <v>Jan 8 to Jan 14</v>
      </c>
      <c r="Y324" t="str">
        <f t="shared" ca="1" si="34"/>
        <v>⚪ SCHEDULED</v>
      </c>
      <c r="Z324" t="str">
        <f t="shared" ca="1" si="35"/>
        <v>No action needed yet</v>
      </c>
    </row>
    <row r="325" spans="1:26">
      <c r="A325">
        <v>1010677423</v>
      </c>
      <c r="B325" s="3" t="s">
        <v>1069</v>
      </c>
      <c r="C325">
        <v>48</v>
      </c>
      <c r="D325" t="s">
        <v>27</v>
      </c>
      <c r="E325" t="s">
        <v>28</v>
      </c>
      <c r="F325" t="s">
        <v>29</v>
      </c>
      <c r="G325" t="s">
        <v>28</v>
      </c>
      <c r="H325">
        <v>3</v>
      </c>
      <c r="I325" t="s">
        <v>66</v>
      </c>
      <c r="J325" t="s">
        <v>1070</v>
      </c>
      <c r="K325" t="s">
        <v>1071</v>
      </c>
      <c r="L325" t="s">
        <v>186</v>
      </c>
      <c r="M325" s="4" t="s">
        <v>94</v>
      </c>
      <c r="N325" t="s">
        <v>64</v>
      </c>
      <c r="P325" s="3" t="s">
        <v>36</v>
      </c>
      <c r="Q325" s="3" t="s">
        <v>107</v>
      </c>
      <c r="R325">
        <v>2</v>
      </c>
      <c r="S325" s="5">
        <v>45946</v>
      </c>
      <c r="T325" t="s">
        <v>38</v>
      </c>
      <c r="U325">
        <f t="shared" ca="1" si="30"/>
        <v>1</v>
      </c>
      <c r="V325" s="6">
        <f t="shared" ca="1" si="31"/>
        <v>46003</v>
      </c>
      <c r="W325" s="6">
        <f t="shared" ca="1" si="32"/>
        <v>46009</v>
      </c>
      <c r="X325" t="str">
        <f t="shared" ca="1" si="33"/>
        <v>Dec 12 to Dec 18</v>
      </c>
      <c r="Y325" t="str">
        <f t="shared" ca="1" si="34"/>
        <v>🟡 IMMINENT (within 3 days)</v>
      </c>
      <c r="Z325" t="str">
        <f t="shared" ca="1" si="35"/>
        <v>Prepare medications TODAY</v>
      </c>
    </row>
    <row r="326" spans="1:26">
      <c r="A326">
        <v>1010681821</v>
      </c>
      <c r="B326" s="3" t="s">
        <v>1072</v>
      </c>
      <c r="C326">
        <v>59</v>
      </c>
      <c r="D326" t="s">
        <v>27</v>
      </c>
      <c r="E326" t="s">
        <v>29</v>
      </c>
      <c r="F326" t="s">
        <v>28</v>
      </c>
      <c r="G326" t="s">
        <v>28</v>
      </c>
      <c r="H326">
        <v>3</v>
      </c>
      <c r="I326" t="s">
        <v>66</v>
      </c>
      <c r="J326" t="s">
        <v>1073</v>
      </c>
      <c r="K326" t="s">
        <v>1074</v>
      </c>
      <c r="L326" t="s">
        <v>269</v>
      </c>
      <c r="M326" s="4" t="s">
        <v>43</v>
      </c>
      <c r="N326" t="s">
        <v>162</v>
      </c>
      <c r="P326" s="3" t="s">
        <v>36</v>
      </c>
      <c r="Q326" s="3" t="s">
        <v>90</v>
      </c>
      <c r="R326">
        <v>1</v>
      </c>
      <c r="S326" s="5">
        <v>45892</v>
      </c>
      <c r="T326" t="s">
        <v>38</v>
      </c>
      <c r="U326">
        <f t="shared" ca="1" si="30"/>
        <v>7</v>
      </c>
      <c r="V326" s="6">
        <f t="shared" ca="1" si="31"/>
        <v>46009</v>
      </c>
      <c r="W326" s="6">
        <f t="shared" ca="1" si="32"/>
        <v>46015</v>
      </c>
      <c r="X326" t="str">
        <f t="shared" ca="1" si="33"/>
        <v>Dec 18 to Dec 24</v>
      </c>
      <c r="Y326" t="str">
        <f t="shared" ca="1" si="34"/>
        <v>🟢 THIS WEEK</v>
      </c>
      <c r="Z326" t="str">
        <f t="shared" ca="1" si="35"/>
        <v>Confirm appointment</v>
      </c>
    </row>
    <row r="327" spans="1:26">
      <c r="A327">
        <v>1010683165</v>
      </c>
      <c r="B327" s="3" t="s">
        <v>1075</v>
      </c>
      <c r="C327">
        <v>62</v>
      </c>
      <c r="D327" t="s">
        <v>47</v>
      </c>
      <c r="E327" t="s">
        <v>29</v>
      </c>
      <c r="F327" t="s">
        <v>29</v>
      </c>
      <c r="G327" t="s">
        <v>28</v>
      </c>
      <c r="H327">
        <v>6</v>
      </c>
      <c r="I327" t="s">
        <v>30</v>
      </c>
      <c r="J327" t="s">
        <v>1076</v>
      </c>
      <c r="K327" t="s">
        <v>1077</v>
      </c>
      <c r="M327" s="4" t="s">
        <v>43</v>
      </c>
      <c r="N327" t="s">
        <v>144</v>
      </c>
      <c r="P327" s="3" t="s">
        <v>36</v>
      </c>
      <c r="Q327" s="3" t="s">
        <v>45</v>
      </c>
      <c r="R327">
        <v>1</v>
      </c>
      <c r="S327" s="5">
        <v>45925</v>
      </c>
      <c r="T327" t="s">
        <v>38</v>
      </c>
      <c r="U327">
        <f t="shared" ca="1" si="30"/>
        <v>10</v>
      </c>
      <c r="V327" s="6">
        <f t="shared" ca="1" si="31"/>
        <v>46012</v>
      </c>
      <c r="W327" s="6">
        <f t="shared" ca="1" si="32"/>
        <v>46018</v>
      </c>
      <c r="X327" t="str">
        <f t="shared" ca="1" si="33"/>
        <v>Dec 21 to Dec 27</v>
      </c>
      <c r="Y327" t="str">
        <f t="shared" ca="1" si="34"/>
        <v>🔵 NEXT 2 WEEKS</v>
      </c>
      <c r="Z327" t="str">
        <f t="shared" ca="1" si="35"/>
        <v>Send reminder SMS</v>
      </c>
    </row>
    <row r="328" spans="1:26">
      <c r="A328">
        <v>1010739728</v>
      </c>
      <c r="B328" s="3" t="s">
        <v>1078</v>
      </c>
      <c r="C328">
        <v>66</v>
      </c>
      <c r="D328" t="s">
        <v>47</v>
      </c>
      <c r="E328" t="s">
        <v>54</v>
      </c>
      <c r="F328" t="s">
        <v>54</v>
      </c>
      <c r="G328" t="s">
        <v>54</v>
      </c>
      <c r="H328">
        <v>3</v>
      </c>
      <c r="I328" t="s">
        <v>66</v>
      </c>
      <c r="J328" t="s">
        <v>1079</v>
      </c>
      <c r="K328" t="s">
        <v>1080</v>
      </c>
      <c r="L328" t="s">
        <v>105</v>
      </c>
      <c r="M328" s="4" t="s">
        <v>43</v>
      </c>
      <c r="N328" t="s">
        <v>59</v>
      </c>
      <c r="P328" s="3" t="s">
        <v>36</v>
      </c>
      <c r="Q328" s="3" t="s">
        <v>230</v>
      </c>
      <c r="R328">
        <v>2</v>
      </c>
      <c r="S328" s="5">
        <v>45912</v>
      </c>
      <c r="T328" t="s">
        <v>38</v>
      </c>
      <c r="U328">
        <f t="shared" ca="1" si="30"/>
        <v>27</v>
      </c>
      <c r="V328" s="6">
        <f t="shared" ca="1" si="31"/>
        <v>46029</v>
      </c>
      <c r="W328" s="6">
        <f t="shared" ca="1" si="32"/>
        <v>46035</v>
      </c>
      <c r="X328" t="str">
        <f t="shared" ca="1" si="33"/>
        <v>Jan 7 to Jan 13</v>
      </c>
      <c r="Y328" t="str">
        <f t="shared" ca="1" si="34"/>
        <v>⚪ SCHEDULED</v>
      </c>
      <c r="Z328" t="str">
        <f t="shared" ca="1" si="35"/>
        <v>No action needed yet</v>
      </c>
    </row>
    <row r="329" spans="1:26">
      <c r="A329">
        <v>1010757795</v>
      </c>
      <c r="B329" s="3" t="s">
        <v>1081</v>
      </c>
      <c r="C329">
        <v>63</v>
      </c>
      <c r="D329" t="s">
        <v>47</v>
      </c>
      <c r="E329" t="s">
        <v>54</v>
      </c>
      <c r="F329" t="s">
        <v>54</v>
      </c>
      <c r="G329" t="s">
        <v>54</v>
      </c>
      <c r="H329">
        <v>3</v>
      </c>
      <c r="I329" t="s">
        <v>66</v>
      </c>
      <c r="J329" t="s">
        <v>1082</v>
      </c>
      <c r="K329" t="s">
        <v>1083</v>
      </c>
      <c r="L329" t="s">
        <v>606</v>
      </c>
      <c r="M329" s="4" t="s">
        <v>94</v>
      </c>
      <c r="N329" t="s">
        <v>59</v>
      </c>
      <c r="P329" s="3" t="s">
        <v>36</v>
      </c>
      <c r="Q329" s="3" t="s">
        <v>90</v>
      </c>
      <c r="R329">
        <v>1</v>
      </c>
      <c r="S329" s="5">
        <v>45945</v>
      </c>
      <c r="T329" t="s">
        <v>38</v>
      </c>
      <c r="U329">
        <f t="shared" ca="1" si="30"/>
        <v>0</v>
      </c>
      <c r="V329" s="6">
        <f t="shared" ca="1" si="31"/>
        <v>46002</v>
      </c>
      <c r="W329" s="6">
        <f t="shared" ca="1" si="32"/>
        <v>46008</v>
      </c>
      <c r="X329" t="str">
        <f t="shared" ca="1" si="33"/>
        <v>Dec 11 to Dec 17</v>
      </c>
      <c r="Y329" t="str">
        <f t="shared" ca="1" si="34"/>
        <v>🟡 IMMINENT (within 3 days)</v>
      </c>
      <c r="Z329" t="str">
        <f t="shared" ca="1" si="35"/>
        <v>Prepare medications TODAY</v>
      </c>
    </row>
    <row r="330" spans="1:26">
      <c r="A330">
        <v>1010783726</v>
      </c>
      <c r="B330" s="3" t="s">
        <v>1084</v>
      </c>
      <c r="C330">
        <v>69</v>
      </c>
      <c r="D330" t="s">
        <v>47</v>
      </c>
      <c r="E330" t="s">
        <v>29</v>
      </c>
      <c r="F330" t="s">
        <v>29</v>
      </c>
      <c r="G330" t="s">
        <v>28</v>
      </c>
      <c r="H330">
        <v>5</v>
      </c>
      <c r="I330" t="s">
        <v>30</v>
      </c>
      <c r="J330" t="s">
        <v>1085</v>
      </c>
      <c r="K330" t="s">
        <v>1086</v>
      </c>
      <c r="L330" t="s">
        <v>170</v>
      </c>
      <c r="M330" s="4" t="s">
        <v>34</v>
      </c>
      <c r="N330" t="s">
        <v>106</v>
      </c>
      <c r="P330" s="3" t="s">
        <v>36</v>
      </c>
      <c r="Q330" s="3" t="s">
        <v>175</v>
      </c>
      <c r="R330">
        <v>1</v>
      </c>
      <c r="S330" s="5">
        <v>45338</v>
      </c>
      <c r="T330" t="s">
        <v>38</v>
      </c>
      <c r="U330">
        <f t="shared" ca="1" si="30"/>
        <v>23</v>
      </c>
      <c r="V330" s="6">
        <f t="shared" ca="1" si="31"/>
        <v>46025</v>
      </c>
      <c r="W330" s="6">
        <f t="shared" ca="1" si="32"/>
        <v>46031</v>
      </c>
      <c r="X330" t="str">
        <f t="shared" ca="1" si="33"/>
        <v>Jan 3 to Jan 9</v>
      </c>
      <c r="Y330" t="str">
        <f t="shared" ca="1" si="34"/>
        <v>⚪ SCHEDULED</v>
      </c>
      <c r="Z330" t="str">
        <f t="shared" ca="1" si="35"/>
        <v>No action needed yet</v>
      </c>
    </row>
    <row r="331" spans="1:26">
      <c r="A331">
        <v>1010795878</v>
      </c>
      <c r="B331" s="3" t="s">
        <v>1087</v>
      </c>
      <c r="C331">
        <v>69</v>
      </c>
      <c r="D331" t="s">
        <v>27</v>
      </c>
      <c r="E331" t="s">
        <v>29</v>
      </c>
      <c r="F331" t="s">
        <v>29</v>
      </c>
      <c r="G331" t="s">
        <v>29</v>
      </c>
      <c r="H331">
        <v>6</v>
      </c>
      <c r="I331" t="s">
        <v>30</v>
      </c>
      <c r="J331" t="s">
        <v>1088</v>
      </c>
      <c r="K331" t="s">
        <v>1089</v>
      </c>
      <c r="L331" t="s">
        <v>100</v>
      </c>
      <c r="M331" s="4" t="s">
        <v>34</v>
      </c>
      <c r="N331" t="s">
        <v>76</v>
      </c>
      <c r="P331" s="3" t="s">
        <v>36</v>
      </c>
      <c r="Q331" s="3" t="s">
        <v>45</v>
      </c>
      <c r="R331">
        <v>2</v>
      </c>
      <c r="S331" s="5">
        <v>45793</v>
      </c>
      <c r="T331" t="s">
        <v>38</v>
      </c>
      <c r="U331">
        <f t="shared" ca="1" si="30"/>
        <v>28</v>
      </c>
      <c r="V331" s="6">
        <f t="shared" ca="1" si="31"/>
        <v>46030</v>
      </c>
      <c r="W331" s="6">
        <f t="shared" ca="1" si="32"/>
        <v>46036</v>
      </c>
      <c r="X331" t="str">
        <f t="shared" ca="1" si="33"/>
        <v>Jan 8 to Jan 14</v>
      </c>
      <c r="Y331" t="str">
        <f t="shared" ca="1" si="34"/>
        <v>⚪ SCHEDULED</v>
      </c>
      <c r="Z331" t="str">
        <f t="shared" ca="1" si="35"/>
        <v>No action needed yet</v>
      </c>
    </row>
    <row r="332" spans="1:26">
      <c r="A332">
        <v>1010803367</v>
      </c>
      <c r="B332" s="3" t="s">
        <v>1090</v>
      </c>
      <c r="C332">
        <v>68</v>
      </c>
      <c r="D332" t="s">
        <v>47</v>
      </c>
      <c r="E332" t="s">
        <v>29</v>
      </c>
      <c r="F332" t="s">
        <v>29</v>
      </c>
      <c r="G332" t="s">
        <v>29</v>
      </c>
      <c r="H332">
        <v>7</v>
      </c>
      <c r="I332" t="s">
        <v>30</v>
      </c>
      <c r="J332" t="s">
        <v>1091</v>
      </c>
      <c r="K332" t="s">
        <v>1092</v>
      </c>
      <c r="L332" t="s">
        <v>327</v>
      </c>
      <c r="M332" s="4" t="s">
        <v>34</v>
      </c>
      <c r="N332" t="s">
        <v>76</v>
      </c>
      <c r="P332" s="3" t="s">
        <v>36</v>
      </c>
      <c r="Q332" s="3" t="s">
        <v>84</v>
      </c>
      <c r="R332">
        <v>1</v>
      </c>
      <c r="S332" s="5">
        <v>45751</v>
      </c>
      <c r="T332" t="s">
        <v>38</v>
      </c>
      <c r="U332">
        <f t="shared" ca="1" si="30"/>
        <v>16</v>
      </c>
      <c r="V332" s="6">
        <f t="shared" ca="1" si="31"/>
        <v>46018</v>
      </c>
      <c r="W332" s="6">
        <f t="shared" ca="1" si="32"/>
        <v>46024</v>
      </c>
      <c r="X332" t="str">
        <f t="shared" ca="1" si="33"/>
        <v>Dec 27 to Jan 2</v>
      </c>
      <c r="Y332" t="str">
        <f t="shared" ca="1" si="34"/>
        <v>⚪ SCHEDULED</v>
      </c>
      <c r="Z332" t="str">
        <f t="shared" ca="1" si="35"/>
        <v>No action needed yet</v>
      </c>
    </row>
    <row r="333" spans="1:26">
      <c r="A333">
        <v>1010803375</v>
      </c>
      <c r="B333" s="3" t="s">
        <v>1093</v>
      </c>
      <c r="C333">
        <v>60</v>
      </c>
      <c r="D333" t="s">
        <v>27</v>
      </c>
      <c r="E333" t="s">
        <v>29</v>
      </c>
      <c r="F333" t="s">
        <v>29</v>
      </c>
      <c r="G333" t="s">
        <v>28</v>
      </c>
      <c r="H333">
        <v>6</v>
      </c>
      <c r="I333" t="s">
        <v>30</v>
      </c>
      <c r="J333" t="s">
        <v>526</v>
      </c>
      <c r="K333" t="s">
        <v>1094</v>
      </c>
      <c r="M333" s="4" t="s">
        <v>34</v>
      </c>
      <c r="N333" t="s">
        <v>144</v>
      </c>
      <c r="P333" s="3" t="s">
        <v>36</v>
      </c>
      <c r="Q333" s="3" t="s">
        <v>1095</v>
      </c>
      <c r="R333">
        <v>1</v>
      </c>
      <c r="S333" s="5">
        <v>45826</v>
      </c>
      <c r="T333" t="s">
        <v>38</v>
      </c>
      <c r="U333">
        <f t="shared" ca="1" si="30"/>
        <v>1</v>
      </c>
      <c r="V333" s="6">
        <f t="shared" ca="1" si="31"/>
        <v>46003</v>
      </c>
      <c r="W333" s="6">
        <f t="shared" ca="1" si="32"/>
        <v>46009</v>
      </c>
      <c r="X333" t="str">
        <f t="shared" ca="1" si="33"/>
        <v>Dec 12 to Dec 18</v>
      </c>
      <c r="Y333" t="str">
        <f t="shared" ca="1" si="34"/>
        <v>🟡 IMMINENT (within 3 days)</v>
      </c>
      <c r="Z333" t="str">
        <f t="shared" ca="1" si="35"/>
        <v>Prepare medications TODAY</v>
      </c>
    </row>
    <row r="334" spans="1:26">
      <c r="A334">
        <v>1010868931</v>
      </c>
      <c r="B334" s="3" t="s">
        <v>1096</v>
      </c>
      <c r="C334">
        <v>55</v>
      </c>
      <c r="D334" t="s">
        <v>27</v>
      </c>
      <c r="E334" t="s">
        <v>28</v>
      </c>
      <c r="F334" t="s">
        <v>28</v>
      </c>
      <c r="G334" t="s">
        <v>28</v>
      </c>
      <c r="H334">
        <v>2</v>
      </c>
      <c r="I334" t="s">
        <v>55</v>
      </c>
      <c r="J334" t="s">
        <v>1097</v>
      </c>
      <c r="K334" t="s">
        <v>1098</v>
      </c>
      <c r="M334" s="4" t="s">
        <v>94</v>
      </c>
      <c r="N334" t="s">
        <v>59</v>
      </c>
      <c r="P334" s="3" t="s">
        <v>36</v>
      </c>
      <c r="Q334" s="3" t="s">
        <v>84</v>
      </c>
      <c r="R334">
        <v>2</v>
      </c>
      <c r="S334" s="5">
        <v>45969</v>
      </c>
      <c r="T334" t="s">
        <v>60</v>
      </c>
      <c r="U334">
        <f t="shared" ca="1" si="30"/>
        <v>24</v>
      </c>
      <c r="V334" s="6">
        <f t="shared" ca="1" si="31"/>
        <v>46026</v>
      </c>
      <c r="W334" s="6">
        <f t="shared" ca="1" si="32"/>
        <v>46032</v>
      </c>
      <c r="X334" t="str">
        <f t="shared" ca="1" si="33"/>
        <v>Jan 4 to Jan 10</v>
      </c>
      <c r="Y334" t="str">
        <f t="shared" ca="1" si="34"/>
        <v>⚪ SCHEDULED</v>
      </c>
      <c r="Z334" t="str">
        <f t="shared" ca="1" si="35"/>
        <v>No action needed yet</v>
      </c>
    </row>
    <row r="335" spans="1:26">
      <c r="A335">
        <v>1010873444</v>
      </c>
      <c r="B335" s="3" t="s">
        <v>1099</v>
      </c>
      <c r="C335">
        <v>54</v>
      </c>
      <c r="D335" t="s">
        <v>27</v>
      </c>
      <c r="E335" t="s">
        <v>28</v>
      </c>
      <c r="F335" t="s">
        <v>29</v>
      </c>
      <c r="G335" t="s">
        <v>29</v>
      </c>
      <c r="H335">
        <v>5</v>
      </c>
      <c r="I335" t="s">
        <v>30</v>
      </c>
      <c r="J335" t="s">
        <v>1100</v>
      </c>
      <c r="K335" t="s">
        <v>1101</v>
      </c>
      <c r="L335" t="s">
        <v>42</v>
      </c>
      <c r="M335" s="4" t="s">
        <v>94</v>
      </c>
      <c r="N335" t="s">
        <v>35</v>
      </c>
      <c r="P335" s="3" t="s">
        <v>36</v>
      </c>
      <c r="Q335" s="3" t="s">
        <v>107</v>
      </c>
      <c r="R335">
        <v>1</v>
      </c>
      <c r="S335" s="5">
        <v>45935</v>
      </c>
      <c r="T335" t="s">
        <v>38</v>
      </c>
      <c r="U335">
        <f t="shared" ca="1" si="30"/>
        <v>20</v>
      </c>
      <c r="V335" s="6">
        <f t="shared" ca="1" si="31"/>
        <v>46022</v>
      </c>
      <c r="W335" s="6">
        <f t="shared" ca="1" si="32"/>
        <v>46028</v>
      </c>
      <c r="X335" t="str">
        <f t="shared" ca="1" si="33"/>
        <v>Dec 31 to Jan 6</v>
      </c>
      <c r="Y335" t="str">
        <f t="shared" ca="1" si="34"/>
        <v>⚪ SCHEDULED</v>
      </c>
      <c r="Z335" t="str">
        <f t="shared" ca="1" si="35"/>
        <v>No action needed yet</v>
      </c>
    </row>
    <row r="336" spans="1:26">
      <c r="A336">
        <v>1010912663</v>
      </c>
      <c r="B336" s="3" t="s">
        <v>1102</v>
      </c>
      <c r="C336">
        <v>62</v>
      </c>
      <c r="D336" t="s">
        <v>47</v>
      </c>
      <c r="E336" t="s">
        <v>29</v>
      </c>
      <c r="F336" t="s">
        <v>29</v>
      </c>
      <c r="G336" t="s">
        <v>28</v>
      </c>
      <c r="H336">
        <v>5</v>
      </c>
      <c r="I336" t="s">
        <v>30</v>
      </c>
      <c r="J336" t="s">
        <v>1103</v>
      </c>
      <c r="K336" t="s">
        <v>1104</v>
      </c>
      <c r="L336" t="s">
        <v>1105</v>
      </c>
      <c r="M336" s="4" t="s">
        <v>94</v>
      </c>
      <c r="N336" t="s">
        <v>106</v>
      </c>
      <c r="P336" s="3" t="s">
        <v>36</v>
      </c>
      <c r="Q336" s="3" t="s">
        <v>858</v>
      </c>
      <c r="R336">
        <v>1</v>
      </c>
      <c r="S336" s="5">
        <v>45939</v>
      </c>
      <c r="T336" t="s">
        <v>38</v>
      </c>
      <c r="U336">
        <f t="shared" ca="1" si="30"/>
        <v>24</v>
      </c>
      <c r="V336" s="6">
        <f t="shared" ca="1" si="31"/>
        <v>46026</v>
      </c>
      <c r="W336" s="6">
        <f t="shared" ca="1" si="32"/>
        <v>46032</v>
      </c>
      <c r="X336" t="str">
        <f t="shared" ca="1" si="33"/>
        <v>Jan 4 to Jan 10</v>
      </c>
      <c r="Y336" t="str">
        <f t="shared" ca="1" si="34"/>
        <v>⚪ SCHEDULED</v>
      </c>
      <c r="Z336" t="str">
        <f t="shared" ca="1" si="35"/>
        <v>No action needed yet</v>
      </c>
    </row>
    <row r="337" spans="1:26">
      <c r="A337">
        <v>1010919239</v>
      </c>
      <c r="B337" s="3" t="s">
        <v>1106</v>
      </c>
      <c r="C337">
        <v>42</v>
      </c>
      <c r="D337" t="s">
        <v>47</v>
      </c>
      <c r="E337" t="s">
        <v>29</v>
      </c>
      <c r="F337" t="s">
        <v>29</v>
      </c>
      <c r="G337" t="s">
        <v>29</v>
      </c>
      <c r="H337">
        <v>5</v>
      </c>
      <c r="I337" t="s">
        <v>30</v>
      </c>
      <c r="J337" t="s">
        <v>1014</v>
      </c>
      <c r="K337" t="s">
        <v>1107</v>
      </c>
      <c r="M337" s="4" t="s">
        <v>34</v>
      </c>
      <c r="N337" t="s">
        <v>44</v>
      </c>
      <c r="P337" s="3" t="s">
        <v>36</v>
      </c>
      <c r="Q337" s="3" t="s">
        <v>1108</v>
      </c>
      <c r="R337">
        <v>2</v>
      </c>
      <c r="S337" s="5">
        <v>45793</v>
      </c>
      <c r="T337" t="s">
        <v>38</v>
      </c>
      <c r="U337">
        <f t="shared" ca="1" si="30"/>
        <v>28</v>
      </c>
      <c r="V337" s="6">
        <f t="shared" ca="1" si="31"/>
        <v>46030</v>
      </c>
      <c r="W337" s="6">
        <f t="shared" ca="1" si="32"/>
        <v>46036</v>
      </c>
      <c r="X337" t="str">
        <f t="shared" ca="1" si="33"/>
        <v>Jan 8 to Jan 14</v>
      </c>
      <c r="Y337" t="str">
        <f t="shared" ca="1" si="34"/>
        <v>⚪ SCHEDULED</v>
      </c>
      <c r="Z337" t="str">
        <f t="shared" ca="1" si="35"/>
        <v>No action needed yet</v>
      </c>
    </row>
    <row r="338" spans="1:26">
      <c r="A338">
        <v>1010930780</v>
      </c>
      <c r="B338" s="3" t="s">
        <v>1109</v>
      </c>
      <c r="C338">
        <v>47</v>
      </c>
      <c r="D338" t="s">
        <v>27</v>
      </c>
      <c r="E338" t="s">
        <v>29</v>
      </c>
      <c r="F338" t="s">
        <v>29</v>
      </c>
      <c r="G338" t="s">
        <v>28</v>
      </c>
      <c r="H338">
        <v>3</v>
      </c>
      <c r="I338" t="s">
        <v>66</v>
      </c>
      <c r="J338" t="s">
        <v>1110</v>
      </c>
      <c r="K338" t="s">
        <v>1111</v>
      </c>
      <c r="L338" t="s">
        <v>33</v>
      </c>
      <c r="M338" s="4" t="s">
        <v>43</v>
      </c>
      <c r="N338" t="s">
        <v>144</v>
      </c>
      <c r="P338" s="3" t="s">
        <v>36</v>
      </c>
      <c r="Q338" s="3" t="s">
        <v>90</v>
      </c>
      <c r="R338">
        <v>2</v>
      </c>
      <c r="S338" s="5">
        <v>45883</v>
      </c>
      <c r="T338" t="s">
        <v>38</v>
      </c>
      <c r="U338">
        <f t="shared" ca="1" si="30"/>
        <v>28</v>
      </c>
      <c r="V338" s="6">
        <f t="shared" ca="1" si="31"/>
        <v>46030</v>
      </c>
      <c r="W338" s="6">
        <f t="shared" ca="1" si="32"/>
        <v>46036</v>
      </c>
      <c r="X338" t="str">
        <f t="shared" ca="1" si="33"/>
        <v>Jan 8 to Jan 14</v>
      </c>
      <c r="Y338" t="str">
        <f t="shared" ca="1" si="34"/>
        <v>⚪ SCHEDULED</v>
      </c>
      <c r="Z338" t="str">
        <f t="shared" ca="1" si="35"/>
        <v>No action needed yet</v>
      </c>
    </row>
    <row r="339" spans="1:26">
      <c r="A339">
        <v>1011055314</v>
      </c>
      <c r="B339" s="3" t="s">
        <v>1112</v>
      </c>
      <c r="C339">
        <v>82</v>
      </c>
      <c r="D339" t="s">
        <v>27</v>
      </c>
      <c r="E339" t="s">
        <v>29</v>
      </c>
      <c r="F339" t="s">
        <v>28</v>
      </c>
      <c r="G339" t="s">
        <v>29</v>
      </c>
      <c r="H339">
        <v>6</v>
      </c>
      <c r="I339" t="s">
        <v>30</v>
      </c>
      <c r="J339" t="s">
        <v>1113</v>
      </c>
      <c r="K339" t="s">
        <v>1114</v>
      </c>
      <c r="L339" t="s">
        <v>269</v>
      </c>
      <c r="M339" s="4" t="s">
        <v>34</v>
      </c>
      <c r="N339" t="s">
        <v>51</v>
      </c>
      <c r="P339" s="3" t="s">
        <v>36</v>
      </c>
      <c r="Q339" s="3" t="s">
        <v>230</v>
      </c>
      <c r="R339">
        <v>1</v>
      </c>
      <c r="S339" s="5">
        <v>45836</v>
      </c>
      <c r="T339" t="s">
        <v>38</v>
      </c>
      <c r="U339">
        <f t="shared" ca="1" si="30"/>
        <v>11</v>
      </c>
      <c r="V339" s="6">
        <f t="shared" ca="1" si="31"/>
        <v>46013</v>
      </c>
      <c r="W339" s="6">
        <f t="shared" ca="1" si="32"/>
        <v>46019</v>
      </c>
      <c r="X339" t="str">
        <f t="shared" ca="1" si="33"/>
        <v>Dec 22 to Dec 28</v>
      </c>
      <c r="Y339" t="str">
        <f t="shared" ca="1" si="34"/>
        <v>🔵 NEXT 2 WEEKS</v>
      </c>
      <c r="Z339" t="str">
        <f t="shared" ca="1" si="35"/>
        <v>Send reminder SMS</v>
      </c>
    </row>
    <row r="340" spans="1:26">
      <c r="A340">
        <v>1011085063</v>
      </c>
      <c r="B340" s="3" t="s">
        <v>1115</v>
      </c>
      <c r="C340">
        <v>61</v>
      </c>
      <c r="D340" t="s">
        <v>27</v>
      </c>
      <c r="E340" t="s">
        <v>29</v>
      </c>
      <c r="F340" t="s">
        <v>28</v>
      </c>
      <c r="G340" t="s">
        <v>28</v>
      </c>
      <c r="H340">
        <v>4</v>
      </c>
      <c r="I340" t="s">
        <v>66</v>
      </c>
      <c r="J340" t="s">
        <v>278</v>
      </c>
      <c r="K340" t="s">
        <v>1116</v>
      </c>
      <c r="L340" t="s">
        <v>170</v>
      </c>
      <c r="M340" s="4" t="s">
        <v>94</v>
      </c>
      <c r="N340" t="s">
        <v>162</v>
      </c>
      <c r="P340" s="3" t="s">
        <v>36</v>
      </c>
      <c r="Q340" s="3" t="s">
        <v>84</v>
      </c>
      <c r="R340">
        <v>2</v>
      </c>
      <c r="S340" s="5">
        <v>45939</v>
      </c>
      <c r="T340" t="s">
        <v>38</v>
      </c>
      <c r="U340">
        <f t="shared" ca="1" si="30"/>
        <v>24</v>
      </c>
      <c r="V340" s="6">
        <f t="shared" ca="1" si="31"/>
        <v>46026</v>
      </c>
      <c r="W340" s="6">
        <f t="shared" ca="1" si="32"/>
        <v>46032</v>
      </c>
      <c r="X340" t="str">
        <f t="shared" ca="1" si="33"/>
        <v>Jan 4 to Jan 10</v>
      </c>
      <c r="Y340" t="str">
        <f t="shared" ca="1" si="34"/>
        <v>⚪ SCHEDULED</v>
      </c>
      <c r="Z340" t="str">
        <f t="shared" ca="1" si="35"/>
        <v>No action needed yet</v>
      </c>
    </row>
    <row r="341" spans="1:26">
      <c r="A341">
        <v>1011133012</v>
      </c>
      <c r="B341" s="3" t="s">
        <v>1117</v>
      </c>
      <c r="C341">
        <v>65</v>
      </c>
      <c r="D341" t="s">
        <v>27</v>
      </c>
      <c r="E341" t="s">
        <v>29</v>
      </c>
      <c r="F341" t="s">
        <v>29</v>
      </c>
      <c r="G341" t="s">
        <v>29</v>
      </c>
      <c r="H341">
        <v>6</v>
      </c>
      <c r="I341" t="s">
        <v>30</v>
      </c>
      <c r="J341" t="s">
        <v>1118</v>
      </c>
      <c r="K341" t="s">
        <v>1119</v>
      </c>
      <c r="L341" t="s">
        <v>50</v>
      </c>
      <c r="M341" s="4" t="s">
        <v>43</v>
      </c>
      <c r="N341" t="s">
        <v>76</v>
      </c>
      <c r="P341" s="3" t="s">
        <v>36</v>
      </c>
      <c r="Q341" s="3" t="s">
        <v>90</v>
      </c>
      <c r="R341">
        <v>1</v>
      </c>
      <c r="S341" s="5">
        <v>45883</v>
      </c>
      <c r="T341" t="s">
        <v>38</v>
      </c>
      <c r="U341">
        <f t="shared" ca="1" si="30"/>
        <v>28</v>
      </c>
      <c r="V341" s="6">
        <f t="shared" ca="1" si="31"/>
        <v>46030</v>
      </c>
      <c r="W341" s="6">
        <f t="shared" ca="1" si="32"/>
        <v>46036</v>
      </c>
      <c r="X341" t="str">
        <f t="shared" ca="1" si="33"/>
        <v>Jan 8 to Jan 14</v>
      </c>
      <c r="Y341" t="str">
        <f t="shared" ca="1" si="34"/>
        <v>⚪ SCHEDULED</v>
      </c>
      <c r="Z341" t="str">
        <f t="shared" ca="1" si="35"/>
        <v>No action needed yet</v>
      </c>
    </row>
    <row r="342" spans="1:26">
      <c r="A342">
        <v>1011139670</v>
      </c>
      <c r="B342" s="3" t="s">
        <v>1120</v>
      </c>
      <c r="C342">
        <v>46</v>
      </c>
      <c r="D342" t="s">
        <v>27</v>
      </c>
      <c r="E342" t="s">
        <v>29</v>
      </c>
      <c r="F342" t="s">
        <v>28</v>
      </c>
      <c r="G342" t="s">
        <v>29</v>
      </c>
      <c r="H342">
        <v>3</v>
      </c>
      <c r="I342" t="s">
        <v>66</v>
      </c>
      <c r="J342" t="s">
        <v>1121</v>
      </c>
      <c r="K342" t="s">
        <v>1122</v>
      </c>
      <c r="L342" t="s">
        <v>234</v>
      </c>
      <c r="M342" s="4" t="s">
        <v>43</v>
      </c>
      <c r="N342" t="s">
        <v>51</v>
      </c>
      <c r="P342" s="3" t="s">
        <v>36</v>
      </c>
      <c r="Q342" s="3" t="s">
        <v>84</v>
      </c>
      <c r="R342">
        <v>1</v>
      </c>
      <c r="S342" s="5">
        <v>45909</v>
      </c>
      <c r="T342" t="s">
        <v>38</v>
      </c>
      <c r="U342">
        <f t="shared" ca="1" si="30"/>
        <v>24</v>
      </c>
      <c r="V342" s="6">
        <f t="shared" ca="1" si="31"/>
        <v>46026</v>
      </c>
      <c r="W342" s="6">
        <f t="shared" ca="1" si="32"/>
        <v>46032</v>
      </c>
      <c r="X342" t="str">
        <f t="shared" ca="1" si="33"/>
        <v>Jan 4 to Jan 10</v>
      </c>
      <c r="Y342" t="str">
        <f t="shared" ca="1" si="34"/>
        <v>⚪ SCHEDULED</v>
      </c>
      <c r="Z342" t="str">
        <f t="shared" ca="1" si="35"/>
        <v>No action needed yet</v>
      </c>
    </row>
    <row r="343" spans="1:26">
      <c r="A343">
        <v>1011176599</v>
      </c>
      <c r="B343" s="3" t="s">
        <v>1123</v>
      </c>
      <c r="C343">
        <v>76</v>
      </c>
      <c r="D343" t="s">
        <v>47</v>
      </c>
      <c r="E343" t="s">
        <v>28</v>
      </c>
      <c r="F343" t="s">
        <v>29</v>
      </c>
      <c r="G343" t="s">
        <v>29</v>
      </c>
      <c r="H343">
        <v>7</v>
      </c>
      <c r="I343" t="s">
        <v>30</v>
      </c>
      <c r="J343" t="s">
        <v>1124</v>
      </c>
      <c r="K343" t="s">
        <v>1125</v>
      </c>
      <c r="L343" t="s">
        <v>69</v>
      </c>
      <c r="M343" s="4" t="s">
        <v>34</v>
      </c>
      <c r="N343" t="s">
        <v>1126</v>
      </c>
      <c r="P343" s="3" t="s">
        <v>36</v>
      </c>
      <c r="Q343" s="3" t="s">
        <v>45</v>
      </c>
      <c r="R343">
        <v>2</v>
      </c>
      <c r="S343" s="5">
        <v>45791</v>
      </c>
      <c r="T343" t="s">
        <v>38</v>
      </c>
      <c r="U343">
        <f t="shared" ca="1" si="30"/>
        <v>26</v>
      </c>
      <c r="V343" s="6">
        <f t="shared" ca="1" si="31"/>
        <v>46028</v>
      </c>
      <c r="W343" s="6">
        <f t="shared" ca="1" si="32"/>
        <v>46034</v>
      </c>
      <c r="X343" t="str">
        <f t="shared" ca="1" si="33"/>
        <v>Jan 6 to Jan 12</v>
      </c>
      <c r="Y343" t="str">
        <f t="shared" ca="1" si="34"/>
        <v>⚪ SCHEDULED</v>
      </c>
      <c r="Z343" t="str">
        <f t="shared" ca="1" si="35"/>
        <v>No action needed yet</v>
      </c>
    </row>
    <row r="344" spans="1:26">
      <c r="A344">
        <v>1011213095</v>
      </c>
      <c r="B344" s="3" t="s">
        <v>1127</v>
      </c>
      <c r="C344">
        <v>52</v>
      </c>
      <c r="D344" t="s">
        <v>47</v>
      </c>
      <c r="E344" t="s">
        <v>28</v>
      </c>
      <c r="F344" t="s">
        <v>29</v>
      </c>
      <c r="G344" t="s">
        <v>28</v>
      </c>
      <c r="H344">
        <v>4</v>
      </c>
      <c r="I344" t="s">
        <v>66</v>
      </c>
      <c r="J344" t="s">
        <v>1128</v>
      </c>
      <c r="K344" t="s">
        <v>1129</v>
      </c>
      <c r="L344" t="s">
        <v>428</v>
      </c>
      <c r="M344" s="4" t="s">
        <v>34</v>
      </c>
      <c r="N344" t="s">
        <v>70</v>
      </c>
      <c r="P344" s="3" t="s">
        <v>36</v>
      </c>
      <c r="Q344" s="3" t="s">
        <v>96</v>
      </c>
      <c r="R344">
        <v>1</v>
      </c>
      <c r="S344" s="5">
        <v>45720</v>
      </c>
      <c r="T344" t="s">
        <v>38</v>
      </c>
      <c r="U344">
        <f t="shared" ca="1" si="30"/>
        <v>15</v>
      </c>
      <c r="V344" s="6">
        <f t="shared" ca="1" si="31"/>
        <v>46017</v>
      </c>
      <c r="W344" s="6">
        <f t="shared" ca="1" si="32"/>
        <v>46023</v>
      </c>
      <c r="X344" t="str">
        <f t="shared" ca="1" si="33"/>
        <v>Dec 26 to Jan 1</v>
      </c>
      <c r="Y344" t="str">
        <f t="shared" ca="1" si="34"/>
        <v>⚪ SCHEDULED</v>
      </c>
      <c r="Z344" t="str">
        <f t="shared" ca="1" si="35"/>
        <v>No action needed yet</v>
      </c>
    </row>
    <row r="345" spans="1:26">
      <c r="A345">
        <v>1011225164</v>
      </c>
      <c r="B345" s="3" t="s">
        <v>1130</v>
      </c>
      <c r="C345">
        <v>68</v>
      </c>
      <c r="D345" t="s">
        <v>27</v>
      </c>
      <c r="E345" t="s">
        <v>28</v>
      </c>
      <c r="F345" t="s">
        <v>28</v>
      </c>
      <c r="G345" t="s">
        <v>29</v>
      </c>
      <c r="H345">
        <v>5</v>
      </c>
      <c r="I345" t="s">
        <v>30</v>
      </c>
      <c r="J345" t="s">
        <v>1131</v>
      </c>
      <c r="K345" t="s">
        <v>1132</v>
      </c>
      <c r="L345" t="s">
        <v>33</v>
      </c>
      <c r="M345" s="4" t="s">
        <v>34</v>
      </c>
      <c r="N345" t="s">
        <v>794</v>
      </c>
      <c r="P345" s="3" t="s">
        <v>36</v>
      </c>
      <c r="Q345" s="3" t="s">
        <v>230</v>
      </c>
      <c r="R345">
        <v>2</v>
      </c>
      <c r="S345" s="5">
        <v>45814</v>
      </c>
      <c r="T345" t="s">
        <v>38</v>
      </c>
      <c r="U345">
        <f t="shared" ca="1" si="30"/>
        <v>19</v>
      </c>
      <c r="V345" s="6">
        <f t="shared" ca="1" si="31"/>
        <v>46021</v>
      </c>
      <c r="W345" s="6">
        <f t="shared" ca="1" si="32"/>
        <v>46027</v>
      </c>
      <c r="X345" t="str">
        <f t="shared" ca="1" si="33"/>
        <v>Dec 30 to Jan 5</v>
      </c>
      <c r="Y345" t="str">
        <f t="shared" ca="1" si="34"/>
        <v>⚪ SCHEDULED</v>
      </c>
      <c r="Z345" t="str">
        <f t="shared" ca="1" si="35"/>
        <v>No action needed yet</v>
      </c>
    </row>
    <row r="346" spans="1:26">
      <c r="A346">
        <v>1011238837</v>
      </c>
      <c r="B346" s="3" t="s">
        <v>1133</v>
      </c>
      <c r="C346">
        <v>51</v>
      </c>
      <c r="D346" t="s">
        <v>47</v>
      </c>
      <c r="E346" t="s">
        <v>28</v>
      </c>
      <c r="F346" t="s">
        <v>28</v>
      </c>
      <c r="G346" t="s">
        <v>28</v>
      </c>
      <c r="H346">
        <v>3</v>
      </c>
      <c r="I346" t="s">
        <v>66</v>
      </c>
      <c r="J346" t="s">
        <v>1134</v>
      </c>
      <c r="K346" t="s">
        <v>1135</v>
      </c>
      <c r="L346" t="s">
        <v>234</v>
      </c>
      <c r="M346" s="4" t="s">
        <v>43</v>
      </c>
      <c r="N346" t="s">
        <v>59</v>
      </c>
      <c r="P346" s="3" t="s">
        <v>36</v>
      </c>
      <c r="Q346" s="3" t="s">
        <v>45</v>
      </c>
      <c r="R346">
        <v>2</v>
      </c>
      <c r="S346" s="5">
        <v>45867</v>
      </c>
      <c r="T346" t="s">
        <v>38</v>
      </c>
      <c r="U346">
        <f t="shared" ca="1" si="30"/>
        <v>12</v>
      </c>
      <c r="V346" s="6">
        <f t="shared" ca="1" si="31"/>
        <v>46014</v>
      </c>
      <c r="W346" s="6">
        <f t="shared" ca="1" si="32"/>
        <v>46020</v>
      </c>
      <c r="X346" t="str">
        <f t="shared" ca="1" si="33"/>
        <v>Dec 23 to Dec 29</v>
      </c>
      <c r="Y346" t="str">
        <f t="shared" ca="1" si="34"/>
        <v>🔵 NEXT 2 WEEKS</v>
      </c>
      <c r="Z346" t="str">
        <f t="shared" ca="1" si="35"/>
        <v>Send reminder SMS</v>
      </c>
    </row>
    <row r="347" spans="1:26">
      <c r="A347">
        <v>1011275433</v>
      </c>
      <c r="B347" s="3" t="s">
        <v>1136</v>
      </c>
      <c r="C347">
        <v>63</v>
      </c>
      <c r="D347" t="s">
        <v>47</v>
      </c>
      <c r="E347" t="s">
        <v>29</v>
      </c>
      <c r="F347" t="s">
        <v>29</v>
      </c>
      <c r="G347" t="s">
        <v>29</v>
      </c>
      <c r="H347">
        <v>6</v>
      </c>
      <c r="I347" t="s">
        <v>30</v>
      </c>
      <c r="J347" t="s">
        <v>1137</v>
      </c>
      <c r="K347" t="s">
        <v>1138</v>
      </c>
      <c r="M347" s="4" t="s">
        <v>43</v>
      </c>
      <c r="N347" t="s">
        <v>44</v>
      </c>
      <c r="P347" s="3" t="s">
        <v>36</v>
      </c>
      <c r="Q347" s="3" t="s">
        <v>45</v>
      </c>
      <c r="R347">
        <v>1</v>
      </c>
      <c r="S347" s="5">
        <v>45863</v>
      </c>
      <c r="T347" t="s">
        <v>38</v>
      </c>
      <c r="U347">
        <f t="shared" ca="1" si="30"/>
        <v>8</v>
      </c>
      <c r="V347" s="6">
        <f t="shared" ca="1" si="31"/>
        <v>46010</v>
      </c>
      <c r="W347" s="6">
        <f t="shared" ca="1" si="32"/>
        <v>46016</v>
      </c>
      <c r="X347" t="str">
        <f t="shared" ca="1" si="33"/>
        <v>Dec 19 to Dec 25</v>
      </c>
      <c r="Y347" t="str">
        <f t="shared" ca="1" si="34"/>
        <v>🔵 NEXT 2 WEEKS</v>
      </c>
      <c r="Z347" t="str">
        <f t="shared" ca="1" si="35"/>
        <v>Send reminder SMS</v>
      </c>
    </row>
    <row r="348" spans="1:26">
      <c r="A348">
        <v>1011347133</v>
      </c>
      <c r="B348" s="3" t="s">
        <v>1139</v>
      </c>
      <c r="C348">
        <v>63</v>
      </c>
      <c r="D348" t="s">
        <v>27</v>
      </c>
      <c r="E348" t="s">
        <v>29</v>
      </c>
      <c r="F348" t="s">
        <v>29</v>
      </c>
      <c r="G348" t="s">
        <v>29</v>
      </c>
      <c r="H348">
        <v>7</v>
      </c>
      <c r="I348" t="s">
        <v>30</v>
      </c>
      <c r="J348" t="s">
        <v>1140</v>
      </c>
      <c r="K348" t="s">
        <v>1141</v>
      </c>
      <c r="L348" t="s">
        <v>968</v>
      </c>
      <c r="M348" s="4" t="s">
        <v>34</v>
      </c>
      <c r="N348" t="s">
        <v>201</v>
      </c>
      <c r="P348" s="3" t="s">
        <v>36</v>
      </c>
      <c r="Q348" s="3" t="s">
        <v>1142</v>
      </c>
      <c r="R348">
        <v>1</v>
      </c>
      <c r="S348" s="5">
        <v>45734</v>
      </c>
      <c r="T348" t="s">
        <v>38</v>
      </c>
      <c r="U348">
        <f t="shared" ca="1" si="30"/>
        <v>29</v>
      </c>
      <c r="V348" s="6">
        <f t="shared" ca="1" si="31"/>
        <v>46031</v>
      </c>
      <c r="W348" s="6">
        <f t="shared" ca="1" si="32"/>
        <v>46037</v>
      </c>
      <c r="X348" t="str">
        <f t="shared" ca="1" si="33"/>
        <v>Jan 9 to Jan 15</v>
      </c>
      <c r="Y348" t="str">
        <f t="shared" ca="1" si="34"/>
        <v>⚪ SCHEDULED</v>
      </c>
      <c r="Z348" t="str">
        <f t="shared" ca="1" si="35"/>
        <v>No action needed yet</v>
      </c>
    </row>
    <row r="349" spans="1:26">
      <c r="A349">
        <v>1011364666</v>
      </c>
      <c r="B349" s="3" t="s">
        <v>1143</v>
      </c>
      <c r="C349">
        <v>66</v>
      </c>
      <c r="D349" t="s">
        <v>27</v>
      </c>
      <c r="E349" t="s">
        <v>28</v>
      </c>
      <c r="F349" t="s">
        <v>29</v>
      </c>
      <c r="G349" t="s">
        <v>29</v>
      </c>
      <c r="H349">
        <v>6</v>
      </c>
      <c r="I349" t="s">
        <v>30</v>
      </c>
      <c r="J349" t="s">
        <v>125</v>
      </c>
      <c r="K349" t="s">
        <v>1144</v>
      </c>
      <c r="L349" t="s">
        <v>69</v>
      </c>
      <c r="M349" s="4" t="s">
        <v>43</v>
      </c>
      <c r="N349" t="s">
        <v>1126</v>
      </c>
      <c r="P349" s="3" t="s">
        <v>36</v>
      </c>
      <c r="Q349" s="3" t="s">
        <v>175</v>
      </c>
      <c r="R349">
        <v>1</v>
      </c>
      <c r="S349" s="5">
        <v>45884</v>
      </c>
      <c r="T349" t="s">
        <v>38</v>
      </c>
      <c r="U349">
        <f t="shared" ca="1" si="30"/>
        <v>29</v>
      </c>
      <c r="V349" s="6">
        <f t="shared" ca="1" si="31"/>
        <v>46031</v>
      </c>
      <c r="W349" s="6">
        <f t="shared" ca="1" si="32"/>
        <v>46037</v>
      </c>
      <c r="X349" t="str">
        <f t="shared" ca="1" si="33"/>
        <v>Jan 9 to Jan 15</v>
      </c>
      <c r="Y349" t="str">
        <f t="shared" ca="1" si="34"/>
        <v>⚪ SCHEDULED</v>
      </c>
      <c r="Z349" t="str">
        <f t="shared" ca="1" si="35"/>
        <v>No action needed yet</v>
      </c>
    </row>
    <row r="350" spans="1:26">
      <c r="A350">
        <v>1011423660</v>
      </c>
      <c r="B350" s="3" t="s">
        <v>1145</v>
      </c>
      <c r="C350">
        <v>59</v>
      </c>
      <c r="D350" t="s">
        <v>27</v>
      </c>
      <c r="E350" t="s">
        <v>28</v>
      </c>
      <c r="F350" t="s">
        <v>29</v>
      </c>
      <c r="G350" t="s">
        <v>28</v>
      </c>
      <c r="H350">
        <v>3</v>
      </c>
      <c r="I350" t="s">
        <v>66</v>
      </c>
      <c r="J350" t="s">
        <v>1146</v>
      </c>
      <c r="K350" t="s">
        <v>1147</v>
      </c>
      <c r="L350" t="s">
        <v>33</v>
      </c>
      <c r="M350" s="4" t="s">
        <v>94</v>
      </c>
      <c r="N350" t="s">
        <v>64</v>
      </c>
      <c r="P350" s="3" t="s">
        <v>36</v>
      </c>
      <c r="Q350" s="3" t="s">
        <v>45</v>
      </c>
      <c r="R350">
        <v>2</v>
      </c>
      <c r="S350" s="5">
        <v>45947</v>
      </c>
      <c r="T350" t="s">
        <v>38</v>
      </c>
      <c r="U350">
        <f t="shared" ca="1" si="30"/>
        <v>2</v>
      </c>
      <c r="V350" s="6">
        <f t="shared" ca="1" si="31"/>
        <v>46004</v>
      </c>
      <c r="W350" s="6">
        <f t="shared" ca="1" si="32"/>
        <v>46010</v>
      </c>
      <c r="X350" t="str">
        <f t="shared" ca="1" si="33"/>
        <v>Dec 13 to Dec 19</v>
      </c>
      <c r="Y350" t="str">
        <f t="shared" ca="1" si="34"/>
        <v>🟡 IMMINENT (within 3 days)</v>
      </c>
      <c r="Z350" t="str">
        <f t="shared" ca="1" si="35"/>
        <v>Prepare medications TODAY</v>
      </c>
    </row>
    <row r="351" spans="1:26">
      <c r="A351">
        <v>1011475207</v>
      </c>
      <c r="B351" s="3" t="s">
        <v>1148</v>
      </c>
      <c r="C351">
        <v>66</v>
      </c>
      <c r="D351" t="s">
        <v>47</v>
      </c>
      <c r="E351" t="s">
        <v>29</v>
      </c>
      <c r="F351" t="s">
        <v>29</v>
      </c>
      <c r="G351" t="s">
        <v>28</v>
      </c>
      <c r="H351">
        <v>5</v>
      </c>
      <c r="I351" t="s">
        <v>30</v>
      </c>
      <c r="J351" t="s">
        <v>1149</v>
      </c>
      <c r="K351" t="s">
        <v>1150</v>
      </c>
      <c r="L351" t="s">
        <v>105</v>
      </c>
      <c r="M351" s="4" t="s">
        <v>43</v>
      </c>
      <c r="N351" t="s">
        <v>106</v>
      </c>
      <c r="P351" s="3" t="s">
        <v>36</v>
      </c>
      <c r="Q351" s="3" t="s">
        <v>52</v>
      </c>
      <c r="R351">
        <v>1</v>
      </c>
      <c r="S351" s="5">
        <v>45854</v>
      </c>
      <c r="T351" t="s">
        <v>38</v>
      </c>
      <c r="U351">
        <f t="shared" ca="1" si="30"/>
        <v>29</v>
      </c>
      <c r="V351" s="6">
        <f t="shared" ca="1" si="31"/>
        <v>46031</v>
      </c>
      <c r="W351" s="6">
        <f t="shared" ca="1" si="32"/>
        <v>46037</v>
      </c>
      <c r="X351" t="str">
        <f t="shared" ca="1" si="33"/>
        <v>Jan 9 to Jan 15</v>
      </c>
      <c r="Y351" t="str">
        <f t="shared" ca="1" si="34"/>
        <v>⚪ SCHEDULED</v>
      </c>
      <c r="Z351" t="str">
        <f t="shared" ca="1" si="35"/>
        <v>No action needed yet</v>
      </c>
    </row>
    <row r="352" spans="1:26">
      <c r="A352">
        <v>1011573779</v>
      </c>
      <c r="B352" s="3" t="s">
        <v>1151</v>
      </c>
      <c r="C352">
        <v>62</v>
      </c>
      <c r="D352" t="s">
        <v>47</v>
      </c>
      <c r="E352" t="s">
        <v>29</v>
      </c>
      <c r="F352" t="s">
        <v>28</v>
      </c>
      <c r="G352" t="s">
        <v>29</v>
      </c>
      <c r="H352">
        <v>5</v>
      </c>
      <c r="I352" t="s">
        <v>30</v>
      </c>
      <c r="J352" t="s">
        <v>1152</v>
      </c>
      <c r="K352" t="s">
        <v>1153</v>
      </c>
      <c r="L352" t="s">
        <v>234</v>
      </c>
      <c r="M352" s="4" t="s">
        <v>94</v>
      </c>
      <c r="N352" t="s">
        <v>51</v>
      </c>
      <c r="P352" s="3" t="s">
        <v>36</v>
      </c>
      <c r="Q352" s="3" t="s">
        <v>123</v>
      </c>
      <c r="R352">
        <v>2</v>
      </c>
      <c r="S352" s="5">
        <v>45951</v>
      </c>
      <c r="T352" t="s">
        <v>38</v>
      </c>
      <c r="U352">
        <f t="shared" ca="1" si="30"/>
        <v>6</v>
      </c>
      <c r="V352" s="6">
        <f t="shared" ca="1" si="31"/>
        <v>46008</v>
      </c>
      <c r="W352" s="6">
        <f t="shared" ca="1" si="32"/>
        <v>46014</v>
      </c>
      <c r="X352" t="str">
        <f t="shared" ca="1" si="33"/>
        <v>Dec 17 to Dec 23</v>
      </c>
      <c r="Y352" t="str">
        <f t="shared" ca="1" si="34"/>
        <v>🟢 THIS WEEK</v>
      </c>
      <c r="Z352" t="str">
        <f t="shared" ca="1" si="35"/>
        <v>Confirm appointment</v>
      </c>
    </row>
    <row r="353" spans="1:26">
      <c r="A353">
        <v>1011659735</v>
      </c>
      <c r="B353" s="3" t="s">
        <v>1154</v>
      </c>
      <c r="C353">
        <v>65</v>
      </c>
      <c r="D353" t="s">
        <v>27</v>
      </c>
      <c r="E353" t="s">
        <v>29</v>
      </c>
      <c r="F353" t="s">
        <v>29</v>
      </c>
      <c r="G353" t="s">
        <v>28</v>
      </c>
      <c r="H353">
        <v>6</v>
      </c>
      <c r="I353" t="s">
        <v>30</v>
      </c>
      <c r="J353" t="s">
        <v>1155</v>
      </c>
      <c r="K353" t="s">
        <v>1156</v>
      </c>
      <c r="L353" t="s">
        <v>170</v>
      </c>
      <c r="M353" s="4" t="s">
        <v>34</v>
      </c>
      <c r="N353" t="s">
        <v>106</v>
      </c>
      <c r="P353" s="3" t="s">
        <v>36</v>
      </c>
      <c r="Q353" s="3" t="s">
        <v>45</v>
      </c>
      <c r="R353">
        <v>1</v>
      </c>
      <c r="S353" s="5">
        <v>45825</v>
      </c>
      <c r="T353" t="s">
        <v>38</v>
      </c>
      <c r="U353">
        <f t="shared" ca="1" si="30"/>
        <v>0</v>
      </c>
      <c r="V353" s="6">
        <f t="shared" ca="1" si="31"/>
        <v>46002</v>
      </c>
      <c r="W353" s="6">
        <f t="shared" ca="1" si="32"/>
        <v>46008</v>
      </c>
      <c r="X353" t="str">
        <f t="shared" ca="1" si="33"/>
        <v>Dec 11 to Dec 17</v>
      </c>
      <c r="Y353" t="str">
        <f t="shared" ca="1" si="34"/>
        <v>🟡 IMMINENT (within 3 days)</v>
      </c>
      <c r="Z353" t="str">
        <f t="shared" ca="1" si="35"/>
        <v>Prepare medications TODAY</v>
      </c>
    </row>
    <row r="354" spans="1:26">
      <c r="A354">
        <v>1011685011</v>
      </c>
      <c r="B354" s="3" t="s">
        <v>1157</v>
      </c>
      <c r="C354">
        <v>54</v>
      </c>
      <c r="D354" t="s">
        <v>27</v>
      </c>
      <c r="E354" t="s">
        <v>29</v>
      </c>
      <c r="F354" t="s">
        <v>29</v>
      </c>
      <c r="G354" t="s">
        <v>28</v>
      </c>
      <c r="H354">
        <v>5</v>
      </c>
      <c r="I354" t="s">
        <v>30</v>
      </c>
      <c r="J354" t="s">
        <v>109</v>
      </c>
      <c r="K354" t="s">
        <v>1158</v>
      </c>
      <c r="M354" s="4" t="s">
        <v>34</v>
      </c>
      <c r="N354" t="s">
        <v>144</v>
      </c>
      <c r="P354" s="3" t="s">
        <v>36</v>
      </c>
      <c r="Q354" s="3" t="s">
        <v>52</v>
      </c>
      <c r="R354">
        <v>1</v>
      </c>
      <c r="S354" s="5">
        <v>45764</v>
      </c>
      <c r="T354" t="s">
        <v>38</v>
      </c>
      <c r="U354">
        <f t="shared" ca="1" si="30"/>
        <v>29</v>
      </c>
      <c r="V354" s="6">
        <f t="shared" ca="1" si="31"/>
        <v>46031</v>
      </c>
      <c r="W354" s="6">
        <f t="shared" ca="1" si="32"/>
        <v>46037</v>
      </c>
      <c r="X354" t="str">
        <f t="shared" ca="1" si="33"/>
        <v>Jan 9 to Jan 15</v>
      </c>
      <c r="Y354" t="str">
        <f t="shared" ca="1" si="34"/>
        <v>⚪ SCHEDULED</v>
      </c>
      <c r="Z354" t="str">
        <f t="shared" ca="1" si="35"/>
        <v>No action needed yet</v>
      </c>
    </row>
    <row r="355" spans="1:26">
      <c r="A355">
        <v>1011701719</v>
      </c>
      <c r="B355" s="3" t="s">
        <v>1159</v>
      </c>
      <c r="C355">
        <v>76</v>
      </c>
      <c r="D355" t="s">
        <v>47</v>
      </c>
      <c r="E355" t="s">
        <v>28</v>
      </c>
      <c r="F355" t="s">
        <v>29</v>
      </c>
      <c r="G355" t="s">
        <v>28</v>
      </c>
      <c r="H355">
        <v>5</v>
      </c>
      <c r="I355" t="s">
        <v>30</v>
      </c>
      <c r="J355" t="s">
        <v>1160</v>
      </c>
      <c r="K355" t="s">
        <v>1161</v>
      </c>
      <c r="L355" t="s">
        <v>69</v>
      </c>
      <c r="M355" s="4" t="s">
        <v>34</v>
      </c>
      <c r="N355" t="s">
        <v>70</v>
      </c>
      <c r="P355" s="3" t="s">
        <v>36</v>
      </c>
      <c r="Q355" s="3" t="s">
        <v>84</v>
      </c>
      <c r="R355">
        <v>2</v>
      </c>
      <c r="S355" s="5">
        <v>45632</v>
      </c>
      <c r="T355" t="s">
        <v>38</v>
      </c>
      <c r="U355">
        <f t="shared" ca="1" si="30"/>
        <v>17</v>
      </c>
      <c r="V355" s="6">
        <f t="shared" ca="1" si="31"/>
        <v>46019</v>
      </c>
      <c r="W355" s="6">
        <f t="shared" ca="1" si="32"/>
        <v>46025</v>
      </c>
      <c r="X355" t="str">
        <f t="shared" ca="1" si="33"/>
        <v>Dec 28 to Jan 3</v>
      </c>
      <c r="Y355" t="str">
        <f t="shared" ca="1" si="34"/>
        <v>⚪ SCHEDULED</v>
      </c>
      <c r="Z355" t="str">
        <f t="shared" ca="1" si="35"/>
        <v>No action needed yet</v>
      </c>
    </row>
    <row r="356" spans="1:26">
      <c r="A356">
        <v>1011717707</v>
      </c>
      <c r="B356" s="3" t="s">
        <v>1162</v>
      </c>
      <c r="C356">
        <v>65</v>
      </c>
      <c r="D356" t="s">
        <v>27</v>
      </c>
      <c r="E356" t="s">
        <v>28</v>
      </c>
      <c r="F356" t="s">
        <v>28</v>
      </c>
      <c r="G356" t="s">
        <v>28</v>
      </c>
      <c r="H356">
        <v>3</v>
      </c>
      <c r="I356" t="s">
        <v>66</v>
      </c>
      <c r="J356" t="s">
        <v>1163</v>
      </c>
      <c r="K356" t="s">
        <v>1164</v>
      </c>
      <c r="L356" t="s">
        <v>170</v>
      </c>
      <c r="M356" s="4" t="s">
        <v>34</v>
      </c>
      <c r="N356" t="s">
        <v>59</v>
      </c>
      <c r="P356" s="3" t="s">
        <v>36</v>
      </c>
      <c r="Q356" s="3" t="s">
        <v>90</v>
      </c>
      <c r="R356">
        <v>1</v>
      </c>
      <c r="S356" s="5">
        <v>45671</v>
      </c>
      <c r="T356" t="s">
        <v>38</v>
      </c>
      <c r="U356">
        <f t="shared" ca="1" si="30"/>
        <v>26</v>
      </c>
      <c r="V356" s="6">
        <f t="shared" ca="1" si="31"/>
        <v>46028</v>
      </c>
      <c r="W356" s="6">
        <f t="shared" ca="1" si="32"/>
        <v>46034</v>
      </c>
      <c r="X356" t="str">
        <f t="shared" ca="1" si="33"/>
        <v>Jan 6 to Jan 12</v>
      </c>
      <c r="Y356" t="str">
        <f t="shared" ca="1" si="34"/>
        <v>⚪ SCHEDULED</v>
      </c>
      <c r="Z356" t="str">
        <f t="shared" ca="1" si="35"/>
        <v>No action needed yet</v>
      </c>
    </row>
    <row r="357" spans="1:26">
      <c r="A357">
        <v>1011787254</v>
      </c>
      <c r="B357" s="3" t="s">
        <v>1165</v>
      </c>
      <c r="C357">
        <v>66</v>
      </c>
      <c r="D357" t="s">
        <v>47</v>
      </c>
      <c r="E357" t="s">
        <v>29</v>
      </c>
      <c r="F357" t="s">
        <v>29</v>
      </c>
      <c r="G357" t="s">
        <v>28</v>
      </c>
      <c r="H357">
        <v>6</v>
      </c>
      <c r="I357" t="s">
        <v>30</v>
      </c>
      <c r="J357" t="s">
        <v>1166</v>
      </c>
      <c r="K357" t="s">
        <v>1167</v>
      </c>
      <c r="L357" t="s">
        <v>968</v>
      </c>
      <c r="M357" s="4" t="s">
        <v>34</v>
      </c>
      <c r="N357" t="s">
        <v>106</v>
      </c>
      <c r="P357" s="3" t="s">
        <v>36</v>
      </c>
      <c r="Q357" s="3" t="s">
        <v>107</v>
      </c>
      <c r="R357">
        <v>1</v>
      </c>
      <c r="S357" s="5">
        <v>45549</v>
      </c>
      <c r="T357" t="s">
        <v>38</v>
      </c>
      <c r="U357">
        <f t="shared" ca="1" si="30"/>
        <v>24</v>
      </c>
      <c r="V357" s="6">
        <f t="shared" ca="1" si="31"/>
        <v>46026</v>
      </c>
      <c r="W357" s="6">
        <f t="shared" ca="1" si="32"/>
        <v>46032</v>
      </c>
      <c r="X357" t="str">
        <f t="shared" ca="1" si="33"/>
        <v>Jan 4 to Jan 10</v>
      </c>
      <c r="Y357" t="str">
        <f t="shared" ca="1" si="34"/>
        <v>⚪ SCHEDULED</v>
      </c>
      <c r="Z357" t="str">
        <f t="shared" ca="1" si="35"/>
        <v>No action needed yet</v>
      </c>
    </row>
    <row r="358" spans="1:26">
      <c r="A358">
        <v>1011798772</v>
      </c>
      <c r="B358" s="3" t="s">
        <v>1168</v>
      </c>
      <c r="C358">
        <v>56</v>
      </c>
      <c r="D358" t="s">
        <v>47</v>
      </c>
      <c r="E358" t="s">
        <v>29</v>
      </c>
      <c r="F358" t="s">
        <v>29</v>
      </c>
      <c r="G358" t="s">
        <v>29</v>
      </c>
      <c r="H358">
        <v>6</v>
      </c>
      <c r="I358" t="s">
        <v>30</v>
      </c>
      <c r="J358" t="s">
        <v>1169</v>
      </c>
      <c r="K358" t="s">
        <v>1170</v>
      </c>
      <c r="L358" t="s">
        <v>606</v>
      </c>
      <c r="M358" s="4" t="s">
        <v>34</v>
      </c>
      <c r="N358" t="s">
        <v>76</v>
      </c>
      <c r="P358" s="3" t="s">
        <v>36</v>
      </c>
      <c r="Q358" s="3" t="s">
        <v>107</v>
      </c>
      <c r="R358">
        <v>1</v>
      </c>
      <c r="S358" s="5">
        <v>45784</v>
      </c>
      <c r="T358" t="s">
        <v>38</v>
      </c>
      <c r="U358">
        <f t="shared" ca="1" si="30"/>
        <v>19</v>
      </c>
      <c r="V358" s="6">
        <f t="shared" ca="1" si="31"/>
        <v>46021</v>
      </c>
      <c r="W358" s="6">
        <f t="shared" ca="1" si="32"/>
        <v>46027</v>
      </c>
      <c r="X358" t="str">
        <f t="shared" ca="1" si="33"/>
        <v>Dec 30 to Jan 5</v>
      </c>
      <c r="Y358" t="str">
        <f t="shared" ca="1" si="34"/>
        <v>⚪ SCHEDULED</v>
      </c>
      <c r="Z358" t="str">
        <f t="shared" ca="1" si="35"/>
        <v>No action needed yet</v>
      </c>
    </row>
    <row r="359" spans="1:26">
      <c r="A359">
        <v>1011831425</v>
      </c>
      <c r="B359" s="3" t="s">
        <v>1171</v>
      </c>
      <c r="C359">
        <v>67</v>
      </c>
      <c r="D359" t="s">
        <v>47</v>
      </c>
      <c r="E359" t="s">
        <v>29</v>
      </c>
      <c r="F359" t="s">
        <v>29</v>
      </c>
      <c r="G359" t="s">
        <v>29</v>
      </c>
      <c r="H359">
        <v>8</v>
      </c>
      <c r="I359" t="s">
        <v>30</v>
      </c>
      <c r="J359" t="s">
        <v>253</v>
      </c>
      <c r="K359" t="s">
        <v>1172</v>
      </c>
      <c r="L359" t="s">
        <v>33</v>
      </c>
      <c r="M359" s="4" t="s">
        <v>94</v>
      </c>
      <c r="N359" t="s">
        <v>44</v>
      </c>
      <c r="P359" s="3" t="s">
        <v>36</v>
      </c>
      <c r="Q359" s="3" t="s">
        <v>45</v>
      </c>
      <c r="R359">
        <v>1</v>
      </c>
      <c r="S359" s="5">
        <v>45959</v>
      </c>
      <c r="T359" t="s">
        <v>38</v>
      </c>
      <c r="U359">
        <f t="shared" ca="1" si="30"/>
        <v>14</v>
      </c>
      <c r="V359" s="6">
        <f t="shared" ca="1" si="31"/>
        <v>46016</v>
      </c>
      <c r="W359" s="6">
        <f t="shared" ca="1" si="32"/>
        <v>46022</v>
      </c>
      <c r="X359" t="str">
        <f t="shared" ca="1" si="33"/>
        <v>Dec 25 to Dec 31</v>
      </c>
      <c r="Y359" t="str">
        <f t="shared" ca="1" si="34"/>
        <v>🔵 NEXT 2 WEEKS</v>
      </c>
      <c r="Z359" t="str">
        <f t="shared" ca="1" si="35"/>
        <v>Send reminder SMS</v>
      </c>
    </row>
    <row r="360" spans="1:26">
      <c r="A360">
        <v>1011860267</v>
      </c>
      <c r="B360" s="3" t="s">
        <v>1173</v>
      </c>
      <c r="C360">
        <v>62</v>
      </c>
      <c r="D360" t="s">
        <v>47</v>
      </c>
      <c r="E360" t="s">
        <v>29</v>
      </c>
      <c r="F360" t="s">
        <v>29</v>
      </c>
      <c r="G360" t="s">
        <v>29</v>
      </c>
      <c r="H360">
        <v>7</v>
      </c>
      <c r="I360" t="s">
        <v>30</v>
      </c>
      <c r="J360" t="s">
        <v>360</v>
      </c>
      <c r="K360" t="s">
        <v>1174</v>
      </c>
      <c r="L360" t="s">
        <v>170</v>
      </c>
      <c r="M360" s="4" t="s">
        <v>43</v>
      </c>
      <c r="N360" t="s">
        <v>171</v>
      </c>
      <c r="P360" s="3" t="s">
        <v>36</v>
      </c>
      <c r="Q360" s="3" t="s">
        <v>107</v>
      </c>
      <c r="R360">
        <v>1</v>
      </c>
      <c r="S360" s="5">
        <v>45885</v>
      </c>
      <c r="T360" t="s">
        <v>38</v>
      </c>
      <c r="U360">
        <f t="shared" ca="1" si="30"/>
        <v>0</v>
      </c>
      <c r="V360" s="6">
        <f t="shared" ca="1" si="31"/>
        <v>46002</v>
      </c>
      <c r="W360" s="6">
        <f t="shared" ca="1" si="32"/>
        <v>46008</v>
      </c>
      <c r="X360" t="str">
        <f t="shared" ca="1" si="33"/>
        <v>Dec 11 to Dec 17</v>
      </c>
      <c r="Y360" t="str">
        <f t="shared" ca="1" si="34"/>
        <v>🟡 IMMINENT (within 3 days)</v>
      </c>
      <c r="Z360" t="str">
        <f t="shared" ca="1" si="35"/>
        <v>Prepare medications TODAY</v>
      </c>
    </row>
    <row r="361" spans="1:26">
      <c r="A361">
        <v>1011867304</v>
      </c>
      <c r="B361" s="3" t="s">
        <v>1175</v>
      </c>
      <c r="C361">
        <v>49</v>
      </c>
      <c r="D361" t="s">
        <v>27</v>
      </c>
      <c r="E361" t="s">
        <v>28</v>
      </c>
      <c r="F361" t="s">
        <v>29</v>
      </c>
      <c r="G361" t="s">
        <v>28</v>
      </c>
      <c r="H361">
        <v>3</v>
      </c>
      <c r="I361" t="s">
        <v>66</v>
      </c>
      <c r="J361" t="s">
        <v>526</v>
      </c>
      <c r="K361" t="s">
        <v>1176</v>
      </c>
      <c r="M361" s="4" t="s">
        <v>94</v>
      </c>
      <c r="N361" t="s">
        <v>64</v>
      </c>
      <c r="P361" s="3" t="s">
        <v>36</v>
      </c>
      <c r="Q361" s="3" t="s">
        <v>45</v>
      </c>
      <c r="R361">
        <v>1</v>
      </c>
      <c r="S361" s="5">
        <v>45948</v>
      </c>
      <c r="T361" t="s">
        <v>38</v>
      </c>
      <c r="U361">
        <f t="shared" ca="1" si="30"/>
        <v>3</v>
      </c>
      <c r="V361" s="6">
        <f t="shared" ca="1" si="31"/>
        <v>46005</v>
      </c>
      <c r="W361" s="6">
        <f t="shared" ca="1" si="32"/>
        <v>46011</v>
      </c>
      <c r="X361" t="str">
        <f t="shared" ca="1" si="33"/>
        <v>Dec 14 to Dec 20</v>
      </c>
      <c r="Y361" t="str">
        <f t="shared" ca="1" si="34"/>
        <v>🟡 IMMINENT (within 3 days)</v>
      </c>
      <c r="Z361" t="str">
        <f t="shared" ca="1" si="35"/>
        <v>Prepare medications TODAY</v>
      </c>
    </row>
    <row r="362" spans="1:26">
      <c r="A362">
        <v>1011990700</v>
      </c>
      <c r="B362" s="3" t="s">
        <v>1177</v>
      </c>
      <c r="C362">
        <v>52</v>
      </c>
      <c r="D362" t="s">
        <v>27</v>
      </c>
      <c r="E362" t="s">
        <v>29</v>
      </c>
      <c r="F362" t="s">
        <v>29</v>
      </c>
      <c r="G362" t="s">
        <v>29</v>
      </c>
      <c r="H362">
        <v>5</v>
      </c>
      <c r="I362" t="s">
        <v>30</v>
      </c>
      <c r="J362" t="s">
        <v>1178</v>
      </c>
      <c r="K362" t="s">
        <v>1179</v>
      </c>
      <c r="L362" t="s">
        <v>33</v>
      </c>
      <c r="M362" s="4" t="s">
        <v>34</v>
      </c>
      <c r="N362" t="s">
        <v>44</v>
      </c>
      <c r="P362" s="3" t="s">
        <v>36</v>
      </c>
      <c r="Q362" s="3" t="s">
        <v>84</v>
      </c>
      <c r="R362">
        <v>1</v>
      </c>
      <c r="S362" s="5">
        <v>45688</v>
      </c>
      <c r="T362" t="s">
        <v>38</v>
      </c>
      <c r="U362">
        <f t="shared" ca="1" si="30"/>
        <v>13</v>
      </c>
      <c r="V362" s="6">
        <f t="shared" ca="1" si="31"/>
        <v>46015</v>
      </c>
      <c r="W362" s="6">
        <f t="shared" ca="1" si="32"/>
        <v>46021</v>
      </c>
      <c r="X362" t="str">
        <f t="shared" ca="1" si="33"/>
        <v>Dec 24 to Dec 30</v>
      </c>
      <c r="Y362" t="str">
        <f t="shared" ca="1" si="34"/>
        <v>🔵 NEXT 2 WEEKS</v>
      </c>
      <c r="Z362" t="str">
        <f t="shared" ca="1" si="35"/>
        <v>Send reminder SMS</v>
      </c>
    </row>
    <row r="363" spans="1:26">
      <c r="A363">
        <v>1011997325</v>
      </c>
      <c r="B363" s="3" t="s">
        <v>1180</v>
      </c>
      <c r="C363">
        <v>65</v>
      </c>
      <c r="D363" t="s">
        <v>47</v>
      </c>
      <c r="E363" t="s">
        <v>29</v>
      </c>
      <c r="F363" t="s">
        <v>28</v>
      </c>
      <c r="G363" t="s">
        <v>28</v>
      </c>
      <c r="H363">
        <v>4</v>
      </c>
      <c r="I363" t="s">
        <v>66</v>
      </c>
      <c r="J363" t="s">
        <v>388</v>
      </c>
      <c r="K363" t="s">
        <v>1181</v>
      </c>
      <c r="L363" t="s">
        <v>33</v>
      </c>
      <c r="M363" s="4" t="s">
        <v>43</v>
      </c>
      <c r="N363" t="s">
        <v>148</v>
      </c>
      <c r="P363" s="3" t="s">
        <v>36</v>
      </c>
      <c r="Q363" s="3" t="s">
        <v>230</v>
      </c>
      <c r="R363">
        <v>2</v>
      </c>
      <c r="S363" s="5">
        <v>45924</v>
      </c>
      <c r="T363" t="s">
        <v>38</v>
      </c>
      <c r="U363">
        <f t="shared" ca="1" si="30"/>
        <v>9</v>
      </c>
      <c r="V363" s="6">
        <f t="shared" ca="1" si="31"/>
        <v>46011</v>
      </c>
      <c r="W363" s="6">
        <f t="shared" ca="1" si="32"/>
        <v>46017</v>
      </c>
      <c r="X363" t="str">
        <f t="shared" ca="1" si="33"/>
        <v>Dec 20 to Dec 26</v>
      </c>
      <c r="Y363" t="str">
        <f t="shared" ca="1" si="34"/>
        <v>🔵 NEXT 2 WEEKS</v>
      </c>
      <c r="Z363" t="str">
        <f t="shared" ca="1" si="35"/>
        <v>Send reminder SMS</v>
      </c>
    </row>
    <row r="364" spans="1:26">
      <c r="A364">
        <v>1011997333</v>
      </c>
      <c r="B364" s="3" t="s">
        <v>1182</v>
      </c>
      <c r="C364">
        <v>62</v>
      </c>
      <c r="D364" t="s">
        <v>27</v>
      </c>
      <c r="E364" t="s">
        <v>28</v>
      </c>
      <c r="F364" t="s">
        <v>29</v>
      </c>
      <c r="G364" t="s">
        <v>29</v>
      </c>
      <c r="H364">
        <v>6</v>
      </c>
      <c r="I364" t="s">
        <v>30</v>
      </c>
      <c r="J364" t="s">
        <v>146</v>
      </c>
      <c r="K364" t="s">
        <v>1183</v>
      </c>
      <c r="M364" s="4" t="s">
        <v>94</v>
      </c>
      <c r="N364" t="s">
        <v>35</v>
      </c>
      <c r="P364" s="3" t="s">
        <v>36</v>
      </c>
      <c r="Q364" s="3" t="s">
        <v>230</v>
      </c>
      <c r="R364">
        <v>2</v>
      </c>
      <c r="S364" s="5">
        <v>45955</v>
      </c>
      <c r="T364" t="s">
        <v>38</v>
      </c>
      <c r="U364">
        <f t="shared" ca="1" si="30"/>
        <v>10</v>
      </c>
      <c r="V364" s="6">
        <f t="shared" ca="1" si="31"/>
        <v>46012</v>
      </c>
      <c r="W364" s="6">
        <f t="shared" ca="1" si="32"/>
        <v>46018</v>
      </c>
      <c r="X364" t="str">
        <f t="shared" ca="1" si="33"/>
        <v>Dec 21 to Dec 27</v>
      </c>
      <c r="Y364" t="str">
        <f t="shared" ca="1" si="34"/>
        <v>🔵 NEXT 2 WEEKS</v>
      </c>
      <c r="Z364" t="str">
        <f t="shared" ca="1" si="35"/>
        <v>Send reminder SMS</v>
      </c>
    </row>
    <row r="365" spans="1:26">
      <c r="A365">
        <v>1012072763</v>
      </c>
      <c r="B365" s="3" t="s">
        <v>1184</v>
      </c>
      <c r="C365">
        <v>66</v>
      </c>
      <c r="D365" t="s">
        <v>47</v>
      </c>
      <c r="E365" t="s">
        <v>29</v>
      </c>
      <c r="F365" t="s">
        <v>29</v>
      </c>
      <c r="G365" t="s">
        <v>29</v>
      </c>
      <c r="H365">
        <v>7</v>
      </c>
      <c r="I365" t="s">
        <v>30</v>
      </c>
      <c r="J365" t="s">
        <v>1185</v>
      </c>
      <c r="K365" t="s">
        <v>1186</v>
      </c>
      <c r="L365" t="s">
        <v>355</v>
      </c>
      <c r="M365" s="4" t="s">
        <v>43</v>
      </c>
      <c r="N365" t="s">
        <v>76</v>
      </c>
      <c r="P365" s="3" t="s">
        <v>36</v>
      </c>
      <c r="Q365" s="3" t="s">
        <v>107</v>
      </c>
      <c r="R365">
        <v>1</v>
      </c>
      <c r="S365" s="5">
        <v>45923</v>
      </c>
      <c r="T365" t="s">
        <v>38</v>
      </c>
      <c r="U365">
        <f t="shared" ca="1" si="30"/>
        <v>8</v>
      </c>
      <c r="V365" s="6">
        <f t="shared" ca="1" si="31"/>
        <v>46010</v>
      </c>
      <c r="W365" s="6">
        <f t="shared" ca="1" si="32"/>
        <v>46016</v>
      </c>
      <c r="X365" t="str">
        <f t="shared" ca="1" si="33"/>
        <v>Dec 19 to Dec 25</v>
      </c>
      <c r="Y365" t="str">
        <f t="shared" ca="1" si="34"/>
        <v>🔵 NEXT 2 WEEKS</v>
      </c>
      <c r="Z365" t="str">
        <f t="shared" ca="1" si="35"/>
        <v>Send reminder SMS</v>
      </c>
    </row>
    <row r="366" spans="1:26">
      <c r="A366">
        <v>1012072771</v>
      </c>
      <c r="B366" s="3" t="s">
        <v>1187</v>
      </c>
      <c r="C366">
        <v>59</v>
      </c>
      <c r="D366" t="s">
        <v>27</v>
      </c>
      <c r="E366" t="s">
        <v>29</v>
      </c>
      <c r="F366" t="s">
        <v>29</v>
      </c>
      <c r="G366" t="s">
        <v>29</v>
      </c>
      <c r="H366">
        <v>6</v>
      </c>
      <c r="I366" t="s">
        <v>30</v>
      </c>
      <c r="J366" t="s">
        <v>1188</v>
      </c>
      <c r="K366" t="s">
        <v>1189</v>
      </c>
      <c r="M366" s="4" t="s">
        <v>43</v>
      </c>
      <c r="N366" t="s">
        <v>44</v>
      </c>
      <c r="P366" s="3" t="s">
        <v>36</v>
      </c>
      <c r="Q366" s="3" t="s">
        <v>107</v>
      </c>
      <c r="R366">
        <v>2</v>
      </c>
      <c r="S366" s="5">
        <v>45927</v>
      </c>
      <c r="T366" t="s">
        <v>38</v>
      </c>
      <c r="U366">
        <f t="shared" ca="1" si="30"/>
        <v>12</v>
      </c>
      <c r="V366" s="6">
        <f t="shared" ca="1" si="31"/>
        <v>46014</v>
      </c>
      <c r="W366" s="6">
        <f t="shared" ca="1" si="32"/>
        <v>46020</v>
      </c>
      <c r="X366" t="str">
        <f t="shared" ca="1" si="33"/>
        <v>Dec 23 to Dec 29</v>
      </c>
      <c r="Y366" t="str">
        <f t="shared" ca="1" si="34"/>
        <v>🔵 NEXT 2 WEEKS</v>
      </c>
      <c r="Z366" t="str">
        <f t="shared" ca="1" si="35"/>
        <v>Send reminder SMS</v>
      </c>
    </row>
    <row r="367" spans="1:26">
      <c r="A367">
        <v>1012153308</v>
      </c>
      <c r="B367" s="3" t="s">
        <v>1190</v>
      </c>
      <c r="C367">
        <v>65</v>
      </c>
      <c r="D367" t="s">
        <v>27</v>
      </c>
      <c r="E367" t="s">
        <v>29</v>
      </c>
      <c r="F367" t="s">
        <v>29</v>
      </c>
      <c r="G367" t="s">
        <v>28</v>
      </c>
      <c r="H367">
        <v>5</v>
      </c>
      <c r="I367" t="s">
        <v>30</v>
      </c>
      <c r="J367" t="s">
        <v>1191</v>
      </c>
      <c r="K367" t="s">
        <v>1192</v>
      </c>
      <c r="L367" t="s">
        <v>962</v>
      </c>
      <c r="M367" s="4" t="s">
        <v>34</v>
      </c>
      <c r="N367" t="s">
        <v>119</v>
      </c>
      <c r="P367" s="3" t="s">
        <v>36</v>
      </c>
      <c r="Q367" s="3" t="s">
        <v>45</v>
      </c>
      <c r="R367">
        <v>2</v>
      </c>
      <c r="S367" s="5">
        <v>45673</v>
      </c>
      <c r="T367" t="s">
        <v>38</v>
      </c>
      <c r="U367">
        <f t="shared" ca="1" si="30"/>
        <v>28</v>
      </c>
      <c r="V367" s="6">
        <f t="shared" ca="1" si="31"/>
        <v>46030</v>
      </c>
      <c r="W367" s="6">
        <f t="shared" ca="1" si="32"/>
        <v>46036</v>
      </c>
      <c r="X367" t="str">
        <f t="shared" ca="1" si="33"/>
        <v>Jan 8 to Jan 14</v>
      </c>
      <c r="Y367" t="str">
        <f t="shared" ca="1" si="34"/>
        <v>⚪ SCHEDULED</v>
      </c>
      <c r="Z367" t="str">
        <f t="shared" ca="1" si="35"/>
        <v>No action needed yet</v>
      </c>
    </row>
    <row r="368" spans="1:26">
      <c r="A368">
        <v>1012190425</v>
      </c>
      <c r="B368" s="3" t="s">
        <v>1193</v>
      </c>
      <c r="C368">
        <v>66</v>
      </c>
      <c r="D368" t="s">
        <v>27</v>
      </c>
      <c r="E368" t="s">
        <v>29</v>
      </c>
      <c r="F368" t="s">
        <v>29</v>
      </c>
      <c r="G368" t="s">
        <v>28</v>
      </c>
      <c r="H368">
        <v>6</v>
      </c>
      <c r="I368" t="s">
        <v>30</v>
      </c>
      <c r="J368" t="s">
        <v>1194</v>
      </c>
      <c r="K368" t="s">
        <v>1195</v>
      </c>
      <c r="L368" t="s">
        <v>428</v>
      </c>
      <c r="M368" s="4" t="s">
        <v>43</v>
      </c>
      <c r="N368" t="s">
        <v>131</v>
      </c>
      <c r="P368" s="3" t="s">
        <v>36</v>
      </c>
      <c r="Q368" s="3" t="s">
        <v>313</v>
      </c>
      <c r="R368">
        <v>2</v>
      </c>
      <c r="S368" s="5">
        <v>45883</v>
      </c>
      <c r="T368" t="s">
        <v>38</v>
      </c>
      <c r="U368">
        <f t="shared" ca="1" si="30"/>
        <v>28</v>
      </c>
      <c r="V368" s="6">
        <f t="shared" ca="1" si="31"/>
        <v>46030</v>
      </c>
      <c r="W368" s="6">
        <f t="shared" ca="1" si="32"/>
        <v>46036</v>
      </c>
      <c r="X368" t="str">
        <f t="shared" ca="1" si="33"/>
        <v>Jan 8 to Jan 14</v>
      </c>
      <c r="Y368" t="str">
        <f t="shared" ca="1" si="34"/>
        <v>⚪ SCHEDULED</v>
      </c>
      <c r="Z368" t="str">
        <f t="shared" ca="1" si="35"/>
        <v>No action needed yet</v>
      </c>
    </row>
    <row r="369" spans="1:26">
      <c r="A369">
        <v>1012213011</v>
      </c>
      <c r="B369" s="3" t="s">
        <v>1196</v>
      </c>
      <c r="C369">
        <v>71</v>
      </c>
      <c r="D369" t="s">
        <v>47</v>
      </c>
      <c r="E369" t="s">
        <v>29</v>
      </c>
      <c r="F369" t="s">
        <v>28</v>
      </c>
      <c r="G369" t="s">
        <v>28</v>
      </c>
      <c r="H369">
        <v>5</v>
      </c>
      <c r="I369" t="s">
        <v>30</v>
      </c>
      <c r="J369" t="s">
        <v>1197</v>
      </c>
      <c r="K369" t="s">
        <v>1198</v>
      </c>
      <c r="L369" t="s">
        <v>170</v>
      </c>
      <c r="M369" s="4" t="s">
        <v>34</v>
      </c>
      <c r="N369" t="s">
        <v>162</v>
      </c>
      <c r="P369" s="3" t="s">
        <v>36</v>
      </c>
      <c r="Q369" s="3" t="s">
        <v>365</v>
      </c>
      <c r="R369">
        <v>1</v>
      </c>
      <c r="S369" s="5">
        <v>45584</v>
      </c>
      <c r="T369" t="s">
        <v>38</v>
      </c>
      <c r="U369">
        <f t="shared" ca="1" si="30"/>
        <v>29</v>
      </c>
      <c r="V369" s="6">
        <f t="shared" ca="1" si="31"/>
        <v>46031</v>
      </c>
      <c r="W369" s="6">
        <f t="shared" ca="1" si="32"/>
        <v>46037</v>
      </c>
      <c r="X369" t="str">
        <f t="shared" ca="1" si="33"/>
        <v>Jan 9 to Jan 15</v>
      </c>
      <c r="Y369" t="str">
        <f t="shared" ca="1" si="34"/>
        <v>⚪ SCHEDULED</v>
      </c>
      <c r="Z369" t="str">
        <f t="shared" ca="1" si="35"/>
        <v>No action needed yet</v>
      </c>
    </row>
    <row r="370" spans="1:26">
      <c r="A370">
        <v>1012228084</v>
      </c>
      <c r="B370" s="3" t="s">
        <v>1199</v>
      </c>
      <c r="C370">
        <v>63</v>
      </c>
      <c r="D370" t="s">
        <v>47</v>
      </c>
      <c r="E370" t="s">
        <v>29</v>
      </c>
      <c r="F370" t="s">
        <v>29</v>
      </c>
      <c r="G370" t="s">
        <v>28</v>
      </c>
      <c r="H370">
        <v>5</v>
      </c>
      <c r="I370" t="s">
        <v>30</v>
      </c>
      <c r="J370" t="s">
        <v>1200</v>
      </c>
      <c r="K370" t="s">
        <v>1201</v>
      </c>
      <c r="L370" t="s">
        <v>208</v>
      </c>
      <c r="M370" s="4" t="s">
        <v>34</v>
      </c>
      <c r="N370" t="s">
        <v>106</v>
      </c>
      <c r="P370" s="3" t="s">
        <v>36</v>
      </c>
      <c r="Q370" s="3" t="s">
        <v>107</v>
      </c>
      <c r="R370">
        <v>1</v>
      </c>
      <c r="S370" s="5">
        <v>45387</v>
      </c>
      <c r="T370" t="s">
        <v>38</v>
      </c>
      <c r="U370">
        <f t="shared" ca="1" si="30"/>
        <v>12</v>
      </c>
      <c r="V370" s="6">
        <f t="shared" ca="1" si="31"/>
        <v>46014</v>
      </c>
      <c r="W370" s="6">
        <f t="shared" ca="1" si="32"/>
        <v>46020</v>
      </c>
      <c r="X370" t="str">
        <f t="shared" ca="1" si="33"/>
        <v>Dec 23 to Dec 29</v>
      </c>
      <c r="Y370" t="str">
        <f t="shared" ca="1" si="34"/>
        <v>🔵 NEXT 2 WEEKS</v>
      </c>
      <c r="Z370" t="str">
        <f t="shared" ca="1" si="35"/>
        <v>Send reminder SMS</v>
      </c>
    </row>
    <row r="371" spans="1:26">
      <c r="A371">
        <v>1012269047</v>
      </c>
      <c r="B371" s="3" t="s">
        <v>1202</v>
      </c>
      <c r="C371">
        <v>57</v>
      </c>
      <c r="D371" t="s">
        <v>47</v>
      </c>
      <c r="E371" t="s">
        <v>28</v>
      </c>
      <c r="F371" t="s">
        <v>28</v>
      </c>
      <c r="G371" t="s">
        <v>29</v>
      </c>
      <c r="H371">
        <v>3</v>
      </c>
      <c r="I371" t="s">
        <v>66</v>
      </c>
      <c r="J371" t="s">
        <v>1203</v>
      </c>
      <c r="K371" t="s">
        <v>1204</v>
      </c>
      <c r="M371" s="4" t="s">
        <v>94</v>
      </c>
      <c r="N371" t="s">
        <v>794</v>
      </c>
      <c r="P371" s="3" t="s">
        <v>36</v>
      </c>
      <c r="Q371" s="3" t="s">
        <v>107</v>
      </c>
      <c r="R371">
        <v>1</v>
      </c>
      <c r="S371" s="5">
        <v>45944</v>
      </c>
      <c r="T371" t="s">
        <v>38</v>
      </c>
      <c r="U371">
        <f t="shared" ca="1" si="30"/>
        <v>29</v>
      </c>
      <c r="V371" s="6">
        <f t="shared" ca="1" si="31"/>
        <v>46031</v>
      </c>
      <c r="W371" s="6">
        <f t="shared" ca="1" si="32"/>
        <v>46037</v>
      </c>
      <c r="X371" t="str">
        <f t="shared" ca="1" si="33"/>
        <v>Jan 9 to Jan 15</v>
      </c>
      <c r="Y371" t="str">
        <f t="shared" ca="1" si="34"/>
        <v>⚪ SCHEDULED</v>
      </c>
      <c r="Z371" t="str">
        <f t="shared" ca="1" si="35"/>
        <v>No action needed yet</v>
      </c>
    </row>
    <row r="372" spans="1:26">
      <c r="A372">
        <v>1012274716</v>
      </c>
      <c r="B372" s="3" t="s">
        <v>1205</v>
      </c>
      <c r="C372">
        <v>59</v>
      </c>
      <c r="D372" t="s">
        <v>47</v>
      </c>
      <c r="E372" t="s">
        <v>29</v>
      </c>
      <c r="F372" t="s">
        <v>29</v>
      </c>
      <c r="G372" t="s">
        <v>29</v>
      </c>
      <c r="H372">
        <v>5</v>
      </c>
      <c r="I372" t="s">
        <v>30</v>
      </c>
      <c r="J372" t="s">
        <v>1206</v>
      </c>
      <c r="K372" t="s">
        <v>1207</v>
      </c>
      <c r="L372" t="s">
        <v>75</v>
      </c>
      <c r="M372" s="4" t="s">
        <v>34</v>
      </c>
      <c r="N372" t="s">
        <v>76</v>
      </c>
      <c r="P372" s="3" t="s">
        <v>36</v>
      </c>
      <c r="Q372" s="3" t="s">
        <v>1208</v>
      </c>
      <c r="R372">
        <v>1</v>
      </c>
      <c r="S372" s="5">
        <v>45742</v>
      </c>
      <c r="T372" t="s">
        <v>38</v>
      </c>
      <c r="U372">
        <f t="shared" ca="1" si="30"/>
        <v>7</v>
      </c>
      <c r="V372" s="6">
        <f t="shared" ca="1" si="31"/>
        <v>46009</v>
      </c>
      <c r="W372" s="6">
        <f t="shared" ca="1" si="32"/>
        <v>46015</v>
      </c>
      <c r="X372" t="str">
        <f t="shared" ca="1" si="33"/>
        <v>Dec 18 to Dec 24</v>
      </c>
      <c r="Y372" t="str">
        <f t="shared" ca="1" si="34"/>
        <v>🟢 THIS WEEK</v>
      </c>
      <c r="Z372" t="str">
        <f t="shared" ca="1" si="35"/>
        <v>Confirm appointment</v>
      </c>
    </row>
    <row r="373" spans="1:26">
      <c r="A373">
        <v>1012279525</v>
      </c>
      <c r="B373" s="3" t="s">
        <v>1209</v>
      </c>
      <c r="C373">
        <v>61</v>
      </c>
      <c r="D373" t="s">
        <v>47</v>
      </c>
      <c r="E373" t="s">
        <v>28</v>
      </c>
      <c r="F373" t="s">
        <v>29</v>
      </c>
      <c r="G373" t="s">
        <v>28</v>
      </c>
      <c r="H373">
        <v>4</v>
      </c>
      <c r="I373" t="s">
        <v>66</v>
      </c>
      <c r="J373" t="s">
        <v>67</v>
      </c>
      <c r="K373" t="s">
        <v>1210</v>
      </c>
      <c r="L373" t="s">
        <v>69</v>
      </c>
      <c r="M373" s="4" t="s">
        <v>34</v>
      </c>
      <c r="N373" t="s">
        <v>70</v>
      </c>
      <c r="P373" s="3" t="s">
        <v>36</v>
      </c>
      <c r="Q373" s="3" t="s">
        <v>45</v>
      </c>
      <c r="R373">
        <v>2</v>
      </c>
      <c r="S373" s="5">
        <v>45832</v>
      </c>
      <c r="T373" t="s">
        <v>38</v>
      </c>
      <c r="U373">
        <f t="shared" ca="1" si="30"/>
        <v>7</v>
      </c>
      <c r="V373" s="6">
        <f t="shared" ca="1" si="31"/>
        <v>46009</v>
      </c>
      <c r="W373" s="6">
        <f t="shared" ca="1" si="32"/>
        <v>46015</v>
      </c>
      <c r="X373" t="str">
        <f t="shared" ca="1" si="33"/>
        <v>Dec 18 to Dec 24</v>
      </c>
      <c r="Y373" t="str">
        <f t="shared" ca="1" si="34"/>
        <v>🟢 THIS WEEK</v>
      </c>
      <c r="Z373" t="str">
        <f t="shared" ca="1" si="35"/>
        <v>Confirm appointment</v>
      </c>
    </row>
    <row r="374" spans="1:26">
      <c r="A374">
        <v>1012313571</v>
      </c>
      <c r="B374" s="3" t="s">
        <v>1211</v>
      </c>
      <c r="C374">
        <v>54</v>
      </c>
      <c r="D374" t="s">
        <v>47</v>
      </c>
      <c r="E374" t="s">
        <v>29</v>
      </c>
      <c r="F374" t="s">
        <v>28</v>
      </c>
      <c r="G374" t="s">
        <v>29</v>
      </c>
      <c r="H374">
        <v>5</v>
      </c>
      <c r="I374" t="s">
        <v>30</v>
      </c>
      <c r="J374" t="s">
        <v>1212</v>
      </c>
      <c r="K374" t="s">
        <v>1213</v>
      </c>
      <c r="L374" t="s">
        <v>33</v>
      </c>
      <c r="M374" s="4" t="s">
        <v>34</v>
      </c>
      <c r="N374" t="s">
        <v>95</v>
      </c>
      <c r="P374" s="3" t="s">
        <v>36</v>
      </c>
      <c r="Q374" s="3" t="s">
        <v>45</v>
      </c>
      <c r="R374">
        <v>2</v>
      </c>
      <c r="S374" s="5">
        <v>45727</v>
      </c>
      <c r="T374" t="s">
        <v>38</v>
      </c>
      <c r="U374">
        <f t="shared" ca="1" si="30"/>
        <v>22</v>
      </c>
      <c r="V374" s="6">
        <f t="shared" ca="1" si="31"/>
        <v>46024</v>
      </c>
      <c r="W374" s="6">
        <f t="shared" ca="1" si="32"/>
        <v>46030</v>
      </c>
      <c r="X374" t="str">
        <f t="shared" ca="1" si="33"/>
        <v>Jan 2 to Jan 8</v>
      </c>
      <c r="Y374" t="str">
        <f t="shared" ca="1" si="34"/>
        <v>⚪ SCHEDULED</v>
      </c>
      <c r="Z374" t="str">
        <f t="shared" ca="1" si="35"/>
        <v>No action needed yet</v>
      </c>
    </row>
    <row r="375" spans="1:26">
      <c r="A375">
        <v>1012317721</v>
      </c>
      <c r="B375" s="3" t="s">
        <v>1214</v>
      </c>
      <c r="C375">
        <v>56</v>
      </c>
      <c r="D375" t="s">
        <v>27</v>
      </c>
      <c r="E375" t="s">
        <v>28</v>
      </c>
      <c r="F375" t="s">
        <v>29</v>
      </c>
      <c r="G375" t="s">
        <v>29</v>
      </c>
      <c r="H375">
        <v>4</v>
      </c>
      <c r="I375" t="s">
        <v>66</v>
      </c>
      <c r="J375" t="s">
        <v>1215</v>
      </c>
      <c r="K375" t="s">
        <v>1216</v>
      </c>
      <c r="L375" t="s">
        <v>33</v>
      </c>
      <c r="M375" s="4" t="s">
        <v>34</v>
      </c>
      <c r="N375" t="s">
        <v>35</v>
      </c>
      <c r="P375" s="3" t="s">
        <v>36</v>
      </c>
      <c r="Q375" s="3" t="s">
        <v>45</v>
      </c>
      <c r="R375">
        <v>2</v>
      </c>
      <c r="S375" s="5">
        <v>45623</v>
      </c>
      <c r="T375" t="s">
        <v>38</v>
      </c>
      <c r="U375">
        <f t="shared" ca="1" si="30"/>
        <v>8</v>
      </c>
      <c r="V375" s="6">
        <f t="shared" ca="1" si="31"/>
        <v>46010</v>
      </c>
      <c r="W375" s="6">
        <f t="shared" ca="1" si="32"/>
        <v>46016</v>
      </c>
      <c r="X375" t="str">
        <f t="shared" ca="1" si="33"/>
        <v>Dec 19 to Dec 25</v>
      </c>
      <c r="Y375" t="str">
        <f t="shared" ca="1" si="34"/>
        <v>🔵 NEXT 2 WEEKS</v>
      </c>
      <c r="Z375" t="str">
        <f t="shared" ca="1" si="35"/>
        <v>Send reminder SMS</v>
      </c>
    </row>
    <row r="376" spans="1:26">
      <c r="A376">
        <v>1012374656</v>
      </c>
      <c r="B376" s="3" t="s">
        <v>1217</v>
      </c>
      <c r="C376">
        <v>65</v>
      </c>
      <c r="D376" t="s">
        <v>47</v>
      </c>
      <c r="E376" t="s">
        <v>29</v>
      </c>
      <c r="F376" t="s">
        <v>28</v>
      </c>
      <c r="G376" t="s">
        <v>28</v>
      </c>
      <c r="H376">
        <v>5</v>
      </c>
      <c r="I376" t="s">
        <v>30</v>
      </c>
      <c r="J376" t="s">
        <v>1218</v>
      </c>
      <c r="K376" t="s">
        <v>1219</v>
      </c>
      <c r="L376" t="s">
        <v>100</v>
      </c>
      <c r="M376" s="4" t="s">
        <v>34</v>
      </c>
      <c r="N376" t="s">
        <v>162</v>
      </c>
      <c r="P376" s="3" t="s">
        <v>36</v>
      </c>
      <c r="Q376" t="s">
        <v>54</v>
      </c>
      <c r="R376">
        <v>2</v>
      </c>
      <c r="S376" s="5">
        <v>45598</v>
      </c>
      <c r="T376" t="s">
        <v>38</v>
      </c>
      <c r="U376">
        <f t="shared" ca="1" si="30"/>
        <v>13</v>
      </c>
      <c r="V376" s="6">
        <f t="shared" ca="1" si="31"/>
        <v>46015</v>
      </c>
      <c r="W376" s="6">
        <f t="shared" ca="1" si="32"/>
        <v>46021</v>
      </c>
      <c r="X376" t="str">
        <f t="shared" ca="1" si="33"/>
        <v>Dec 24 to Dec 30</v>
      </c>
      <c r="Y376" t="str">
        <f t="shared" ca="1" si="34"/>
        <v>🔵 NEXT 2 WEEKS</v>
      </c>
      <c r="Z376" t="str">
        <f t="shared" ca="1" si="35"/>
        <v>Send reminder SMS</v>
      </c>
    </row>
    <row r="377" spans="1:26">
      <c r="A377">
        <v>1012401517</v>
      </c>
      <c r="B377" s="3" t="s">
        <v>1220</v>
      </c>
      <c r="C377">
        <v>56</v>
      </c>
      <c r="D377" t="s">
        <v>27</v>
      </c>
      <c r="E377" t="s">
        <v>29</v>
      </c>
      <c r="F377" t="s">
        <v>29</v>
      </c>
      <c r="G377" t="s">
        <v>28</v>
      </c>
      <c r="H377">
        <v>4</v>
      </c>
      <c r="I377" t="s">
        <v>66</v>
      </c>
      <c r="J377" t="s">
        <v>1221</v>
      </c>
      <c r="K377" t="s">
        <v>1222</v>
      </c>
      <c r="L377" t="s">
        <v>105</v>
      </c>
      <c r="M377" s="4" t="s">
        <v>34</v>
      </c>
      <c r="N377" t="s">
        <v>106</v>
      </c>
      <c r="P377" s="3" t="s">
        <v>36</v>
      </c>
      <c r="Q377" s="3" t="s">
        <v>313</v>
      </c>
      <c r="R377">
        <v>2</v>
      </c>
      <c r="S377" s="5">
        <v>45806</v>
      </c>
      <c r="T377" t="s">
        <v>38</v>
      </c>
      <c r="U377">
        <f t="shared" ca="1" si="30"/>
        <v>11</v>
      </c>
      <c r="V377" s="6">
        <f t="shared" ca="1" si="31"/>
        <v>46013</v>
      </c>
      <c r="W377" s="6">
        <f t="shared" ca="1" si="32"/>
        <v>46019</v>
      </c>
      <c r="X377" t="str">
        <f t="shared" ca="1" si="33"/>
        <v>Dec 22 to Dec 28</v>
      </c>
      <c r="Y377" t="str">
        <f t="shared" ca="1" si="34"/>
        <v>🔵 NEXT 2 WEEKS</v>
      </c>
      <c r="Z377" t="str">
        <f t="shared" ca="1" si="35"/>
        <v>Send reminder SMS</v>
      </c>
    </row>
    <row r="378" spans="1:26">
      <c r="A378">
        <v>1012425219</v>
      </c>
      <c r="B378" s="3" t="s">
        <v>1223</v>
      </c>
      <c r="C378">
        <v>59</v>
      </c>
      <c r="D378" t="s">
        <v>47</v>
      </c>
      <c r="E378" t="s">
        <v>29</v>
      </c>
      <c r="F378" t="s">
        <v>29</v>
      </c>
      <c r="G378" t="s">
        <v>28</v>
      </c>
      <c r="H378">
        <v>4</v>
      </c>
      <c r="I378" t="s">
        <v>66</v>
      </c>
      <c r="J378" t="s">
        <v>1224</v>
      </c>
      <c r="K378" t="s">
        <v>1225</v>
      </c>
      <c r="L378" t="s">
        <v>1226</v>
      </c>
      <c r="M378" s="4" t="s">
        <v>43</v>
      </c>
      <c r="N378" t="s">
        <v>106</v>
      </c>
      <c r="P378" s="3" t="s">
        <v>36</v>
      </c>
      <c r="Q378" s="3" t="s">
        <v>1227</v>
      </c>
      <c r="R378">
        <v>2</v>
      </c>
      <c r="S378" s="5">
        <v>45881</v>
      </c>
      <c r="T378" t="s">
        <v>38</v>
      </c>
      <c r="U378">
        <f t="shared" ca="1" si="30"/>
        <v>26</v>
      </c>
      <c r="V378" s="6">
        <f t="shared" ca="1" si="31"/>
        <v>46028</v>
      </c>
      <c r="W378" s="6">
        <f t="shared" ca="1" si="32"/>
        <v>46034</v>
      </c>
      <c r="X378" t="str">
        <f t="shared" ca="1" si="33"/>
        <v>Jan 6 to Jan 12</v>
      </c>
      <c r="Y378" t="str">
        <f t="shared" ca="1" si="34"/>
        <v>⚪ SCHEDULED</v>
      </c>
      <c r="Z378" t="str">
        <f t="shared" ca="1" si="35"/>
        <v>No action needed yet</v>
      </c>
    </row>
    <row r="379" spans="1:26">
      <c r="A379">
        <v>1012474662</v>
      </c>
      <c r="B379" s="3" t="s">
        <v>1228</v>
      </c>
      <c r="C379">
        <v>54</v>
      </c>
      <c r="D379" t="s">
        <v>47</v>
      </c>
      <c r="E379" t="s">
        <v>28</v>
      </c>
      <c r="F379" t="s">
        <v>29</v>
      </c>
      <c r="G379" t="s">
        <v>28</v>
      </c>
      <c r="H379">
        <v>4</v>
      </c>
      <c r="I379" t="s">
        <v>66</v>
      </c>
      <c r="J379" t="s">
        <v>1229</v>
      </c>
      <c r="K379" t="s">
        <v>1230</v>
      </c>
      <c r="L379" t="s">
        <v>1231</v>
      </c>
      <c r="M379" s="4" t="s">
        <v>94</v>
      </c>
      <c r="N379" t="s">
        <v>64</v>
      </c>
      <c r="P379" s="3" t="s">
        <v>36</v>
      </c>
      <c r="Q379" s="3" t="s">
        <v>45</v>
      </c>
      <c r="R379">
        <v>2</v>
      </c>
      <c r="S379" s="5">
        <v>45933</v>
      </c>
      <c r="T379" t="s">
        <v>38</v>
      </c>
      <c r="U379">
        <f t="shared" ca="1" si="30"/>
        <v>18</v>
      </c>
      <c r="V379" s="6">
        <f t="shared" ca="1" si="31"/>
        <v>46020</v>
      </c>
      <c r="W379" s="6">
        <f t="shared" ca="1" si="32"/>
        <v>46026</v>
      </c>
      <c r="X379" t="str">
        <f t="shared" ca="1" si="33"/>
        <v>Dec 29 to Jan 4</v>
      </c>
      <c r="Y379" t="str">
        <f t="shared" ca="1" si="34"/>
        <v>⚪ SCHEDULED</v>
      </c>
      <c r="Z379" t="str">
        <f t="shared" ca="1" si="35"/>
        <v>No action needed yet</v>
      </c>
    </row>
    <row r="380" spans="1:26">
      <c r="A380">
        <v>1012476782</v>
      </c>
      <c r="B380" s="3" t="s">
        <v>1232</v>
      </c>
      <c r="C380">
        <v>55</v>
      </c>
      <c r="D380" t="s">
        <v>47</v>
      </c>
      <c r="E380" t="s">
        <v>54</v>
      </c>
      <c r="F380" t="s">
        <v>54</v>
      </c>
      <c r="G380" t="s">
        <v>54</v>
      </c>
      <c r="H380">
        <v>2</v>
      </c>
      <c r="I380" t="s">
        <v>55</v>
      </c>
      <c r="J380" t="s">
        <v>1233</v>
      </c>
      <c r="K380" t="s">
        <v>1234</v>
      </c>
      <c r="L380" t="s">
        <v>463</v>
      </c>
      <c r="M380" s="4" t="s">
        <v>94</v>
      </c>
      <c r="N380" t="s">
        <v>59</v>
      </c>
      <c r="P380" s="3" t="s">
        <v>36</v>
      </c>
      <c r="Q380" s="3" t="s">
        <v>365</v>
      </c>
      <c r="R380">
        <v>2</v>
      </c>
      <c r="S380" s="5">
        <v>45982</v>
      </c>
      <c r="T380" t="s">
        <v>60</v>
      </c>
      <c r="U380">
        <f t="shared" ca="1" si="30"/>
        <v>37</v>
      </c>
      <c r="V380" s="6">
        <f t="shared" ca="1" si="31"/>
        <v>46039</v>
      </c>
      <c r="W380" s="6">
        <f t="shared" ca="1" si="32"/>
        <v>46045</v>
      </c>
      <c r="X380" t="str">
        <f t="shared" ca="1" si="33"/>
        <v>Jan 17 to Jan 23</v>
      </c>
      <c r="Y380" t="str">
        <f t="shared" ca="1" si="34"/>
        <v>⚪ SCHEDULED</v>
      </c>
      <c r="Z380" t="str">
        <f t="shared" ca="1" si="35"/>
        <v>No action needed yet</v>
      </c>
    </row>
    <row r="381" spans="1:26">
      <c r="A381">
        <v>1012556153</v>
      </c>
      <c r="B381" s="3" t="s">
        <v>1235</v>
      </c>
      <c r="C381">
        <v>57</v>
      </c>
      <c r="D381" t="s">
        <v>27</v>
      </c>
      <c r="E381" t="s">
        <v>28</v>
      </c>
      <c r="F381" t="s">
        <v>28</v>
      </c>
      <c r="G381" t="s">
        <v>29</v>
      </c>
      <c r="H381">
        <v>3</v>
      </c>
      <c r="I381" t="s">
        <v>66</v>
      </c>
      <c r="J381" t="s">
        <v>109</v>
      </c>
      <c r="K381" t="s">
        <v>1236</v>
      </c>
      <c r="M381" s="4" t="s">
        <v>34</v>
      </c>
      <c r="N381" t="s">
        <v>794</v>
      </c>
      <c r="P381" s="3" t="s">
        <v>36</v>
      </c>
      <c r="Q381" s="3" t="s">
        <v>84</v>
      </c>
      <c r="R381">
        <v>2</v>
      </c>
      <c r="S381" s="5">
        <v>45785</v>
      </c>
      <c r="T381" t="s">
        <v>38</v>
      </c>
      <c r="U381">
        <f t="shared" ca="1" si="30"/>
        <v>20</v>
      </c>
      <c r="V381" s="6">
        <f t="shared" ca="1" si="31"/>
        <v>46022</v>
      </c>
      <c r="W381" s="6">
        <f t="shared" ca="1" si="32"/>
        <v>46028</v>
      </c>
      <c r="X381" t="str">
        <f t="shared" ca="1" si="33"/>
        <v>Dec 31 to Jan 6</v>
      </c>
      <c r="Y381" t="str">
        <f t="shared" ca="1" si="34"/>
        <v>⚪ SCHEDULED</v>
      </c>
      <c r="Z381" t="str">
        <f t="shared" ca="1" si="35"/>
        <v>No action needed yet</v>
      </c>
    </row>
    <row r="382" spans="1:26">
      <c r="A382">
        <v>1012609143</v>
      </c>
      <c r="B382" s="3" t="s">
        <v>1237</v>
      </c>
      <c r="C382">
        <v>45</v>
      </c>
      <c r="D382" t="s">
        <v>27</v>
      </c>
      <c r="E382" t="s">
        <v>29</v>
      </c>
      <c r="F382" t="s">
        <v>28</v>
      </c>
      <c r="G382" t="s">
        <v>29</v>
      </c>
      <c r="H382">
        <v>4</v>
      </c>
      <c r="I382" t="s">
        <v>66</v>
      </c>
      <c r="J382" t="s">
        <v>168</v>
      </c>
      <c r="K382" t="s">
        <v>1062</v>
      </c>
      <c r="L382" t="s">
        <v>170</v>
      </c>
      <c r="M382" s="4" t="s">
        <v>43</v>
      </c>
      <c r="N382" t="s">
        <v>182</v>
      </c>
      <c r="P382" s="3" t="s">
        <v>36</v>
      </c>
      <c r="Q382" s="3" t="s">
        <v>45</v>
      </c>
      <c r="R382">
        <v>1</v>
      </c>
      <c r="S382" s="5">
        <v>45926</v>
      </c>
      <c r="T382" t="s">
        <v>38</v>
      </c>
      <c r="U382">
        <f t="shared" ca="1" si="30"/>
        <v>11</v>
      </c>
      <c r="V382" s="6">
        <f t="shared" ca="1" si="31"/>
        <v>46013</v>
      </c>
      <c r="W382" s="6">
        <f t="shared" ca="1" si="32"/>
        <v>46019</v>
      </c>
      <c r="X382" t="str">
        <f t="shared" ca="1" si="33"/>
        <v>Dec 22 to Dec 28</v>
      </c>
      <c r="Y382" t="str">
        <f t="shared" ca="1" si="34"/>
        <v>🔵 NEXT 2 WEEKS</v>
      </c>
      <c r="Z382" t="str">
        <f t="shared" ca="1" si="35"/>
        <v>Send reminder SMS</v>
      </c>
    </row>
    <row r="383" spans="1:26">
      <c r="A383">
        <v>1012609903</v>
      </c>
      <c r="B383" s="3" t="s">
        <v>1238</v>
      </c>
      <c r="C383">
        <v>59</v>
      </c>
      <c r="D383" t="s">
        <v>27</v>
      </c>
      <c r="E383" t="s">
        <v>29</v>
      </c>
      <c r="F383" t="s">
        <v>28</v>
      </c>
      <c r="G383" t="s">
        <v>28</v>
      </c>
      <c r="H383">
        <v>4</v>
      </c>
      <c r="I383" t="s">
        <v>66</v>
      </c>
      <c r="J383" t="s">
        <v>1239</v>
      </c>
      <c r="K383" t="s">
        <v>1240</v>
      </c>
      <c r="M383" s="4" t="s">
        <v>94</v>
      </c>
      <c r="N383" t="s">
        <v>148</v>
      </c>
      <c r="P383" s="3" t="s">
        <v>36</v>
      </c>
      <c r="Q383" s="3" t="s">
        <v>90</v>
      </c>
      <c r="R383">
        <v>1</v>
      </c>
      <c r="S383" s="5">
        <v>45938</v>
      </c>
      <c r="T383" t="s">
        <v>38</v>
      </c>
      <c r="U383">
        <f t="shared" ca="1" si="30"/>
        <v>23</v>
      </c>
      <c r="V383" s="6">
        <f t="shared" ca="1" si="31"/>
        <v>46025</v>
      </c>
      <c r="W383" s="6">
        <f t="shared" ca="1" si="32"/>
        <v>46031</v>
      </c>
      <c r="X383" t="str">
        <f t="shared" ca="1" si="33"/>
        <v>Jan 3 to Jan 9</v>
      </c>
      <c r="Y383" t="str">
        <f t="shared" ca="1" si="34"/>
        <v>⚪ SCHEDULED</v>
      </c>
      <c r="Z383" t="str">
        <f t="shared" ca="1" si="35"/>
        <v>No action needed yet</v>
      </c>
    </row>
    <row r="384" spans="1:26">
      <c r="A384">
        <v>1012729255</v>
      </c>
      <c r="B384" s="3" t="s">
        <v>1241</v>
      </c>
      <c r="C384">
        <v>72</v>
      </c>
      <c r="D384" t="s">
        <v>27</v>
      </c>
      <c r="E384" t="s">
        <v>29</v>
      </c>
      <c r="F384" t="s">
        <v>29</v>
      </c>
      <c r="G384" t="s">
        <v>29</v>
      </c>
      <c r="H384">
        <v>7</v>
      </c>
      <c r="I384" t="s">
        <v>30</v>
      </c>
      <c r="J384" t="s">
        <v>1242</v>
      </c>
      <c r="K384" t="s">
        <v>1243</v>
      </c>
      <c r="L384" t="s">
        <v>355</v>
      </c>
      <c r="M384" s="4" t="s">
        <v>34</v>
      </c>
      <c r="N384" t="s">
        <v>76</v>
      </c>
      <c r="P384" s="3" t="s">
        <v>36</v>
      </c>
      <c r="Q384" s="3" t="s">
        <v>77</v>
      </c>
      <c r="R384">
        <v>1</v>
      </c>
      <c r="S384" s="5">
        <v>45500</v>
      </c>
      <c r="T384" t="s">
        <v>38</v>
      </c>
      <c r="U384">
        <f t="shared" ca="1" si="30"/>
        <v>5</v>
      </c>
      <c r="V384" s="6">
        <f t="shared" ca="1" si="31"/>
        <v>46007</v>
      </c>
      <c r="W384" s="6">
        <f t="shared" ca="1" si="32"/>
        <v>46013</v>
      </c>
      <c r="X384" t="str">
        <f t="shared" ca="1" si="33"/>
        <v>Dec 16 to Dec 22</v>
      </c>
      <c r="Y384" t="str">
        <f t="shared" ca="1" si="34"/>
        <v>🟢 THIS WEEK</v>
      </c>
      <c r="Z384" t="str">
        <f t="shared" ca="1" si="35"/>
        <v>Confirm appointment</v>
      </c>
    </row>
    <row r="385" spans="1:26">
      <c r="A385">
        <v>1012743231</v>
      </c>
      <c r="B385" s="3" t="s">
        <v>1244</v>
      </c>
      <c r="C385">
        <v>66</v>
      </c>
      <c r="D385" t="s">
        <v>47</v>
      </c>
      <c r="E385" t="s">
        <v>28</v>
      </c>
      <c r="F385" t="s">
        <v>29</v>
      </c>
      <c r="G385" t="s">
        <v>28</v>
      </c>
      <c r="H385">
        <v>5</v>
      </c>
      <c r="I385" t="s">
        <v>30</v>
      </c>
      <c r="J385" t="s">
        <v>125</v>
      </c>
      <c r="K385" t="s">
        <v>1245</v>
      </c>
      <c r="L385" t="s">
        <v>69</v>
      </c>
      <c r="M385" s="4" t="s">
        <v>43</v>
      </c>
      <c r="N385" t="s">
        <v>70</v>
      </c>
      <c r="P385" s="3" t="s">
        <v>36</v>
      </c>
      <c r="Q385" s="3" t="s">
        <v>175</v>
      </c>
      <c r="R385">
        <v>2</v>
      </c>
      <c r="S385" s="5">
        <v>45874</v>
      </c>
      <c r="T385" t="s">
        <v>38</v>
      </c>
      <c r="U385">
        <f t="shared" ca="1" si="30"/>
        <v>19</v>
      </c>
      <c r="V385" s="6">
        <f t="shared" ca="1" si="31"/>
        <v>46021</v>
      </c>
      <c r="W385" s="6">
        <f t="shared" ca="1" si="32"/>
        <v>46027</v>
      </c>
      <c r="X385" t="str">
        <f t="shared" ca="1" si="33"/>
        <v>Dec 30 to Jan 5</v>
      </c>
      <c r="Y385" t="str">
        <f t="shared" ca="1" si="34"/>
        <v>⚪ SCHEDULED</v>
      </c>
      <c r="Z385" t="str">
        <f t="shared" ca="1" si="35"/>
        <v>No action needed yet</v>
      </c>
    </row>
    <row r="386" spans="1:26">
      <c r="A386">
        <v>1012844435</v>
      </c>
      <c r="B386" s="3" t="s">
        <v>1246</v>
      </c>
      <c r="C386">
        <v>69</v>
      </c>
      <c r="D386" t="s">
        <v>27</v>
      </c>
      <c r="E386" t="s">
        <v>28</v>
      </c>
      <c r="F386" t="s">
        <v>29</v>
      </c>
      <c r="G386" t="s">
        <v>29</v>
      </c>
      <c r="H386">
        <v>6</v>
      </c>
      <c r="I386" t="s">
        <v>30</v>
      </c>
      <c r="J386" t="s">
        <v>1247</v>
      </c>
      <c r="K386" t="s">
        <v>1248</v>
      </c>
      <c r="L386" t="s">
        <v>808</v>
      </c>
      <c r="M386" s="4" t="s">
        <v>94</v>
      </c>
      <c r="N386" t="s">
        <v>333</v>
      </c>
      <c r="P386" s="3" t="s">
        <v>36</v>
      </c>
      <c r="Q386" s="3" t="s">
        <v>90</v>
      </c>
      <c r="R386">
        <v>2</v>
      </c>
      <c r="S386" s="5">
        <v>45940</v>
      </c>
      <c r="T386" t="s">
        <v>38</v>
      </c>
      <c r="U386">
        <f t="shared" ref="U386:U449" ca="1" si="36">IF(S386&gt;=TODAY(),S386,S386+CEILING((TODAY()-S386)/IF(T386="Monthly",30,IF(T386="Bi-Monthly",60,90)),1)*IF(T386="Monthly",30,IF(T386="Bi-Monthly",60,90)))-TODAY()</f>
        <v>25</v>
      </c>
      <c r="V386" s="6">
        <f t="shared" ref="V386:V449" ca="1" si="37">IF(S386&gt;=TODAY(),S386,S386+CEILING((TODAY()-S386)/IF(T386="Monthly",30,IF(T386="Bi-Monthly",60,90)),1)*IF(T386="Monthly",30,IF(T386="Bi-Monthly",60,90)))-3</f>
        <v>46027</v>
      </c>
      <c r="W386" s="6">
        <f t="shared" ref="W386:W449" ca="1" si="38">IF(S386&gt;=TODAY(),S386,S386+CEILING((TODAY()-S386)/IF(T386="Monthly",30,IF(T386="Bi-Monthly",60,90)),1)*IF(T386="Monthly",30,IF(T386="Bi-Monthly",60,90)))+3</f>
        <v>46033</v>
      </c>
      <c r="X386" t="str">
        <f t="shared" ref="X386:X449" ca="1" si="39">TEXT(V386,"MMM D")&amp;" to "&amp;TEXT(W386,"MMM D")</f>
        <v>Jan 5 to Jan 11</v>
      </c>
      <c r="Y386" t="str">
        <f t="shared" ref="Y386:Y449" ca="1" si="40">IF(U386&lt;=3,"🟡 IMMINENT (within 3 days)",IF(U386&lt;=7,"🟢 THIS WEEK",IF(U386&lt;=14,"🔵 NEXT 2 WEEKS","⚪ SCHEDULED")))</f>
        <v>⚪ SCHEDULED</v>
      </c>
      <c r="Z386" t="str">
        <f t="shared" ref="Z386:Z449" ca="1" si="41">IF(U386&lt;=3,"Prepare medications TODAY",IF(U386&lt;=7,"Confirm appointment",IF(U386&lt;=14,"Send reminder SMS","No action needed yet")))</f>
        <v>No action needed yet</v>
      </c>
    </row>
    <row r="387" spans="1:26">
      <c r="A387">
        <v>1012847537</v>
      </c>
      <c r="B387" s="3" t="s">
        <v>1249</v>
      </c>
      <c r="C387">
        <v>63</v>
      </c>
      <c r="D387" t="s">
        <v>47</v>
      </c>
      <c r="E387" t="s">
        <v>29</v>
      </c>
      <c r="F387" t="s">
        <v>29</v>
      </c>
      <c r="G387" t="s">
        <v>29</v>
      </c>
      <c r="H387">
        <v>7</v>
      </c>
      <c r="I387" t="s">
        <v>30</v>
      </c>
      <c r="J387" t="s">
        <v>1250</v>
      </c>
      <c r="K387" t="s">
        <v>1251</v>
      </c>
      <c r="M387" s="4" t="s">
        <v>43</v>
      </c>
      <c r="N387" t="s">
        <v>44</v>
      </c>
      <c r="P387" s="3" t="s">
        <v>36</v>
      </c>
      <c r="Q387" s="3" t="s">
        <v>107</v>
      </c>
      <c r="R387">
        <v>1</v>
      </c>
      <c r="S387" s="5">
        <v>45905</v>
      </c>
      <c r="T387" t="s">
        <v>38</v>
      </c>
      <c r="U387">
        <f t="shared" ca="1" si="36"/>
        <v>20</v>
      </c>
      <c r="V387" s="6">
        <f t="shared" ca="1" si="37"/>
        <v>46022</v>
      </c>
      <c r="W387" s="6">
        <f t="shared" ca="1" si="38"/>
        <v>46028</v>
      </c>
      <c r="X387" t="str">
        <f t="shared" ca="1" si="39"/>
        <v>Dec 31 to Jan 6</v>
      </c>
      <c r="Y387" t="str">
        <f t="shared" ca="1" si="40"/>
        <v>⚪ SCHEDULED</v>
      </c>
      <c r="Z387" t="str">
        <f t="shared" ca="1" si="41"/>
        <v>No action needed yet</v>
      </c>
    </row>
    <row r="388" spans="1:26">
      <c r="A388">
        <v>1012926521</v>
      </c>
      <c r="B388" s="3" t="s">
        <v>1252</v>
      </c>
      <c r="C388">
        <v>47</v>
      </c>
      <c r="D388" t="s">
        <v>27</v>
      </c>
      <c r="E388" t="s">
        <v>28</v>
      </c>
      <c r="F388" t="s">
        <v>28</v>
      </c>
      <c r="G388" t="s">
        <v>28</v>
      </c>
      <c r="H388">
        <v>1</v>
      </c>
      <c r="I388" t="s">
        <v>55</v>
      </c>
      <c r="J388" t="s">
        <v>1253</v>
      </c>
      <c r="K388" t="s">
        <v>1254</v>
      </c>
      <c r="L388" t="s">
        <v>139</v>
      </c>
      <c r="M388" s="4" t="s">
        <v>34</v>
      </c>
      <c r="N388" t="s">
        <v>59</v>
      </c>
      <c r="P388" s="3" t="s">
        <v>36</v>
      </c>
      <c r="Q388" s="3" t="s">
        <v>45</v>
      </c>
      <c r="R388">
        <v>2</v>
      </c>
      <c r="S388" s="5">
        <v>45866</v>
      </c>
      <c r="T388" t="s">
        <v>393</v>
      </c>
      <c r="U388">
        <f t="shared" ca="1" si="36"/>
        <v>41</v>
      </c>
      <c r="V388" s="6">
        <f t="shared" ca="1" si="37"/>
        <v>46043</v>
      </c>
      <c r="W388" s="6">
        <f t="shared" ca="1" si="38"/>
        <v>46049</v>
      </c>
      <c r="X388" t="str">
        <f t="shared" ca="1" si="39"/>
        <v>Jan 21 to Jan 27</v>
      </c>
      <c r="Y388" t="str">
        <f t="shared" ca="1" si="40"/>
        <v>⚪ SCHEDULED</v>
      </c>
      <c r="Z388" t="str">
        <f t="shared" ca="1" si="41"/>
        <v>No action needed yet</v>
      </c>
    </row>
    <row r="389" spans="1:26">
      <c r="A389">
        <v>1012952642</v>
      </c>
      <c r="B389" s="3" t="s">
        <v>1255</v>
      </c>
      <c r="C389">
        <v>58</v>
      </c>
      <c r="D389" t="s">
        <v>27</v>
      </c>
      <c r="E389" t="s">
        <v>28</v>
      </c>
      <c r="F389" t="s">
        <v>29</v>
      </c>
      <c r="G389" t="s">
        <v>28</v>
      </c>
      <c r="H389">
        <v>4</v>
      </c>
      <c r="I389" t="s">
        <v>66</v>
      </c>
      <c r="J389" t="s">
        <v>1256</v>
      </c>
      <c r="K389" t="s">
        <v>1257</v>
      </c>
      <c r="L389" t="s">
        <v>33</v>
      </c>
      <c r="M389" s="4" t="s">
        <v>43</v>
      </c>
      <c r="N389" t="s">
        <v>64</v>
      </c>
      <c r="P389" s="3" t="s">
        <v>36</v>
      </c>
      <c r="Q389" s="3" t="s">
        <v>528</v>
      </c>
      <c r="R389">
        <v>1</v>
      </c>
      <c r="S389" s="5">
        <v>45871</v>
      </c>
      <c r="T389" t="s">
        <v>38</v>
      </c>
      <c r="U389">
        <f t="shared" ca="1" si="36"/>
        <v>16</v>
      </c>
      <c r="V389" s="6">
        <f t="shared" ca="1" si="37"/>
        <v>46018</v>
      </c>
      <c r="W389" s="6">
        <f t="shared" ca="1" si="38"/>
        <v>46024</v>
      </c>
      <c r="X389" t="str">
        <f t="shared" ca="1" si="39"/>
        <v>Dec 27 to Jan 2</v>
      </c>
      <c r="Y389" t="str">
        <f t="shared" ca="1" si="40"/>
        <v>⚪ SCHEDULED</v>
      </c>
      <c r="Z389" t="str">
        <f t="shared" ca="1" si="41"/>
        <v>No action needed yet</v>
      </c>
    </row>
    <row r="390" spans="1:26">
      <c r="A390">
        <v>1012953012</v>
      </c>
      <c r="B390" s="3" t="s">
        <v>1258</v>
      </c>
      <c r="C390">
        <v>57</v>
      </c>
      <c r="D390" t="s">
        <v>47</v>
      </c>
      <c r="E390" t="s">
        <v>29</v>
      </c>
      <c r="F390" t="s">
        <v>29</v>
      </c>
      <c r="G390" t="s">
        <v>29</v>
      </c>
      <c r="H390">
        <v>5</v>
      </c>
      <c r="I390" t="s">
        <v>30</v>
      </c>
      <c r="J390" t="s">
        <v>1259</v>
      </c>
      <c r="K390" t="s">
        <v>1260</v>
      </c>
      <c r="L390" t="s">
        <v>100</v>
      </c>
      <c r="M390" s="4" t="s">
        <v>43</v>
      </c>
      <c r="N390" t="s">
        <v>76</v>
      </c>
      <c r="P390" s="3" t="s">
        <v>36</v>
      </c>
      <c r="Q390" s="3" t="s">
        <v>107</v>
      </c>
      <c r="R390">
        <v>1</v>
      </c>
      <c r="S390" s="5">
        <v>45925</v>
      </c>
      <c r="T390" t="s">
        <v>38</v>
      </c>
      <c r="U390">
        <f t="shared" ca="1" si="36"/>
        <v>10</v>
      </c>
      <c r="V390" s="6">
        <f t="shared" ca="1" si="37"/>
        <v>46012</v>
      </c>
      <c r="W390" s="6">
        <f t="shared" ca="1" si="38"/>
        <v>46018</v>
      </c>
      <c r="X390" t="str">
        <f t="shared" ca="1" si="39"/>
        <v>Dec 21 to Dec 27</v>
      </c>
      <c r="Y390" t="str">
        <f t="shared" ca="1" si="40"/>
        <v>🔵 NEXT 2 WEEKS</v>
      </c>
      <c r="Z390" t="str">
        <f t="shared" ca="1" si="41"/>
        <v>Send reminder SMS</v>
      </c>
    </row>
    <row r="391" spans="1:26">
      <c r="A391">
        <v>1012962724</v>
      </c>
      <c r="B391" s="3" t="s">
        <v>1261</v>
      </c>
      <c r="C391">
        <v>59</v>
      </c>
      <c r="D391" t="s">
        <v>27</v>
      </c>
      <c r="E391" t="s">
        <v>29</v>
      </c>
      <c r="F391" t="s">
        <v>29</v>
      </c>
      <c r="G391" t="s">
        <v>28</v>
      </c>
      <c r="H391">
        <v>4</v>
      </c>
      <c r="I391" t="s">
        <v>66</v>
      </c>
      <c r="J391" t="s">
        <v>1262</v>
      </c>
      <c r="K391" t="s">
        <v>1263</v>
      </c>
      <c r="M391" s="4" t="s">
        <v>43</v>
      </c>
      <c r="N391" t="s">
        <v>144</v>
      </c>
      <c r="P391" s="3" t="s">
        <v>36</v>
      </c>
      <c r="Q391" s="3" t="s">
        <v>84</v>
      </c>
      <c r="R391">
        <v>1</v>
      </c>
      <c r="S391" s="5">
        <v>45853</v>
      </c>
      <c r="T391" t="s">
        <v>38</v>
      </c>
      <c r="U391">
        <f t="shared" ca="1" si="36"/>
        <v>28</v>
      </c>
      <c r="V391" s="6">
        <f t="shared" ca="1" si="37"/>
        <v>46030</v>
      </c>
      <c r="W391" s="6">
        <f t="shared" ca="1" si="38"/>
        <v>46036</v>
      </c>
      <c r="X391" t="str">
        <f t="shared" ca="1" si="39"/>
        <v>Jan 8 to Jan 14</v>
      </c>
      <c r="Y391" t="str">
        <f t="shared" ca="1" si="40"/>
        <v>⚪ SCHEDULED</v>
      </c>
      <c r="Z391" t="str">
        <f t="shared" ca="1" si="41"/>
        <v>No action needed yet</v>
      </c>
    </row>
    <row r="392" spans="1:26">
      <c r="A392">
        <v>1012998991</v>
      </c>
      <c r="B392" s="3" t="s">
        <v>1264</v>
      </c>
      <c r="C392">
        <v>41</v>
      </c>
      <c r="D392" t="s">
        <v>47</v>
      </c>
      <c r="E392" t="s">
        <v>29</v>
      </c>
      <c r="F392" t="s">
        <v>28</v>
      </c>
      <c r="G392" t="s">
        <v>29</v>
      </c>
      <c r="H392">
        <v>4</v>
      </c>
      <c r="I392" t="s">
        <v>66</v>
      </c>
      <c r="J392" t="s">
        <v>112</v>
      </c>
      <c r="K392" t="s">
        <v>1265</v>
      </c>
      <c r="L392" t="s">
        <v>114</v>
      </c>
      <c r="M392" s="4" t="s">
        <v>34</v>
      </c>
      <c r="N392" t="s">
        <v>115</v>
      </c>
      <c r="P392" s="3" t="s">
        <v>36</v>
      </c>
      <c r="Q392" s="3" t="s">
        <v>1266</v>
      </c>
      <c r="R392">
        <v>1</v>
      </c>
      <c r="S392" s="5">
        <v>45815</v>
      </c>
      <c r="T392" t="s">
        <v>38</v>
      </c>
      <c r="U392">
        <f t="shared" ca="1" si="36"/>
        <v>20</v>
      </c>
      <c r="V392" s="6">
        <f t="shared" ca="1" si="37"/>
        <v>46022</v>
      </c>
      <c r="W392" s="6">
        <f t="shared" ca="1" si="38"/>
        <v>46028</v>
      </c>
      <c r="X392" t="str">
        <f t="shared" ca="1" si="39"/>
        <v>Dec 31 to Jan 6</v>
      </c>
      <c r="Y392" t="str">
        <f t="shared" ca="1" si="40"/>
        <v>⚪ SCHEDULED</v>
      </c>
      <c r="Z392" t="str">
        <f t="shared" ca="1" si="41"/>
        <v>No action needed yet</v>
      </c>
    </row>
    <row r="393" spans="1:26">
      <c r="A393">
        <v>1013076862</v>
      </c>
      <c r="B393" s="3" t="s">
        <v>1267</v>
      </c>
      <c r="C393">
        <v>68</v>
      </c>
      <c r="D393" t="s">
        <v>47</v>
      </c>
      <c r="E393" t="s">
        <v>29</v>
      </c>
      <c r="F393" t="s">
        <v>29</v>
      </c>
      <c r="G393" t="s">
        <v>29</v>
      </c>
      <c r="H393">
        <v>6</v>
      </c>
      <c r="I393" t="s">
        <v>30</v>
      </c>
      <c r="J393" t="s">
        <v>1268</v>
      </c>
      <c r="K393" t="s">
        <v>1269</v>
      </c>
      <c r="M393" s="4" t="s">
        <v>43</v>
      </c>
      <c r="N393" t="s">
        <v>44</v>
      </c>
      <c r="P393" s="3" t="s">
        <v>36</v>
      </c>
      <c r="Q393" s="3" t="s">
        <v>84</v>
      </c>
      <c r="R393">
        <v>2</v>
      </c>
      <c r="S393" s="5">
        <v>45896</v>
      </c>
      <c r="T393" t="s">
        <v>38</v>
      </c>
      <c r="U393">
        <f t="shared" ca="1" si="36"/>
        <v>11</v>
      </c>
      <c r="V393" s="6">
        <f t="shared" ca="1" si="37"/>
        <v>46013</v>
      </c>
      <c r="W393" s="6">
        <f t="shared" ca="1" si="38"/>
        <v>46019</v>
      </c>
      <c r="X393" t="str">
        <f t="shared" ca="1" si="39"/>
        <v>Dec 22 to Dec 28</v>
      </c>
      <c r="Y393" t="str">
        <f t="shared" ca="1" si="40"/>
        <v>🔵 NEXT 2 WEEKS</v>
      </c>
      <c r="Z393" t="str">
        <f t="shared" ca="1" si="41"/>
        <v>Send reminder SMS</v>
      </c>
    </row>
    <row r="394" spans="1:26">
      <c r="A394">
        <v>1013090327</v>
      </c>
      <c r="B394" s="3" t="s">
        <v>1270</v>
      </c>
      <c r="C394">
        <v>67</v>
      </c>
      <c r="D394" t="s">
        <v>27</v>
      </c>
      <c r="E394" t="s">
        <v>29</v>
      </c>
      <c r="F394" t="s">
        <v>29</v>
      </c>
      <c r="G394" t="s">
        <v>28</v>
      </c>
      <c r="H394">
        <v>6</v>
      </c>
      <c r="I394" t="s">
        <v>30</v>
      </c>
      <c r="J394" t="s">
        <v>1271</v>
      </c>
      <c r="K394" t="s">
        <v>1272</v>
      </c>
      <c r="L394" t="s">
        <v>968</v>
      </c>
      <c r="M394" s="4" t="s">
        <v>34</v>
      </c>
      <c r="N394" t="s">
        <v>106</v>
      </c>
      <c r="P394" s="3" t="s">
        <v>36</v>
      </c>
      <c r="Q394" s="3" t="s">
        <v>77</v>
      </c>
      <c r="R394">
        <v>1</v>
      </c>
      <c r="S394" s="5">
        <v>45808</v>
      </c>
      <c r="T394" t="s">
        <v>38</v>
      </c>
      <c r="U394">
        <f t="shared" ca="1" si="36"/>
        <v>13</v>
      </c>
      <c r="V394" s="6">
        <f t="shared" ca="1" si="37"/>
        <v>46015</v>
      </c>
      <c r="W394" s="6">
        <f t="shared" ca="1" si="38"/>
        <v>46021</v>
      </c>
      <c r="X394" t="str">
        <f t="shared" ca="1" si="39"/>
        <v>Dec 24 to Dec 30</v>
      </c>
      <c r="Y394" t="str">
        <f t="shared" ca="1" si="40"/>
        <v>🔵 NEXT 2 WEEKS</v>
      </c>
      <c r="Z394" t="str">
        <f t="shared" ca="1" si="41"/>
        <v>Send reminder SMS</v>
      </c>
    </row>
    <row r="395" spans="1:26">
      <c r="A395">
        <v>1013091101</v>
      </c>
      <c r="B395" s="3" t="s">
        <v>1273</v>
      </c>
      <c r="C395">
        <v>55</v>
      </c>
      <c r="D395" t="s">
        <v>27</v>
      </c>
      <c r="E395" t="s">
        <v>28</v>
      </c>
      <c r="F395" t="s">
        <v>29</v>
      </c>
      <c r="G395" t="s">
        <v>28</v>
      </c>
      <c r="H395">
        <v>4</v>
      </c>
      <c r="I395" t="s">
        <v>66</v>
      </c>
      <c r="J395" t="s">
        <v>398</v>
      </c>
      <c r="K395" t="s">
        <v>1274</v>
      </c>
      <c r="L395" t="s">
        <v>69</v>
      </c>
      <c r="M395" s="4" t="s">
        <v>34</v>
      </c>
      <c r="N395" t="s">
        <v>70</v>
      </c>
      <c r="P395" s="3" t="s">
        <v>36</v>
      </c>
      <c r="Q395" s="3" t="s">
        <v>90</v>
      </c>
      <c r="R395">
        <v>2</v>
      </c>
      <c r="S395" s="5">
        <v>45707</v>
      </c>
      <c r="T395" t="s">
        <v>38</v>
      </c>
      <c r="U395">
        <f t="shared" ca="1" si="36"/>
        <v>2</v>
      </c>
      <c r="V395" s="6">
        <f t="shared" ca="1" si="37"/>
        <v>46004</v>
      </c>
      <c r="W395" s="6">
        <f t="shared" ca="1" si="38"/>
        <v>46010</v>
      </c>
      <c r="X395" t="str">
        <f t="shared" ca="1" si="39"/>
        <v>Dec 13 to Dec 19</v>
      </c>
      <c r="Y395" t="str">
        <f t="shared" ca="1" si="40"/>
        <v>🟡 IMMINENT (within 3 days)</v>
      </c>
      <c r="Z395" t="str">
        <f t="shared" ca="1" si="41"/>
        <v>Prepare medications TODAY</v>
      </c>
    </row>
    <row r="396" spans="1:26">
      <c r="A396">
        <v>1013122898</v>
      </c>
      <c r="B396" s="3" t="s">
        <v>1275</v>
      </c>
      <c r="C396">
        <v>66</v>
      </c>
      <c r="D396" t="s">
        <v>47</v>
      </c>
      <c r="E396" t="s">
        <v>29</v>
      </c>
      <c r="F396" t="s">
        <v>29</v>
      </c>
      <c r="G396" t="s">
        <v>29</v>
      </c>
      <c r="H396">
        <v>7</v>
      </c>
      <c r="I396" t="s">
        <v>30</v>
      </c>
      <c r="J396" t="s">
        <v>1276</v>
      </c>
      <c r="K396" t="s">
        <v>1277</v>
      </c>
      <c r="L396" t="s">
        <v>58</v>
      </c>
      <c r="M396" s="4" t="s">
        <v>43</v>
      </c>
      <c r="N396" t="s">
        <v>89</v>
      </c>
      <c r="P396" s="3" t="s">
        <v>36</v>
      </c>
      <c r="Q396" s="3" t="s">
        <v>45</v>
      </c>
      <c r="R396">
        <v>2</v>
      </c>
      <c r="S396" s="5">
        <v>45923</v>
      </c>
      <c r="T396" t="s">
        <v>38</v>
      </c>
      <c r="U396">
        <f t="shared" ca="1" si="36"/>
        <v>8</v>
      </c>
      <c r="V396" s="6">
        <f t="shared" ca="1" si="37"/>
        <v>46010</v>
      </c>
      <c r="W396" s="6">
        <f t="shared" ca="1" si="38"/>
        <v>46016</v>
      </c>
      <c r="X396" t="str">
        <f t="shared" ca="1" si="39"/>
        <v>Dec 19 to Dec 25</v>
      </c>
      <c r="Y396" t="str">
        <f t="shared" ca="1" si="40"/>
        <v>🔵 NEXT 2 WEEKS</v>
      </c>
      <c r="Z396" t="str">
        <f t="shared" ca="1" si="41"/>
        <v>Send reminder SMS</v>
      </c>
    </row>
    <row r="397" spans="1:26">
      <c r="A397">
        <v>1013138688</v>
      </c>
      <c r="B397" s="3" t="s">
        <v>1278</v>
      </c>
      <c r="C397">
        <v>57</v>
      </c>
      <c r="D397" t="s">
        <v>27</v>
      </c>
      <c r="E397" t="s">
        <v>28</v>
      </c>
      <c r="F397" t="s">
        <v>29</v>
      </c>
      <c r="G397" t="s">
        <v>28</v>
      </c>
      <c r="H397">
        <v>4</v>
      </c>
      <c r="I397" t="s">
        <v>66</v>
      </c>
      <c r="J397" t="s">
        <v>1279</v>
      </c>
      <c r="K397" t="s">
        <v>1280</v>
      </c>
      <c r="M397" s="4" t="s">
        <v>94</v>
      </c>
      <c r="N397" t="s">
        <v>64</v>
      </c>
      <c r="P397" s="3" t="s">
        <v>36</v>
      </c>
      <c r="Q397" s="3" t="s">
        <v>45</v>
      </c>
      <c r="R397">
        <v>2</v>
      </c>
      <c r="S397" s="5">
        <v>45930</v>
      </c>
      <c r="T397" t="s">
        <v>38</v>
      </c>
      <c r="U397">
        <f t="shared" ca="1" si="36"/>
        <v>15</v>
      </c>
      <c r="V397" s="6">
        <f t="shared" ca="1" si="37"/>
        <v>46017</v>
      </c>
      <c r="W397" s="6">
        <f t="shared" ca="1" si="38"/>
        <v>46023</v>
      </c>
      <c r="X397" t="str">
        <f t="shared" ca="1" si="39"/>
        <v>Dec 26 to Jan 1</v>
      </c>
      <c r="Y397" t="str">
        <f t="shared" ca="1" si="40"/>
        <v>⚪ SCHEDULED</v>
      </c>
      <c r="Z397" t="str">
        <f t="shared" ca="1" si="41"/>
        <v>No action needed yet</v>
      </c>
    </row>
    <row r="398" spans="1:26">
      <c r="A398">
        <v>1013185242</v>
      </c>
      <c r="B398" s="3" t="s">
        <v>1281</v>
      </c>
      <c r="C398">
        <v>46</v>
      </c>
      <c r="D398" t="s">
        <v>27</v>
      </c>
      <c r="E398" t="s">
        <v>28</v>
      </c>
      <c r="F398" t="s">
        <v>29</v>
      </c>
      <c r="G398" t="s">
        <v>28</v>
      </c>
      <c r="H398">
        <v>3</v>
      </c>
      <c r="I398" t="s">
        <v>66</v>
      </c>
      <c r="J398" t="s">
        <v>1282</v>
      </c>
      <c r="K398" t="s">
        <v>1283</v>
      </c>
      <c r="L398" t="s">
        <v>69</v>
      </c>
      <c r="M398" s="4" t="s">
        <v>34</v>
      </c>
      <c r="N398" t="s">
        <v>70</v>
      </c>
      <c r="P398" s="3" t="s">
        <v>36</v>
      </c>
      <c r="Q398" s="3" t="s">
        <v>45</v>
      </c>
      <c r="R398">
        <v>1</v>
      </c>
      <c r="S398" s="5">
        <v>45814</v>
      </c>
      <c r="T398" t="s">
        <v>38</v>
      </c>
      <c r="U398">
        <f t="shared" ca="1" si="36"/>
        <v>19</v>
      </c>
      <c r="V398" s="6">
        <f t="shared" ca="1" si="37"/>
        <v>46021</v>
      </c>
      <c r="W398" s="6">
        <f t="shared" ca="1" si="38"/>
        <v>46027</v>
      </c>
      <c r="X398" t="str">
        <f t="shared" ca="1" si="39"/>
        <v>Dec 30 to Jan 5</v>
      </c>
      <c r="Y398" t="str">
        <f t="shared" ca="1" si="40"/>
        <v>⚪ SCHEDULED</v>
      </c>
      <c r="Z398" t="str">
        <f t="shared" ca="1" si="41"/>
        <v>No action needed yet</v>
      </c>
    </row>
    <row r="399" spans="1:26">
      <c r="A399">
        <v>1013352792</v>
      </c>
      <c r="B399" s="3" t="s">
        <v>1284</v>
      </c>
      <c r="C399">
        <v>58</v>
      </c>
      <c r="D399" t="s">
        <v>27</v>
      </c>
      <c r="E399" t="s">
        <v>29</v>
      </c>
      <c r="F399" t="s">
        <v>29</v>
      </c>
      <c r="G399" t="s">
        <v>29</v>
      </c>
      <c r="H399">
        <v>5</v>
      </c>
      <c r="I399" t="s">
        <v>30</v>
      </c>
      <c r="J399" t="s">
        <v>253</v>
      </c>
      <c r="K399" t="s">
        <v>1285</v>
      </c>
      <c r="L399" t="s">
        <v>33</v>
      </c>
      <c r="M399" s="4" t="s">
        <v>34</v>
      </c>
      <c r="N399" t="s">
        <v>44</v>
      </c>
      <c r="P399" s="3" t="s">
        <v>36</v>
      </c>
      <c r="Q399" s="3" t="s">
        <v>107</v>
      </c>
      <c r="R399">
        <v>1</v>
      </c>
      <c r="S399" s="5">
        <v>45770</v>
      </c>
      <c r="T399" t="s">
        <v>38</v>
      </c>
      <c r="U399">
        <f t="shared" ca="1" si="36"/>
        <v>5</v>
      </c>
      <c r="V399" s="6">
        <f t="shared" ca="1" si="37"/>
        <v>46007</v>
      </c>
      <c r="W399" s="6">
        <f t="shared" ca="1" si="38"/>
        <v>46013</v>
      </c>
      <c r="X399" t="str">
        <f t="shared" ca="1" si="39"/>
        <v>Dec 16 to Dec 22</v>
      </c>
      <c r="Y399" t="str">
        <f t="shared" ca="1" si="40"/>
        <v>🟢 THIS WEEK</v>
      </c>
      <c r="Z399" t="str">
        <f t="shared" ca="1" si="41"/>
        <v>Confirm appointment</v>
      </c>
    </row>
    <row r="400" spans="1:26">
      <c r="A400">
        <v>1013621097</v>
      </c>
      <c r="B400" s="3" t="s">
        <v>1286</v>
      </c>
      <c r="C400">
        <v>63</v>
      </c>
      <c r="D400" t="s">
        <v>47</v>
      </c>
      <c r="E400" t="s">
        <v>54</v>
      </c>
      <c r="F400" t="s">
        <v>54</v>
      </c>
      <c r="G400" t="s">
        <v>54</v>
      </c>
      <c r="H400">
        <v>3</v>
      </c>
      <c r="I400" t="s">
        <v>66</v>
      </c>
      <c r="J400" t="s">
        <v>1287</v>
      </c>
      <c r="K400" t="s">
        <v>1288</v>
      </c>
      <c r="L400" t="s">
        <v>691</v>
      </c>
      <c r="M400" s="4" t="s">
        <v>94</v>
      </c>
      <c r="N400" t="s">
        <v>59</v>
      </c>
      <c r="P400" s="3" t="s">
        <v>36</v>
      </c>
      <c r="Q400" s="3" t="s">
        <v>107</v>
      </c>
      <c r="R400">
        <v>2</v>
      </c>
      <c r="S400" s="5">
        <v>45932</v>
      </c>
      <c r="T400" t="s">
        <v>38</v>
      </c>
      <c r="U400">
        <f t="shared" ca="1" si="36"/>
        <v>17</v>
      </c>
      <c r="V400" s="6">
        <f t="shared" ca="1" si="37"/>
        <v>46019</v>
      </c>
      <c r="W400" s="6">
        <f t="shared" ca="1" si="38"/>
        <v>46025</v>
      </c>
      <c r="X400" t="str">
        <f t="shared" ca="1" si="39"/>
        <v>Dec 28 to Jan 3</v>
      </c>
      <c r="Y400" t="str">
        <f t="shared" ca="1" si="40"/>
        <v>⚪ SCHEDULED</v>
      </c>
      <c r="Z400" t="str">
        <f t="shared" ca="1" si="41"/>
        <v>No action needed yet</v>
      </c>
    </row>
    <row r="401" spans="1:26">
      <c r="A401">
        <v>1013689292</v>
      </c>
      <c r="B401" s="3" t="s">
        <v>1289</v>
      </c>
      <c r="C401">
        <v>66</v>
      </c>
      <c r="D401" t="s">
        <v>27</v>
      </c>
      <c r="E401" t="s">
        <v>29</v>
      </c>
      <c r="F401" t="s">
        <v>29</v>
      </c>
      <c r="G401" t="s">
        <v>29</v>
      </c>
      <c r="H401">
        <v>7</v>
      </c>
      <c r="I401" t="s">
        <v>30</v>
      </c>
      <c r="J401" t="s">
        <v>1290</v>
      </c>
      <c r="K401" t="s">
        <v>1291</v>
      </c>
      <c r="L401" t="s">
        <v>1292</v>
      </c>
      <c r="M401" s="4" t="s">
        <v>34</v>
      </c>
      <c r="N401" t="s">
        <v>558</v>
      </c>
      <c r="P401" s="3" t="s">
        <v>36</v>
      </c>
      <c r="Q401" s="3" t="s">
        <v>90</v>
      </c>
      <c r="R401">
        <v>1</v>
      </c>
      <c r="S401" s="5">
        <v>45828</v>
      </c>
      <c r="T401" t="s">
        <v>38</v>
      </c>
      <c r="U401">
        <f t="shared" ca="1" si="36"/>
        <v>3</v>
      </c>
      <c r="V401" s="6">
        <f t="shared" ca="1" si="37"/>
        <v>46005</v>
      </c>
      <c r="W401" s="6">
        <f t="shared" ca="1" si="38"/>
        <v>46011</v>
      </c>
      <c r="X401" t="str">
        <f t="shared" ca="1" si="39"/>
        <v>Dec 14 to Dec 20</v>
      </c>
      <c r="Y401" t="str">
        <f t="shared" ca="1" si="40"/>
        <v>🟡 IMMINENT (within 3 days)</v>
      </c>
      <c r="Z401" t="str">
        <f t="shared" ca="1" si="41"/>
        <v>Prepare medications TODAY</v>
      </c>
    </row>
    <row r="402" spans="1:26">
      <c r="A402">
        <v>1013709504</v>
      </c>
      <c r="B402" s="3" t="s">
        <v>1293</v>
      </c>
      <c r="C402">
        <v>62</v>
      </c>
      <c r="D402" t="s">
        <v>27</v>
      </c>
      <c r="E402" t="s">
        <v>29</v>
      </c>
      <c r="F402" t="s">
        <v>29</v>
      </c>
      <c r="G402" t="s">
        <v>28</v>
      </c>
      <c r="H402">
        <v>6</v>
      </c>
      <c r="I402" t="s">
        <v>30</v>
      </c>
      <c r="J402" t="s">
        <v>1294</v>
      </c>
      <c r="K402" t="s">
        <v>1295</v>
      </c>
      <c r="L402" t="s">
        <v>105</v>
      </c>
      <c r="M402" s="4" t="s">
        <v>34</v>
      </c>
      <c r="N402" t="s">
        <v>106</v>
      </c>
      <c r="P402" s="3" t="s">
        <v>36</v>
      </c>
      <c r="Q402" s="3" t="s">
        <v>77</v>
      </c>
      <c r="R402">
        <v>2</v>
      </c>
      <c r="S402" s="5">
        <v>45539</v>
      </c>
      <c r="T402" t="s">
        <v>38</v>
      </c>
      <c r="U402">
        <f t="shared" ca="1" si="36"/>
        <v>14</v>
      </c>
      <c r="V402" s="6">
        <f t="shared" ca="1" si="37"/>
        <v>46016</v>
      </c>
      <c r="W402" s="6">
        <f t="shared" ca="1" si="38"/>
        <v>46022</v>
      </c>
      <c r="X402" t="str">
        <f t="shared" ca="1" si="39"/>
        <v>Dec 25 to Dec 31</v>
      </c>
      <c r="Y402" t="str">
        <f t="shared" ca="1" si="40"/>
        <v>🔵 NEXT 2 WEEKS</v>
      </c>
      <c r="Z402" t="str">
        <f t="shared" ca="1" si="41"/>
        <v>Send reminder SMS</v>
      </c>
    </row>
    <row r="403" spans="1:26">
      <c r="A403">
        <v>1013723661</v>
      </c>
      <c r="B403" s="3" t="s">
        <v>1296</v>
      </c>
      <c r="C403">
        <v>63</v>
      </c>
      <c r="D403" t="s">
        <v>27</v>
      </c>
      <c r="E403" t="s">
        <v>29</v>
      </c>
      <c r="F403" t="s">
        <v>28</v>
      </c>
      <c r="G403" t="s">
        <v>29</v>
      </c>
      <c r="H403">
        <v>6</v>
      </c>
      <c r="I403" t="s">
        <v>30</v>
      </c>
      <c r="J403" t="s">
        <v>1297</v>
      </c>
      <c r="K403" t="s">
        <v>1298</v>
      </c>
      <c r="M403" s="4" t="s">
        <v>34</v>
      </c>
      <c r="N403" t="s">
        <v>95</v>
      </c>
      <c r="P403" s="3" t="s">
        <v>36</v>
      </c>
      <c r="Q403" s="3" t="s">
        <v>90</v>
      </c>
      <c r="R403">
        <v>1</v>
      </c>
      <c r="S403" s="5">
        <v>45715</v>
      </c>
      <c r="T403" t="s">
        <v>38</v>
      </c>
      <c r="U403">
        <f t="shared" ca="1" si="36"/>
        <v>10</v>
      </c>
      <c r="V403" s="6">
        <f t="shared" ca="1" si="37"/>
        <v>46012</v>
      </c>
      <c r="W403" s="6">
        <f t="shared" ca="1" si="38"/>
        <v>46018</v>
      </c>
      <c r="X403" t="str">
        <f t="shared" ca="1" si="39"/>
        <v>Dec 21 to Dec 27</v>
      </c>
      <c r="Y403" t="str">
        <f t="shared" ca="1" si="40"/>
        <v>🔵 NEXT 2 WEEKS</v>
      </c>
      <c r="Z403" t="str">
        <f t="shared" ca="1" si="41"/>
        <v>Send reminder SMS</v>
      </c>
    </row>
    <row r="404" spans="1:26">
      <c r="A404">
        <v>1013769391</v>
      </c>
      <c r="B404" s="3" t="s">
        <v>1299</v>
      </c>
      <c r="C404">
        <v>66</v>
      </c>
      <c r="D404" t="s">
        <v>47</v>
      </c>
      <c r="E404" t="s">
        <v>29</v>
      </c>
      <c r="F404" t="s">
        <v>28</v>
      </c>
      <c r="G404" t="s">
        <v>28</v>
      </c>
      <c r="H404">
        <v>4</v>
      </c>
      <c r="I404" t="s">
        <v>66</v>
      </c>
      <c r="J404" t="s">
        <v>1300</v>
      </c>
      <c r="K404" t="s">
        <v>1301</v>
      </c>
      <c r="M404" s="4" t="s">
        <v>34</v>
      </c>
      <c r="N404" t="s">
        <v>148</v>
      </c>
      <c r="P404" s="3" t="s">
        <v>36</v>
      </c>
      <c r="Q404" s="3" t="s">
        <v>84</v>
      </c>
      <c r="R404">
        <v>2</v>
      </c>
      <c r="S404" s="5">
        <v>45427</v>
      </c>
      <c r="T404" t="s">
        <v>38</v>
      </c>
      <c r="U404">
        <f t="shared" ca="1" si="36"/>
        <v>22</v>
      </c>
      <c r="V404" s="6">
        <f t="shared" ca="1" si="37"/>
        <v>46024</v>
      </c>
      <c r="W404" s="6">
        <f t="shared" ca="1" si="38"/>
        <v>46030</v>
      </c>
      <c r="X404" t="str">
        <f t="shared" ca="1" si="39"/>
        <v>Jan 2 to Jan 8</v>
      </c>
      <c r="Y404" t="str">
        <f t="shared" ca="1" si="40"/>
        <v>⚪ SCHEDULED</v>
      </c>
      <c r="Z404" t="str">
        <f t="shared" ca="1" si="41"/>
        <v>No action needed yet</v>
      </c>
    </row>
    <row r="405" spans="1:26">
      <c r="A405">
        <v>1013815194</v>
      </c>
      <c r="B405" s="3" t="s">
        <v>1302</v>
      </c>
      <c r="C405">
        <v>74</v>
      </c>
      <c r="D405" t="s">
        <v>27</v>
      </c>
      <c r="E405" t="s">
        <v>29</v>
      </c>
      <c r="F405" t="s">
        <v>28</v>
      </c>
      <c r="G405" t="s">
        <v>28</v>
      </c>
      <c r="H405">
        <v>5</v>
      </c>
      <c r="I405" t="s">
        <v>30</v>
      </c>
      <c r="J405" t="s">
        <v>1303</v>
      </c>
      <c r="K405" t="s">
        <v>1304</v>
      </c>
      <c r="L405" t="s">
        <v>170</v>
      </c>
      <c r="M405" s="4" t="s">
        <v>34</v>
      </c>
      <c r="N405" t="s">
        <v>162</v>
      </c>
      <c r="P405" s="3" t="s">
        <v>36</v>
      </c>
      <c r="Q405" s="3" t="s">
        <v>84</v>
      </c>
      <c r="R405">
        <v>1</v>
      </c>
      <c r="S405" s="5">
        <v>45412</v>
      </c>
      <c r="T405" t="s">
        <v>38</v>
      </c>
      <c r="U405">
        <f t="shared" ca="1" si="36"/>
        <v>7</v>
      </c>
      <c r="V405" s="6">
        <f t="shared" ca="1" si="37"/>
        <v>46009</v>
      </c>
      <c r="W405" s="6">
        <f t="shared" ca="1" si="38"/>
        <v>46015</v>
      </c>
      <c r="X405" t="str">
        <f t="shared" ca="1" si="39"/>
        <v>Dec 18 to Dec 24</v>
      </c>
      <c r="Y405" t="str">
        <f t="shared" ca="1" si="40"/>
        <v>🟢 THIS WEEK</v>
      </c>
      <c r="Z405" t="str">
        <f t="shared" ca="1" si="41"/>
        <v>Confirm appointment</v>
      </c>
    </row>
    <row r="406" spans="1:26">
      <c r="A406">
        <v>1013855281</v>
      </c>
      <c r="B406" s="3" t="s">
        <v>1305</v>
      </c>
      <c r="C406">
        <v>74</v>
      </c>
      <c r="D406" t="s">
        <v>47</v>
      </c>
      <c r="E406" t="s">
        <v>29</v>
      </c>
      <c r="F406" t="s">
        <v>29</v>
      </c>
      <c r="G406" t="s">
        <v>29</v>
      </c>
      <c r="H406">
        <v>8</v>
      </c>
      <c r="I406" t="s">
        <v>30</v>
      </c>
      <c r="J406" t="s">
        <v>1306</v>
      </c>
      <c r="K406" t="s">
        <v>1307</v>
      </c>
      <c r="L406" t="s">
        <v>155</v>
      </c>
      <c r="M406" s="4" t="s">
        <v>34</v>
      </c>
      <c r="N406" t="s">
        <v>76</v>
      </c>
      <c r="P406" s="3" t="s">
        <v>36</v>
      </c>
      <c r="Q406" s="3" t="s">
        <v>84</v>
      </c>
      <c r="R406">
        <v>1</v>
      </c>
      <c r="S406" s="5">
        <v>45814</v>
      </c>
      <c r="T406" t="s">
        <v>38</v>
      </c>
      <c r="U406">
        <f t="shared" ca="1" si="36"/>
        <v>19</v>
      </c>
      <c r="V406" s="6">
        <f t="shared" ca="1" si="37"/>
        <v>46021</v>
      </c>
      <c r="W406" s="6">
        <f t="shared" ca="1" si="38"/>
        <v>46027</v>
      </c>
      <c r="X406" t="str">
        <f t="shared" ca="1" si="39"/>
        <v>Dec 30 to Jan 5</v>
      </c>
      <c r="Y406" t="str">
        <f t="shared" ca="1" si="40"/>
        <v>⚪ SCHEDULED</v>
      </c>
      <c r="Z406" t="str">
        <f t="shared" ca="1" si="41"/>
        <v>No action needed yet</v>
      </c>
    </row>
    <row r="407" spans="1:26">
      <c r="A407">
        <v>1014243552</v>
      </c>
      <c r="B407" s="3" t="s">
        <v>1308</v>
      </c>
      <c r="C407">
        <v>56</v>
      </c>
      <c r="D407" t="s">
        <v>47</v>
      </c>
      <c r="E407" t="s">
        <v>28</v>
      </c>
      <c r="F407" t="s">
        <v>29</v>
      </c>
      <c r="G407" t="s">
        <v>28</v>
      </c>
      <c r="H407">
        <v>3</v>
      </c>
      <c r="I407" t="s">
        <v>66</v>
      </c>
      <c r="J407" t="s">
        <v>1309</v>
      </c>
      <c r="K407" t="s">
        <v>1310</v>
      </c>
      <c r="L407" t="s">
        <v>428</v>
      </c>
      <c r="M407" s="4" t="s">
        <v>94</v>
      </c>
      <c r="N407" t="s">
        <v>70</v>
      </c>
      <c r="P407" s="3" t="s">
        <v>36</v>
      </c>
      <c r="Q407" s="3" t="s">
        <v>84</v>
      </c>
      <c r="R407">
        <v>2</v>
      </c>
      <c r="S407" s="5">
        <v>45960</v>
      </c>
      <c r="T407" t="s">
        <v>38</v>
      </c>
      <c r="U407">
        <f t="shared" ca="1" si="36"/>
        <v>15</v>
      </c>
      <c r="V407" s="6">
        <f t="shared" ca="1" si="37"/>
        <v>46017</v>
      </c>
      <c r="W407" s="6">
        <f t="shared" ca="1" si="38"/>
        <v>46023</v>
      </c>
      <c r="X407" t="str">
        <f t="shared" ca="1" si="39"/>
        <v>Dec 26 to Jan 1</v>
      </c>
      <c r="Y407" t="str">
        <f t="shared" ca="1" si="40"/>
        <v>⚪ SCHEDULED</v>
      </c>
      <c r="Z407" t="str">
        <f t="shared" ca="1" si="41"/>
        <v>No action needed yet</v>
      </c>
    </row>
    <row r="408" spans="1:26">
      <c r="A408">
        <v>1014258618</v>
      </c>
      <c r="B408" s="3" t="s">
        <v>1311</v>
      </c>
      <c r="C408">
        <v>59</v>
      </c>
      <c r="D408" t="s">
        <v>27</v>
      </c>
      <c r="E408" t="s">
        <v>28</v>
      </c>
      <c r="F408" t="s">
        <v>29</v>
      </c>
      <c r="G408" t="s">
        <v>29</v>
      </c>
      <c r="H408">
        <v>5</v>
      </c>
      <c r="I408" t="s">
        <v>30</v>
      </c>
      <c r="J408" t="s">
        <v>253</v>
      </c>
      <c r="K408" t="s">
        <v>1312</v>
      </c>
      <c r="L408" t="s">
        <v>33</v>
      </c>
      <c r="M408" s="4" t="s">
        <v>43</v>
      </c>
      <c r="N408" t="s">
        <v>35</v>
      </c>
      <c r="P408" s="3" t="s">
        <v>36</v>
      </c>
      <c r="Q408" s="3" t="s">
        <v>84</v>
      </c>
      <c r="R408">
        <v>2</v>
      </c>
      <c r="S408" s="5">
        <v>45892</v>
      </c>
      <c r="T408" t="s">
        <v>38</v>
      </c>
      <c r="U408">
        <f t="shared" ca="1" si="36"/>
        <v>7</v>
      </c>
      <c r="V408" s="6">
        <f t="shared" ca="1" si="37"/>
        <v>46009</v>
      </c>
      <c r="W408" s="6">
        <f t="shared" ca="1" si="38"/>
        <v>46015</v>
      </c>
      <c r="X408" t="str">
        <f t="shared" ca="1" si="39"/>
        <v>Dec 18 to Dec 24</v>
      </c>
      <c r="Y408" t="str">
        <f t="shared" ca="1" si="40"/>
        <v>🟢 THIS WEEK</v>
      </c>
      <c r="Z408" t="str">
        <f t="shared" ca="1" si="41"/>
        <v>Confirm appointment</v>
      </c>
    </row>
    <row r="409" spans="1:26">
      <c r="A409">
        <v>1014298994</v>
      </c>
      <c r="B409" s="3" t="s">
        <v>1313</v>
      </c>
      <c r="C409">
        <v>50</v>
      </c>
      <c r="D409" t="s">
        <v>47</v>
      </c>
      <c r="E409" t="s">
        <v>28</v>
      </c>
      <c r="F409" t="s">
        <v>29</v>
      </c>
      <c r="G409" t="s">
        <v>28</v>
      </c>
      <c r="H409">
        <v>4</v>
      </c>
      <c r="I409" t="s">
        <v>66</v>
      </c>
      <c r="J409" t="s">
        <v>1314</v>
      </c>
      <c r="K409" t="s">
        <v>1315</v>
      </c>
      <c r="M409" s="4" t="s">
        <v>34</v>
      </c>
      <c r="N409" t="s">
        <v>64</v>
      </c>
      <c r="P409" s="3" t="s">
        <v>36</v>
      </c>
      <c r="Q409" s="3" t="s">
        <v>1316</v>
      </c>
      <c r="R409">
        <v>1</v>
      </c>
      <c r="S409" s="5">
        <v>45757</v>
      </c>
      <c r="T409" t="s">
        <v>38</v>
      </c>
      <c r="U409">
        <f t="shared" ca="1" si="36"/>
        <v>22</v>
      </c>
      <c r="V409" s="6">
        <f t="shared" ca="1" si="37"/>
        <v>46024</v>
      </c>
      <c r="W409" s="6">
        <f t="shared" ca="1" si="38"/>
        <v>46030</v>
      </c>
      <c r="X409" t="str">
        <f t="shared" ca="1" si="39"/>
        <v>Jan 2 to Jan 8</v>
      </c>
      <c r="Y409" t="str">
        <f t="shared" ca="1" si="40"/>
        <v>⚪ SCHEDULED</v>
      </c>
      <c r="Z409" t="str">
        <f t="shared" ca="1" si="41"/>
        <v>No action needed yet</v>
      </c>
    </row>
    <row r="410" spans="1:26">
      <c r="A410">
        <v>1014366965</v>
      </c>
      <c r="B410" s="3" t="s">
        <v>1317</v>
      </c>
      <c r="C410">
        <v>63</v>
      </c>
      <c r="D410" t="s">
        <v>47</v>
      </c>
      <c r="E410" t="s">
        <v>29</v>
      </c>
      <c r="F410" t="s">
        <v>29</v>
      </c>
      <c r="G410" t="s">
        <v>29</v>
      </c>
      <c r="H410">
        <v>7</v>
      </c>
      <c r="I410" t="s">
        <v>30</v>
      </c>
      <c r="J410" t="s">
        <v>1318</v>
      </c>
      <c r="K410" t="s">
        <v>1319</v>
      </c>
      <c r="L410" t="s">
        <v>135</v>
      </c>
      <c r="M410" s="4" t="s">
        <v>34</v>
      </c>
      <c r="N410" t="s">
        <v>558</v>
      </c>
      <c r="P410" s="3" t="s">
        <v>36</v>
      </c>
      <c r="Q410" s="3" t="s">
        <v>84</v>
      </c>
      <c r="R410">
        <v>1</v>
      </c>
      <c r="S410" s="5">
        <v>45825</v>
      </c>
      <c r="T410" t="s">
        <v>38</v>
      </c>
      <c r="U410">
        <f t="shared" ca="1" si="36"/>
        <v>0</v>
      </c>
      <c r="V410" s="6">
        <f t="shared" ca="1" si="37"/>
        <v>46002</v>
      </c>
      <c r="W410" s="6">
        <f t="shared" ca="1" si="38"/>
        <v>46008</v>
      </c>
      <c r="X410" t="str">
        <f t="shared" ca="1" si="39"/>
        <v>Dec 11 to Dec 17</v>
      </c>
      <c r="Y410" t="str">
        <f t="shared" ca="1" si="40"/>
        <v>🟡 IMMINENT (within 3 days)</v>
      </c>
      <c r="Z410" t="str">
        <f t="shared" ca="1" si="41"/>
        <v>Prepare medications TODAY</v>
      </c>
    </row>
    <row r="411" spans="1:26">
      <c r="A411">
        <v>1014419723</v>
      </c>
      <c r="B411" s="3" t="s">
        <v>1320</v>
      </c>
      <c r="C411">
        <v>48</v>
      </c>
      <c r="D411" t="s">
        <v>47</v>
      </c>
      <c r="E411" t="s">
        <v>28</v>
      </c>
      <c r="F411" t="s">
        <v>28</v>
      </c>
      <c r="G411" t="s">
        <v>29</v>
      </c>
      <c r="H411">
        <v>2</v>
      </c>
      <c r="I411" t="s">
        <v>55</v>
      </c>
      <c r="J411" t="s">
        <v>112</v>
      </c>
      <c r="K411" t="s">
        <v>1321</v>
      </c>
      <c r="L411" t="s">
        <v>114</v>
      </c>
      <c r="M411" s="4" t="s">
        <v>34</v>
      </c>
      <c r="N411" t="s">
        <v>140</v>
      </c>
      <c r="P411" s="3" t="s">
        <v>36</v>
      </c>
      <c r="Q411" s="3" t="s">
        <v>84</v>
      </c>
      <c r="R411">
        <v>2</v>
      </c>
      <c r="S411" s="5">
        <v>45656</v>
      </c>
      <c r="T411" t="s">
        <v>60</v>
      </c>
      <c r="U411">
        <f t="shared" ca="1" si="36"/>
        <v>11</v>
      </c>
      <c r="V411" s="6">
        <f t="shared" ca="1" si="37"/>
        <v>46013</v>
      </c>
      <c r="W411" s="6">
        <f t="shared" ca="1" si="38"/>
        <v>46019</v>
      </c>
      <c r="X411" t="str">
        <f t="shared" ca="1" si="39"/>
        <v>Dec 22 to Dec 28</v>
      </c>
      <c r="Y411" t="str">
        <f t="shared" ca="1" si="40"/>
        <v>🔵 NEXT 2 WEEKS</v>
      </c>
      <c r="Z411" t="str">
        <f t="shared" ca="1" si="41"/>
        <v>Send reminder SMS</v>
      </c>
    </row>
    <row r="412" spans="1:26">
      <c r="A412">
        <v>1014486011</v>
      </c>
      <c r="B412" s="3" t="s">
        <v>1322</v>
      </c>
      <c r="C412">
        <v>56</v>
      </c>
      <c r="D412" t="s">
        <v>47</v>
      </c>
      <c r="E412" t="s">
        <v>29</v>
      </c>
      <c r="F412" t="s">
        <v>28</v>
      </c>
      <c r="G412" t="s">
        <v>28</v>
      </c>
      <c r="H412">
        <v>3</v>
      </c>
      <c r="I412" t="s">
        <v>66</v>
      </c>
      <c r="J412" t="s">
        <v>278</v>
      </c>
      <c r="K412" t="s">
        <v>1323</v>
      </c>
      <c r="L412" t="s">
        <v>170</v>
      </c>
      <c r="M412" s="4" t="s">
        <v>43</v>
      </c>
      <c r="N412" t="s">
        <v>162</v>
      </c>
      <c r="P412" s="3" t="s">
        <v>36</v>
      </c>
      <c r="Q412" s="3" t="s">
        <v>858</v>
      </c>
      <c r="R412">
        <v>1</v>
      </c>
      <c r="S412" s="5">
        <v>45868</v>
      </c>
      <c r="T412" t="s">
        <v>38</v>
      </c>
      <c r="U412">
        <f t="shared" ca="1" si="36"/>
        <v>13</v>
      </c>
      <c r="V412" s="6">
        <f t="shared" ca="1" si="37"/>
        <v>46015</v>
      </c>
      <c r="W412" s="6">
        <f t="shared" ca="1" si="38"/>
        <v>46021</v>
      </c>
      <c r="X412" t="str">
        <f t="shared" ca="1" si="39"/>
        <v>Dec 24 to Dec 30</v>
      </c>
      <c r="Y412" t="str">
        <f t="shared" ca="1" si="40"/>
        <v>🔵 NEXT 2 WEEKS</v>
      </c>
      <c r="Z412" t="str">
        <f t="shared" ca="1" si="41"/>
        <v>Send reminder SMS</v>
      </c>
    </row>
    <row r="413" spans="1:26">
      <c r="A413">
        <v>1014532517</v>
      </c>
      <c r="B413" s="3" t="s">
        <v>1324</v>
      </c>
      <c r="C413">
        <v>66</v>
      </c>
      <c r="D413" t="s">
        <v>47</v>
      </c>
      <c r="E413" t="s">
        <v>29</v>
      </c>
      <c r="F413" t="s">
        <v>29</v>
      </c>
      <c r="G413" t="s">
        <v>28</v>
      </c>
      <c r="H413">
        <v>5</v>
      </c>
      <c r="I413" t="s">
        <v>30</v>
      </c>
      <c r="J413" t="s">
        <v>1325</v>
      </c>
      <c r="K413" t="s">
        <v>1326</v>
      </c>
      <c r="L413" t="s">
        <v>58</v>
      </c>
      <c r="M413" s="4" t="s">
        <v>94</v>
      </c>
      <c r="N413" t="s">
        <v>119</v>
      </c>
      <c r="P413" s="3" t="s">
        <v>36</v>
      </c>
      <c r="Q413" s="3" t="s">
        <v>84</v>
      </c>
      <c r="R413">
        <v>2</v>
      </c>
      <c r="S413" s="5">
        <v>45940</v>
      </c>
      <c r="T413" t="s">
        <v>38</v>
      </c>
      <c r="U413">
        <f t="shared" ca="1" si="36"/>
        <v>25</v>
      </c>
      <c r="V413" s="6">
        <f t="shared" ca="1" si="37"/>
        <v>46027</v>
      </c>
      <c r="W413" s="6">
        <f t="shared" ca="1" si="38"/>
        <v>46033</v>
      </c>
      <c r="X413" t="str">
        <f t="shared" ca="1" si="39"/>
        <v>Jan 5 to Jan 11</v>
      </c>
      <c r="Y413" t="str">
        <f t="shared" ca="1" si="40"/>
        <v>⚪ SCHEDULED</v>
      </c>
      <c r="Z413" t="str">
        <f t="shared" ca="1" si="41"/>
        <v>No action needed yet</v>
      </c>
    </row>
    <row r="414" spans="1:26">
      <c r="A414">
        <v>1014543183</v>
      </c>
      <c r="B414" s="3" t="s">
        <v>1327</v>
      </c>
      <c r="C414">
        <v>69</v>
      </c>
      <c r="D414" t="s">
        <v>47</v>
      </c>
      <c r="E414" t="s">
        <v>28</v>
      </c>
      <c r="F414" t="s">
        <v>29</v>
      </c>
      <c r="G414" t="s">
        <v>28</v>
      </c>
      <c r="H414">
        <v>4</v>
      </c>
      <c r="I414" t="s">
        <v>66</v>
      </c>
      <c r="J414" t="s">
        <v>1328</v>
      </c>
      <c r="K414" t="s">
        <v>1329</v>
      </c>
      <c r="M414" s="4" t="s">
        <v>34</v>
      </c>
      <c r="N414" t="s">
        <v>64</v>
      </c>
      <c r="P414" s="3" t="s">
        <v>36</v>
      </c>
      <c r="Q414" s="3" t="s">
        <v>381</v>
      </c>
      <c r="R414">
        <v>1</v>
      </c>
      <c r="S414" s="5">
        <v>45700</v>
      </c>
      <c r="T414" t="s">
        <v>38</v>
      </c>
      <c r="U414">
        <f t="shared" ca="1" si="36"/>
        <v>25</v>
      </c>
      <c r="V414" s="6">
        <f t="shared" ca="1" si="37"/>
        <v>46027</v>
      </c>
      <c r="W414" s="6">
        <f t="shared" ca="1" si="38"/>
        <v>46033</v>
      </c>
      <c r="X414" t="str">
        <f t="shared" ca="1" si="39"/>
        <v>Jan 5 to Jan 11</v>
      </c>
      <c r="Y414" t="str">
        <f t="shared" ca="1" si="40"/>
        <v>⚪ SCHEDULED</v>
      </c>
      <c r="Z414" t="str">
        <f t="shared" ca="1" si="41"/>
        <v>No action needed yet</v>
      </c>
    </row>
    <row r="415" spans="1:26">
      <c r="A415">
        <v>1014586844</v>
      </c>
      <c r="B415" s="3" t="s">
        <v>1330</v>
      </c>
      <c r="C415">
        <v>50</v>
      </c>
      <c r="D415" t="s">
        <v>27</v>
      </c>
      <c r="E415" t="s">
        <v>29</v>
      </c>
      <c r="F415" t="s">
        <v>29</v>
      </c>
      <c r="G415" t="s">
        <v>29</v>
      </c>
      <c r="H415">
        <v>6</v>
      </c>
      <c r="I415" t="s">
        <v>30</v>
      </c>
      <c r="J415" t="s">
        <v>1331</v>
      </c>
      <c r="K415" t="s">
        <v>1332</v>
      </c>
      <c r="M415" s="4" t="s">
        <v>43</v>
      </c>
      <c r="N415" t="s">
        <v>44</v>
      </c>
      <c r="P415" s="3" t="s">
        <v>36</v>
      </c>
      <c r="Q415" s="3" t="s">
        <v>313</v>
      </c>
      <c r="R415">
        <v>2</v>
      </c>
      <c r="S415" s="5">
        <v>45882</v>
      </c>
      <c r="T415" t="s">
        <v>38</v>
      </c>
      <c r="U415">
        <f t="shared" ca="1" si="36"/>
        <v>27</v>
      </c>
      <c r="V415" s="6">
        <f t="shared" ca="1" si="37"/>
        <v>46029</v>
      </c>
      <c r="W415" s="6">
        <f t="shared" ca="1" si="38"/>
        <v>46035</v>
      </c>
      <c r="X415" t="str">
        <f t="shared" ca="1" si="39"/>
        <v>Jan 7 to Jan 13</v>
      </c>
      <c r="Y415" t="str">
        <f t="shared" ca="1" si="40"/>
        <v>⚪ SCHEDULED</v>
      </c>
      <c r="Z415" t="str">
        <f t="shared" ca="1" si="41"/>
        <v>No action needed yet</v>
      </c>
    </row>
    <row r="416" spans="1:26">
      <c r="A416">
        <v>1014607640</v>
      </c>
      <c r="B416" s="3" t="s">
        <v>1333</v>
      </c>
      <c r="C416">
        <v>54</v>
      </c>
      <c r="D416" t="s">
        <v>47</v>
      </c>
      <c r="E416" t="s">
        <v>28</v>
      </c>
      <c r="F416" t="s">
        <v>29</v>
      </c>
      <c r="G416" t="s">
        <v>28</v>
      </c>
      <c r="H416">
        <v>3</v>
      </c>
      <c r="I416" t="s">
        <v>66</v>
      </c>
      <c r="J416" t="s">
        <v>1334</v>
      </c>
      <c r="K416" t="s">
        <v>1335</v>
      </c>
      <c r="M416" s="4" t="s">
        <v>43</v>
      </c>
      <c r="N416" t="s">
        <v>64</v>
      </c>
      <c r="P416" s="3" t="s">
        <v>36</v>
      </c>
      <c r="Q416" s="3" t="s">
        <v>107</v>
      </c>
      <c r="R416">
        <v>1</v>
      </c>
      <c r="S416" s="5">
        <v>45861</v>
      </c>
      <c r="T416" t="s">
        <v>38</v>
      </c>
      <c r="U416">
        <f t="shared" ca="1" si="36"/>
        <v>6</v>
      </c>
      <c r="V416" s="6">
        <f t="shared" ca="1" si="37"/>
        <v>46008</v>
      </c>
      <c r="W416" s="6">
        <f t="shared" ca="1" si="38"/>
        <v>46014</v>
      </c>
      <c r="X416" t="str">
        <f t="shared" ca="1" si="39"/>
        <v>Dec 17 to Dec 23</v>
      </c>
      <c r="Y416" t="str">
        <f t="shared" ca="1" si="40"/>
        <v>🟢 THIS WEEK</v>
      </c>
      <c r="Z416" t="str">
        <f t="shared" ca="1" si="41"/>
        <v>Confirm appointment</v>
      </c>
    </row>
    <row r="417" spans="1:26">
      <c r="A417">
        <v>1014660599</v>
      </c>
      <c r="B417" s="3" t="s">
        <v>1336</v>
      </c>
      <c r="C417">
        <v>66</v>
      </c>
      <c r="D417" t="s">
        <v>47</v>
      </c>
      <c r="E417" t="s">
        <v>29</v>
      </c>
      <c r="F417" t="s">
        <v>29</v>
      </c>
      <c r="G417" t="s">
        <v>29</v>
      </c>
      <c r="H417">
        <v>7</v>
      </c>
      <c r="I417" t="s">
        <v>30</v>
      </c>
      <c r="J417" t="s">
        <v>1337</v>
      </c>
      <c r="K417" t="s">
        <v>1338</v>
      </c>
      <c r="L417" t="s">
        <v>135</v>
      </c>
      <c r="M417" s="4" t="s">
        <v>34</v>
      </c>
      <c r="N417" t="s">
        <v>558</v>
      </c>
      <c r="P417" s="3" t="s">
        <v>36</v>
      </c>
      <c r="Q417" s="3" t="s">
        <v>1339</v>
      </c>
      <c r="R417">
        <v>2</v>
      </c>
      <c r="S417" s="5">
        <v>45279</v>
      </c>
      <c r="T417" t="s">
        <v>38</v>
      </c>
      <c r="U417">
        <f t="shared" ca="1" si="36"/>
        <v>24</v>
      </c>
      <c r="V417" s="6">
        <f t="shared" ca="1" si="37"/>
        <v>46026</v>
      </c>
      <c r="W417" s="6">
        <f t="shared" ca="1" si="38"/>
        <v>46032</v>
      </c>
      <c r="X417" t="str">
        <f t="shared" ca="1" si="39"/>
        <v>Jan 4 to Jan 10</v>
      </c>
      <c r="Y417" t="str">
        <f t="shared" ca="1" si="40"/>
        <v>⚪ SCHEDULED</v>
      </c>
      <c r="Z417" t="str">
        <f t="shared" ca="1" si="41"/>
        <v>No action needed yet</v>
      </c>
    </row>
    <row r="418" spans="1:26">
      <c r="A418">
        <v>1014666729</v>
      </c>
      <c r="B418" s="3" t="s">
        <v>1340</v>
      </c>
      <c r="C418">
        <v>59</v>
      </c>
      <c r="D418" t="s">
        <v>47</v>
      </c>
      <c r="E418" t="s">
        <v>29</v>
      </c>
      <c r="F418" t="s">
        <v>28</v>
      </c>
      <c r="G418" t="s">
        <v>28</v>
      </c>
      <c r="H418">
        <v>3</v>
      </c>
      <c r="I418" t="s">
        <v>66</v>
      </c>
      <c r="J418" t="s">
        <v>1341</v>
      </c>
      <c r="K418" t="s">
        <v>1342</v>
      </c>
      <c r="L418" t="s">
        <v>208</v>
      </c>
      <c r="M418" s="4" t="s">
        <v>34</v>
      </c>
      <c r="N418" t="s">
        <v>162</v>
      </c>
      <c r="P418" s="3" t="s">
        <v>36</v>
      </c>
      <c r="Q418" s="3" t="s">
        <v>84</v>
      </c>
      <c r="R418">
        <v>2</v>
      </c>
      <c r="S418" s="5">
        <v>45808</v>
      </c>
      <c r="T418" t="s">
        <v>38</v>
      </c>
      <c r="U418">
        <f t="shared" ca="1" si="36"/>
        <v>13</v>
      </c>
      <c r="V418" s="6">
        <f t="shared" ca="1" si="37"/>
        <v>46015</v>
      </c>
      <c r="W418" s="6">
        <f t="shared" ca="1" si="38"/>
        <v>46021</v>
      </c>
      <c r="X418" t="str">
        <f t="shared" ca="1" si="39"/>
        <v>Dec 24 to Dec 30</v>
      </c>
      <c r="Y418" t="str">
        <f t="shared" ca="1" si="40"/>
        <v>🔵 NEXT 2 WEEKS</v>
      </c>
      <c r="Z418" t="str">
        <f t="shared" ca="1" si="41"/>
        <v>Send reminder SMS</v>
      </c>
    </row>
    <row r="419" spans="1:26">
      <c r="A419">
        <v>1014666737</v>
      </c>
      <c r="B419" s="3" t="s">
        <v>1343</v>
      </c>
      <c r="C419">
        <v>64</v>
      </c>
      <c r="D419" t="s">
        <v>27</v>
      </c>
      <c r="E419" t="s">
        <v>29</v>
      </c>
      <c r="F419" t="s">
        <v>29</v>
      </c>
      <c r="G419" t="s">
        <v>29</v>
      </c>
      <c r="H419">
        <v>7</v>
      </c>
      <c r="I419" t="s">
        <v>30</v>
      </c>
      <c r="J419" t="s">
        <v>1344</v>
      </c>
      <c r="K419" t="s">
        <v>1345</v>
      </c>
      <c r="L419" t="s">
        <v>170</v>
      </c>
      <c r="M419" s="4" t="s">
        <v>34</v>
      </c>
      <c r="N419" t="s">
        <v>171</v>
      </c>
      <c r="P419" s="3" t="s">
        <v>36</v>
      </c>
      <c r="Q419" s="3" t="s">
        <v>90</v>
      </c>
      <c r="R419">
        <v>1</v>
      </c>
      <c r="S419" s="5">
        <v>45757</v>
      </c>
      <c r="T419" t="s">
        <v>38</v>
      </c>
      <c r="U419">
        <f t="shared" ca="1" si="36"/>
        <v>22</v>
      </c>
      <c r="V419" s="6">
        <f t="shared" ca="1" si="37"/>
        <v>46024</v>
      </c>
      <c r="W419" s="6">
        <f t="shared" ca="1" si="38"/>
        <v>46030</v>
      </c>
      <c r="X419" t="str">
        <f t="shared" ca="1" si="39"/>
        <v>Jan 2 to Jan 8</v>
      </c>
      <c r="Y419" t="str">
        <f t="shared" ca="1" si="40"/>
        <v>⚪ SCHEDULED</v>
      </c>
      <c r="Z419" t="str">
        <f t="shared" ca="1" si="41"/>
        <v>No action needed yet</v>
      </c>
    </row>
    <row r="420" spans="1:26">
      <c r="A420">
        <v>1014829152</v>
      </c>
      <c r="B420" s="3" t="s">
        <v>1346</v>
      </c>
      <c r="C420">
        <v>73</v>
      </c>
      <c r="D420" t="s">
        <v>27</v>
      </c>
      <c r="E420" t="s">
        <v>29</v>
      </c>
      <c r="F420" t="s">
        <v>29</v>
      </c>
      <c r="G420" t="s">
        <v>28</v>
      </c>
      <c r="H420">
        <v>7</v>
      </c>
      <c r="I420" t="s">
        <v>30</v>
      </c>
      <c r="J420" t="s">
        <v>1347</v>
      </c>
      <c r="K420" t="s">
        <v>1348</v>
      </c>
      <c r="L420" t="s">
        <v>186</v>
      </c>
      <c r="M420" s="4" t="s">
        <v>94</v>
      </c>
      <c r="N420" t="s">
        <v>144</v>
      </c>
      <c r="P420" s="3" t="s">
        <v>36</v>
      </c>
      <c r="Q420" s="3" t="s">
        <v>84</v>
      </c>
      <c r="R420">
        <v>1</v>
      </c>
      <c r="S420" s="5">
        <v>45951</v>
      </c>
      <c r="T420" t="s">
        <v>38</v>
      </c>
      <c r="U420">
        <f t="shared" ca="1" si="36"/>
        <v>6</v>
      </c>
      <c r="V420" s="6">
        <f t="shared" ca="1" si="37"/>
        <v>46008</v>
      </c>
      <c r="W420" s="6">
        <f t="shared" ca="1" si="38"/>
        <v>46014</v>
      </c>
      <c r="X420" t="str">
        <f t="shared" ca="1" si="39"/>
        <v>Dec 17 to Dec 23</v>
      </c>
      <c r="Y420" t="str">
        <f t="shared" ca="1" si="40"/>
        <v>🟢 THIS WEEK</v>
      </c>
      <c r="Z420" t="str">
        <f t="shared" ca="1" si="41"/>
        <v>Confirm appointment</v>
      </c>
    </row>
    <row r="421" spans="1:26">
      <c r="A421">
        <v>1014843443</v>
      </c>
      <c r="B421" s="3" t="s">
        <v>1349</v>
      </c>
      <c r="C421">
        <v>58</v>
      </c>
      <c r="D421" t="s">
        <v>47</v>
      </c>
      <c r="E421" t="s">
        <v>29</v>
      </c>
      <c r="F421" t="s">
        <v>29</v>
      </c>
      <c r="G421" t="s">
        <v>28</v>
      </c>
      <c r="H421">
        <v>4</v>
      </c>
      <c r="I421" t="s">
        <v>66</v>
      </c>
      <c r="J421" t="s">
        <v>1350</v>
      </c>
      <c r="K421" t="s">
        <v>1351</v>
      </c>
      <c r="L421" t="s">
        <v>105</v>
      </c>
      <c r="M421" s="4" t="s">
        <v>94</v>
      </c>
      <c r="N421" t="s">
        <v>106</v>
      </c>
      <c r="P421" s="3" t="s">
        <v>36</v>
      </c>
      <c r="Q421" s="3" t="s">
        <v>107</v>
      </c>
      <c r="R421">
        <v>2</v>
      </c>
      <c r="S421" s="5">
        <v>45932</v>
      </c>
      <c r="T421" t="s">
        <v>38</v>
      </c>
      <c r="U421">
        <f t="shared" ca="1" si="36"/>
        <v>17</v>
      </c>
      <c r="V421" s="6">
        <f t="shared" ca="1" si="37"/>
        <v>46019</v>
      </c>
      <c r="W421" s="6">
        <f t="shared" ca="1" si="38"/>
        <v>46025</v>
      </c>
      <c r="X421" t="str">
        <f t="shared" ca="1" si="39"/>
        <v>Dec 28 to Jan 3</v>
      </c>
      <c r="Y421" t="str">
        <f t="shared" ca="1" si="40"/>
        <v>⚪ SCHEDULED</v>
      </c>
      <c r="Z421" t="str">
        <f t="shared" ca="1" si="41"/>
        <v>No action needed yet</v>
      </c>
    </row>
    <row r="422" spans="1:26">
      <c r="A422">
        <v>1014870107</v>
      </c>
      <c r="B422" s="3" t="s">
        <v>1352</v>
      </c>
      <c r="C422">
        <v>51</v>
      </c>
      <c r="D422" t="s">
        <v>47</v>
      </c>
      <c r="E422" t="s">
        <v>29</v>
      </c>
      <c r="F422" t="s">
        <v>28</v>
      </c>
      <c r="G422" t="s">
        <v>28</v>
      </c>
      <c r="H422">
        <v>3</v>
      </c>
      <c r="I422" t="s">
        <v>66</v>
      </c>
      <c r="J422" t="s">
        <v>1353</v>
      </c>
      <c r="K422" t="s">
        <v>1354</v>
      </c>
      <c r="L422" t="s">
        <v>105</v>
      </c>
      <c r="M422" s="4" t="s">
        <v>43</v>
      </c>
      <c r="N422" t="s">
        <v>162</v>
      </c>
      <c r="P422" s="3" t="s">
        <v>36</v>
      </c>
      <c r="Q422" s="3" t="s">
        <v>123</v>
      </c>
      <c r="R422">
        <v>2</v>
      </c>
      <c r="S422" s="5">
        <v>45896</v>
      </c>
      <c r="T422" t="s">
        <v>38</v>
      </c>
      <c r="U422">
        <f t="shared" ca="1" si="36"/>
        <v>11</v>
      </c>
      <c r="V422" s="6">
        <f t="shared" ca="1" si="37"/>
        <v>46013</v>
      </c>
      <c r="W422" s="6">
        <f t="shared" ca="1" si="38"/>
        <v>46019</v>
      </c>
      <c r="X422" t="str">
        <f t="shared" ca="1" si="39"/>
        <v>Dec 22 to Dec 28</v>
      </c>
      <c r="Y422" t="str">
        <f t="shared" ca="1" si="40"/>
        <v>🔵 NEXT 2 WEEKS</v>
      </c>
      <c r="Z422" t="str">
        <f t="shared" ca="1" si="41"/>
        <v>Send reminder SMS</v>
      </c>
    </row>
    <row r="423" spans="1:26">
      <c r="A423">
        <v>1014939951</v>
      </c>
      <c r="B423" s="3" t="s">
        <v>1355</v>
      </c>
      <c r="C423">
        <v>66</v>
      </c>
      <c r="D423" t="s">
        <v>27</v>
      </c>
      <c r="E423" t="s">
        <v>29</v>
      </c>
      <c r="F423" t="s">
        <v>29</v>
      </c>
      <c r="G423" t="s">
        <v>28</v>
      </c>
      <c r="H423">
        <v>5</v>
      </c>
      <c r="I423" t="s">
        <v>30</v>
      </c>
      <c r="J423" t="s">
        <v>1356</v>
      </c>
      <c r="K423" t="s">
        <v>1357</v>
      </c>
      <c r="L423" t="s">
        <v>105</v>
      </c>
      <c r="M423" s="4" t="s">
        <v>43</v>
      </c>
      <c r="N423" t="s">
        <v>106</v>
      </c>
      <c r="P423" s="3" t="s">
        <v>36</v>
      </c>
      <c r="Q423" s="3" t="s">
        <v>84</v>
      </c>
      <c r="R423">
        <v>2</v>
      </c>
      <c r="S423" s="5">
        <v>45869</v>
      </c>
      <c r="T423" t="s">
        <v>38</v>
      </c>
      <c r="U423">
        <f t="shared" ca="1" si="36"/>
        <v>14</v>
      </c>
      <c r="V423" s="6">
        <f t="shared" ca="1" si="37"/>
        <v>46016</v>
      </c>
      <c r="W423" s="6">
        <f t="shared" ca="1" si="38"/>
        <v>46022</v>
      </c>
      <c r="X423" t="str">
        <f t="shared" ca="1" si="39"/>
        <v>Dec 25 to Dec 31</v>
      </c>
      <c r="Y423" t="str">
        <f t="shared" ca="1" si="40"/>
        <v>🔵 NEXT 2 WEEKS</v>
      </c>
      <c r="Z423" t="str">
        <f t="shared" ca="1" si="41"/>
        <v>Send reminder SMS</v>
      </c>
    </row>
    <row r="424" spans="1:26">
      <c r="A424">
        <v>1014946428</v>
      </c>
      <c r="B424" s="3" t="s">
        <v>1358</v>
      </c>
      <c r="C424">
        <v>61</v>
      </c>
      <c r="D424" t="s">
        <v>47</v>
      </c>
      <c r="E424" t="s">
        <v>29</v>
      </c>
      <c r="F424" t="s">
        <v>29</v>
      </c>
      <c r="G424" t="s">
        <v>28</v>
      </c>
      <c r="H424">
        <v>5</v>
      </c>
      <c r="I424" t="s">
        <v>30</v>
      </c>
      <c r="J424" t="s">
        <v>1359</v>
      </c>
      <c r="K424" t="s">
        <v>1360</v>
      </c>
      <c r="L424" t="s">
        <v>105</v>
      </c>
      <c r="M424" s="4" t="s">
        <v>34</v>
      </c>
      <c r="N424" t="s">
        <v>106</v>
      </c>
      <c r="P424" s="3" t="s">
        <v>36</v>
      </c>
      <c r="Q424" s="3" t="s">
        <v>107</v>
      </c>
      <c r="R424">
        <v>2</v>
      </c>
      <c r="S424" s="5">
        <v>45685</v>
      </c>
      <c r="T424" t="s">
        <v>38</v>
      </c>
      <c r="U424">
        <f t="shared" ca="1" si="36"/>
        <v>10</v>
      </c>
      <c r="V424" s="6">
        <f t="shared" ca="1" si="37"/>
        <v>46012</v>
      </c>
      <c r="W424" s="6">
        <f t="shared" ca="1" si="38"/>
        <v>46018</v>
      </c>
      <c r="X424" t="str">
        <f t="shared" ca="1" si="39"/>
        <v>Dec 21 to Dec 27</v>
      </c>
      <c r="Y424" t="str">
        <f t="shared" ca="1" si="40"/>
        <v>🔵 NEXT 2 WEEKS</v>
      </c>
      <c r="Z424" t="str">
        <f t="shared" ca="1" si="41"/>
        <v>Send reminder SMS</v>
      </c>
    </row>
    <row r="425" spans="1:26">
      <c r="A425">
        <v>1014999195</v>
      </c>
      <c r="B425" s="3" t="s">
        <v>1361</v>
      </c>
      <c r="C425">
        <v>66</v>
      </c>
      <c r="D425" t="s">
        <v>27</v>
      </c>
      <c r="E425" t="s">
        <v>28</v>
      </c>
      <c r="F425" t="s">
        <v>28</v>
      </c>
      <c r="G425" t="s">
        <v>28</v>
      </c>
      <c r="H425">
        <v>3</v>
      </c>
      <c r="I425" t="s">
        <v>66</v>
      </c>
      <c r="J425" t="s">
        <v>1362</v>
      </c>
      <c r="K425" t="s">
        <v>1363</v>
      </c>
      <c r="L425" t="s">
        <v>105</v>
      </c>
      <c r="M425" s="4" t="s">
        <v>34</v>
      </c>
      <c r="N425" t="s">
        <v>59</v>
      </c>
      <c r="P425" s="3" t="s">
        <v>36</v>
      </c>
      <c r="Q425" s="3" t="s">
        <v>1364</v>
      </c>
      <c r="R425">
        <v>2</v>
      </c>
      <c r="S425" s="5">
        <v>45597</v>
      </c>
      <c r="T425" t="s">
        <v>38</v>
      </c>
      <c r="U425">
        <f t="shared" ca="1" si="36"/>
        <v>12</v>
      </c>
      <c r="V425" s="6">
        <f t="shared" ca="1" si="37"/>
        <v>46014</v>
      </c>
      <c r="W425" s="6">
        <f t="shared" ca="1" si="38"/>
        <v>46020</v>
      </c>
      <c r="X425" t="str">
        <f t="shared" ca="1" si="39"/>
        <v>Dec 23 to Dec 29</v>
      </c>
      <c r="Y425" t="str">
        <f t="shared" ca="1" si="40"/>
        <v>🔵 NEXT 2 WEEKS</v>
      </c>
      <c r="Z425" t="str">
        <f t="shared" ca="1" si="41"/>
        <v>Send reminder SMS</v>
      </c>
    </row>
    <row r="426" spans="1:26">
      <c r="A426">
        <v>1015195843</v>
      </c>
      <c r="B426" s="3" t="s">
        <v>1365</v>
      </c>
      <c r="C426">
        <v>64</v>
      </c>
      <c r="D426" t="s">
        <v>47</v>
      </c>
      <c r="E426" t="s">
        <v>54</v>
      </c>
      <c r="F426" t="s">
        <v>54</v>
      </c>
      <c r="G426" t="s">
        <v>54</v>
      </c>
      <c r="H426">
        <v>3</v>
      </c>
      <c r="I426" t="s">
        <v>66</v>
      </c>
      <c r="J426" t="s">
        <v>1366</v>
      </c>
      <c r="K426" t="s">
        <v>1367</v>
      </c>
      <c r="L426" t="s">
        <v>88</v>
      </c>
      <c r="M426" s="4" t="s">
        <v>43</v>
      </c>
      <c r="N426" t="s">
        <v>59</v>
      </c>
      <c r="P426" s="3" t="s">
        <v>36</v>
      </c>
      <c r="Q426" t="s">
        <v>54</v>
      </c>
      <c r="R426">
        <v>1</v>
      </c>
      <c r="S426" s="5">
        <v>45860</v>
      </c>
      <c r="T426" t="s">
        <v>38</v>
      </c>
      <c r="U426">
        <f t="shared" ca="1" si="36"/>
        <v>5</v>
      </c>
      <c r="V426" s="6">
        <f t="shared" ca="1" si="37"/>
        <v>46007</v>
      </c>
      <c r="W426" s="6">
        <f t="shared" ca="1" si="38"/>
        <v>46013</v>
      </c>
      <c r="X426" t="str">
        <f t="shared" ca="1" si="39"/>
        <v>Dec 16 to Dec 22</v>
      </c>
      <c r="Y426" t="str">
        <f t="shared" ca="1" si="40"/>
        <v>🟢 THIS WEEK</v>
      </c>
      <c r="Z426" t="str">
        <f t="shared" ca="1" si="41"/>
        <v>Confirm appointment</v>
      </c>
    </row>
    <row r="427" spans="1:26">
      <c r="A427">
        <v>1015245440</v>
      </c>
      <c r="B427" s="3" t="s">
        <v>1368</v>
      </c>
      <c r="C427">
        <v>48</v>
      </c>
      <c r="D427" t="s">
        <v>27</v>
      </c>
      <c r="E427" t="s">
        <v>29</v>
      </c>
      <c r="F427" t="s">
        <v>29</v>
      </c>
      <c r="G427" t="s">
        <v>29</v>
      </c>
      <c r="H427">
        <v>5</v>
      </c>
      <c r="I427" t="s">
        <v>30</v>
      </c>
      <c r="J427" t="s">
        <v>1369</v>
      </c>
      <c r="K427" t="s">
        <v>1370</v>
      </c>
      <c r="L427" t="s">
        <v>524</v>
      </c>
      <c r="M427" s="4" t="s">
        <v>34</v>
      </c>
      <c r="N427" t="s">
        <v>470</v>
      </c>
      <c r="P427" s="3" t="s">
        <v>36</v>
      </c>
      <c r="Q427" s="3" t="s">
        <v>107</v>
      </c>
      <c r="R427">
        <v>1</v>
      </c>
      <c r="S427" s="5">
        <v>45814</v>
      </c>
      <c r="T427" t="s">
        <v>38</v>
      </c>
      <c r="U427">
        <f t="shared" ca="1" si="36"/>
        <v>19</v>
      </c>
      <c r="V427" s="6">
        <f t="shared" ca="1" si="37"/>
        <v>46021</v>
      </c>
      <c r="W427" s="6">
        <f t="shared" ca="1" si="38"/>
        <v>46027</v>
      </c>
      <c r="X427" t="str">
        <f t="shared" ca="1" si="39"/>
        <v>Dec 30 to Jan 5</v>
      </c>
      <c r="Y427" t="str">
        <f t="shared" ca="1" si="40"/>
        <v>⚪ SCHEDULED</v>
      </c>
      <c r="Z427" t="str">
        <f t="shared" ca="1" si="41"/>
        <v>No action needed yet</v>
      </c>
    </row>
    <row r="428" spans="1:26">
      <c r="A428">
        <v>1015296336</v>
      </c>
      <c r="B428" s="3" t="s">
        <v>1371</v>
      </c>
      <c r="C428">
        <v>62</v>
      </c>
      <c r="D428" t="s">
        <v>47</v>
      </c>
      <c r="E428" t="s">
        <v>54</v>
      </c>
      <c r="F428" t="s">
        <v>54</v>
      </c>
      <c r="G428" t="s">
        <v>54</v>
      </c>
      <c r="H428">
        <v>3</v>
      </c>
      <c r="I428" t="s">
        <v>66</v>
      </c>
      <c r="J428" t="s">
        <v>1372</v>
      </c>
      <c r="K428" t="s">
        <v>1373</v>
      </c>
      <c r="M428" s="4" t="s">
        <v>94</v>
      </c>
      <c r="N428" t="s">
        <v>59</v>
      </c>
      <c r="P428" s="3" t="s">
        <v>36</v>
      </c>
      <c r="Q428" s="3" t="s">
        <v>528</v>
      </c>
      <c r="R428">
        <v>2</v>
      </c>
      <c r="S428" s="5">
        <v>45930</v>
      </c>
      <c r="T428" t="s">
        <v>38</v>
      </c>
      <c r="U428">
        <f t="shared" ca="1" si="36"/>
        <v>15</v>
      </c>
      <c r="V428" s="6">
        <f t="shared" ca="1" si="37"/>
        <v>46017</v>
      </c>
      <c r="W428" s="6">
        <f t="shared" ca="1" si="38"/>
        <v>46023</v>
      </c>
      <c r="X428" t="str">
        <f t="shared" ca="1" si="39"/>
        <v>Dec 26 to Jan 1</v>
      </c>
      <c r="Y428" t="str">
        <f t="shared" ca="1" si="40"/>
        <v>⚪ SCHEDULED</v>
      </c>
      <c r="Z428" t="str">
        <f t="shared" ca="1" si="41"/>
        <v>No action needed yet</v>
      </c>
    </row>
    <row r="429" spans="1:26">
      <c r="A429">
        <v>1015350133</v>
      </c>
      <c r="B429" s="3" t="s">
        <v>1374</v>
      </c>
      <c r="C429">
        <v>64</v>
      </c>
      <c r="D429" t="s">
        <v>47</v>
      </c>
      <c r="E429" t="s">
        <v>29</v>
      </c>
      <c r="F429" t="s">
        <v>29</v>
      </c>
      <c r="G429" t="s">
        <v>29</v>
      </c>
      <c r="H429">
        <v>7</v>
      </c>
      <c r="I429" t="s">
        <v>30</v>
      </c>
      <c r="J429" t="s">
        <v>1375</v>
      </c>
      <c r="K429" t="s">
        <v>1376</v>
      </c>
      <c r="L429" t="s">
        <v>100</v>
      </c>
      <c r="M429" s="4" t="s">
        <v>43</v>
      </c>
      <c r="N429" t="s">
        <v>76</v>
      </c>
      <c r="P429" s="3" t="s">
        <v>36</v>
      </c>
      <c r="Q429" s="3" t="s">
        <v>107</v>
      </c>
      <c r="R429">
        <v>2</v>
      </c>
      <c r="S429" s="5">
        <v>45860</v>
      </c>
      <c r="T429" t="s">
        <v>38</v>
      </c>
      <c r="U429">
        <f t="shared" ca="1" si="36"/>
        <v>5</v>
      </c>
      <c r="V429" s="6">
        <f t="shared" ca="1" si="37"/>
        <v>46007</v>
      </c>
      <c r="W429" s="6">
        <f t="shared" ca="1" si="38"/>
        <v>46013</v>
      </c>
      <c r="X429" t="str">
        <f t="shared" ca="1" si="39"/>
        <v>Dec 16 to Dec 22</v>
      </c>
      <c r="Y429" t="str">
        <f t="shared" ca="1" si="40"/>
        <v>🟢 THIS WEEK</v>
      </c>
      <c r="Z429" t="str">
        <f t="shared" ca="1" si="41"/>
        <v>Confirm appointment</v>
      </c>
    </row>
    <row r="430" spans="1:26">
      <c r="A430">
        <v>1015467978</v>
      </c>
      <c r="B430" s="3" t="s">
        <v>1377</v>
      </c>
      <c r="C430">
        <v>73</v>
      </c>
      <c r="D430" t="s">
        <v>27</v>
      </c>
      <c r="E430" t="s">
        <v>29</v>
      </c>
      <c r="F430" t="s">
        <v>29</v>
      </c>
      <c r="G430" t="s">
        <v>28</v>
      </c>
      <c r="H430">
        <v>7</v>
      </c>
      <c r="I430" t="s">
        <v>30</v>
      </c>
      <c r="J430" t="s">
        <v>1378</v>
      </c>
      <c r="K430" t="s">
        <v>1379</v>
      </c>
      <c r="L430" t="s">
        <v>88</v>
      </c>
      <c r="M430" s="4" t="s">
        <v>34</v>
      </c>
      <c r="N430" t="s">
        <v>119</v>
      </c>
      <c r="P430" s="3" t="s">
        <v>36</v>
      </c>
      <c r="Q430" s="3" t="s">
        <v>90</v>
      </c>
      <c r="R430">
        <v>2</v>
      </c>
      <c r="S430" s="5">
        <v>45385</v>
      </c>
      <c r="T430" t="s">
        <v>38</v>
      </c>
      <c r="U430">
        <f t="shared" ca="1" si="36"/>
        <v>10</v>
      </c>
      <c r="V430" s="6">
        <f t="shared" ca="1" si="37"/>
        <v>46012</v>
      </c>
      <c r="W430" s="6">
        <f t="shared" ca="1" si="38"/>
        <v>46018</v>
      </c>
      <c r="X430" t="str">
        <f t="shared" ca="1" si="39"/>
        <v>Dec 21 to Dec 27</v>
      </c>
      <c r="Y430" t="str">
        <f t="shared" ca="1" si="40"/>
        <v>🔵 NEXT 2 WEEKS</v>
      </c>
      <c r="Z430" t="str">
        <f t="shared" ca="1" si="41"/>
        <v>Send reminder SMS</v>
      </c>
    </row>
    <row r="431" spans="1:26">
      <c r="A431">
        <v>1015467986</v>
      </c>
      <c r="B431" s="3" t="s">
        <v>1380</v>
      </c>
      <c r="C431">
        <v>57</v>
      </c>
      <c r="D431" t="s">
        <v>27</v>
      </c>
      <c r="E431" t="s">
        <v>28</v>
      </c>
      <c r="F431" t="s">
        <v>28</v>
      </c>
      <c r="G431" t="s">
        <v>28</v>
      </c>
      <c r="H431">
        <v>3</v>
      </c>
      <c r="I431" t="s">
        <v>66</v>
      </c>
      <c r="J431" t="s">
        <v>168</v>
      </c>
      <c r="K431" t="s">
        <v>1381</v>
      </c>
      <c r="L431" t="s">
        <v>170</v>
      </c>
      <c r="M431" s="4" t="s">
        <v>34</v>
      </c>
      <c r="N431" t="s">
        <v>59</v>
      </c>
      <c r="P431" s="3" t="s">
        <v>36</v>
      </c>
      <c r="Q431" s="3" t="s">
        <v>90</v>
      </c>
      <c r="R431">
        <v>2</v>
      </c>
      <c r="S431" s="5">
        <v>45689</v>
      </c>
      <c r="T431" t="s">
        <v>38</v>
      </c>
      <c r="U431">
        <f t="shared" ca="1" si="36"/>
        <v>14</v>
      </c>
      <c r="V431" s="6">
        <f t="shared" ca="1" si="37"/>
        <v>46016</v>
      </c>
      <c r="W431" s="6">
        <f t="shared" ca="1" si="38"/>
        <v>46022</v>
      </c>
      <c r="X431" t="str">
        <f t="shared" ca="1" si="39"/>
        <v>Dec 25 to Dec 31</v>
      </c>
      <c r="Y431" t="str">
        <f t="shared" ca="1" si="40"/>
        <v>🔵 NEXT 2 WEEKS</v>
      </c>
      <c r="Z431" t="str">
        <f t="shared" ca="1" si="41"/>
        <v>Send reminder SMS</v>
      </c>
    </row>
    <row r="432" spans="1:26">
      <c r="A432">
        <v>1015468984</v>
      </c>
      <c r="B432" s="3" t="s">
        <v>1382</v>
      </c>
      <c r="C432">
        <v>66</v>
      </c>
      <c r="D432" t="s">
        <v>27</v>
      </c>
      <c r="E432" t="s">
        <v>29</v>
      </c>
      <c r="F432" t="s">
        <v>29</v>
      </c>
      <c r="G432" t="s">
        <v>29</v>
      </c>
      <c r="H432">
        <v>6</v>
      </c>
      <c r="I432" t="s">
        <v>30</v>
      </c>
      <c r="J432" t="s">
        <v>398</v>
      </c>
      <c r="K432" t="s">
        <v>1383</v>
      </c>
      <c r="L432" t="s">
        <v>69</v>
      </c>
      <c r="M432" s="4" t="s">
        <v>34</v>
      </c>
      <c r="N432" t="s">
        <v>127</v>
      </c>
      <c r="P432" s="3" t="s">
        <v>36</v>
      </c>
      <c r="Q432" s="3" t="s">
        <v>45</v>
      </c>
      <c r="R432">
        <v>2</v>
      </c>
      <c r="S432" s="5">
        <v>45805</v>
      </c>
      <c r="T432" t="s">
        <v>38</v>
      </c>
      <c r="U432">
        <f t="shared" ca="1" si="36"/>
        <v>10</v>
      </c>
      <c r="V432" s="6">
        <f t="shared" ca="1" si="37"/>
        <v>46012</v>
      </c>
      <c r="W432" s="6">
        <f t="shared" ca="1" si="38"/>
        <v>46018</v>
      </c>
      <c r="X432" t="str">
        <f t="shared" ca="1" si="39"/>
        <v>Dec 21 to Dec 27</v>
      </c>
      <c r="Y432" t="str">
        <f t="shared" ca="1" si="40"/>
        <v>🔵 NEXT 2 WEEKS</v>
      </c>
      <c r="Z432" t="str">
        <f t="shared" ca="1" si="41"/>
        <v>Send reminder SMS</v>
      </c>
    </row>
    <row r="433" spans="1:26">
      <c r="A433">
        <v>1015471780</v>
      </c>
      <c r="B433" s="3" t="s">
        <v>1384</v>
      </c>
      <c r="C433">
        <v>66</v>
      </c>
      <c r="D433" t="s">
        <v>27</v>
      </c>
      <c r="E433" t="s">
        <v>28</v>
      </c>
      <c r="F433" t="s">
        <v>29</v>
      </c>
      <c r="G433" t="s">
        <v>28</v>
      </c>
      <c r="H433">
        <v>5</v>
      </c>
      <c r="I433" t="s">
        <v>30</v>
      </c>
      <c r="J433" t="s">
        <v>253</v>
      </c>
      <c r="K433" t="s">
        <v>907</v>
      </c>
      <c r="L433" t="s">
        <v>33</v>
      </c>
      <c r="M433" s="4" t="s">
        <v>34</v>
      </c>
      <c r="N433" t="s">
        <v>64</v>
      </c>
      <c r="P433" s="3" t="s">
        <v>36</v>
      </c>
      <c r="Q433" t="s">
        <v>54</v>
      </c>
      <c r="R433">
        <v>2</v>
      </c>
      <c r="S433" s="5">
        <v>45734</v>
      </c>
      <c r="T433" t="s">
        <v>38</v>
      </c>
      <c r="U433">
        <f t="shared" ca="1" si="36"/>
        <v>29</v>
      </c>
      <c r="V433" s="6">
        <f t="shared" ca="1" si="37"/>
        <v>46031</v>
      </c>
      <c r="W433" s="6">
        <f t="shared" ca="1" si="38"/>
        <v>46037</v>
      </c>
      <c r="X433" t="str">
        <f t="shared" ca="1" si="39"/>
        <v>Jan 9 to Jan 15</v>
      </c>
      <c r="Y433" t="str">
        <f t="shared" ca="1" si="40"/>
        <v>⚪ SCHEDULED</v>
      </c>
      <c r="Z433" t="str">
        <f t="shared" ca="1" si="41"/>
        <v>No action needed yet</v>
      </c>
    </row>
    <row r="434" spans="1:26">
      <c r="A434">
        <v>1015635285</v>
      </c>
      <c r="B434" s="3" t="s">
        <v>1385</v>
      </c>
      <c r="C434">
        <v>64</v>
      </c>
      <c r="D434" t="s">
        <v>47</v>
      </c>
      <c r="E434" t="s">
        <v>29</v>
      </c>
      <c r="F434" t="s">
        <v>29</v>
      </c>
      <c r="G434" t="s">
        <v>28</v>
      </c>
      <c r="H434">
        <v>5</v>
      </c>
      <c r="I434" t="s">
        <v>30</v>
      </c>
      <c r="J434" t="s">
        <v>1386</v>
      </c>
      <c r="K434" t="s">
        <v>1387</v>
      </c>
      <c r="M434" s="4" t="s">
        <v>43</v>
      </c>
      <c r="N434" t="s">
        <v>144</v>
      </c>
      <c r="P434" s="3" t="s">
        <v>36</v>
      </c>
      <c r="Q434" s="3" t="s">
        <v>107</v>
      </c>
      <c r="R434">
        <v>1</v>
      </c>
      <c r="S434" s="5">
        <v>45895</v>
      </c>
      <c r="T434" t="s">
        <v>38</v>
      </c>
      <c r="U434">
        <f t="shared" ca="1" si="36"/>
        <v>10</v>
      </c>
      <c r="V434" s="6">
        <f t="shared" ca="1" si="37"/>
        <v>46012</v>
      </c>
      <c r="W434" s="6">
        <f t="shared" ca="1" si="38"/>
        <v>46018</v>
      </c>
      <c r="X434" t="str">
        <f t="shared" ca="1" si="39"/>
        <v>Dec 21 to Dec 27</v>
      </c>
      <c r="Y434" t="str">
        <f t="shared" ca="1" si="40"/>
        <v>🔵 NEXT 2 WEEKS</v>
      </c>
      <c r="Z434" t="str">
        <f t="shared" ca="1" si="41"/>
        <v>Send reminder SMS</v>
      </c>
    </row>
    <row r="435" spans="1:26">
      <c r="A435">
        <v>1015654484</v>
      </c>
      <c r="B435" s="3" t="s">
        <v>1388</v>
      </c>
      <c r="C435">
        <v>49</v>
      </c>
      <c r="D435" t="s">
        <v>27</v>
      </c>
      <c r="E435" t="s">
        <v>29</v>
      </c>
      <c r="F435" t="s">
        <v>28</v>
      </c>
      <c r="G435" t="s">
        <v>29</v>
      </c>
      <c r="H435">
        <v>3</v>
      </c>
      <c r="I435" t="s">
        <v>66</v>
      </c>
      <c r="J435" t="s">
        <v>168</v>
      </c>
      <c r="K435" t="s">
        <v>1389</v>
      </c>
      <c r="L435" t="s">
        <v>170</v>
      </c>
      <c r="M435" s="4" t="s">
        <v>94</v>
      </c>
      <c r="N435" t="s">
        <v>182</v>
      </c>
      <c r="P435" s="3" t="s">
        <v>36</v>
      </c>
      <c r="Q435" t="s">
        <v>54</v>
      </c>
      <c r="R435">
        <v>1</v>
      </c>
      <c r="S435" s="5">
        <v>45938</v>
      </c>
      <c r="T435" t="s">
        <v>38</v>
      </c>
      <c r="U435">
        <f t="shared" ca="1" si="36"/>
        <v>23</v>
      </c>
      <c r="V435" s="6">
        <f t="shared" ca="1" si="37"/>
        <v>46025</v>
      </c>
      <c r="W435" s="6">
        <f t="shared" ca="1" si="38"/>
        <v>46031</v>
      </c>
      <c r="X435" t="str">
        <f t="shared" ca="1" si="39"/>
        <v>Jan 3 to Jan 9</v>
      </c>
      <c r="Y435" t="str">
        <f t="shared" ca="1" si="40"/>
        <v>⚪ SCHEDULED</v>
      </c>
      <c r="Z435" t="str">
        <f t="shared" ca="1" si="41"/>
        <v>No action needed yet</v>
      </c>
    </row>
    <row r="436" spans="1:26">
      <c r="A436">
        <v>1015809708</v>
      </c>
      <c r="B436" s="3" t="s">
        <v>1390</v>
      </c>
      <c r="C436">
        <v>45</v>
      </c>
      <c r="D436" t="s">
        <v>47</v>
      </c>
      <c r="E436" t="s">
        <v>28</v>
      </c>
      <c r="F436" t="s">
        <v>29</v>
      </c>
      <c r="G436" t="s">
        <v>28</v>
      </c>
      <c r="H436">
        <v>3</v>
      </c>
      <c r="I436" t="s">
        <v>66</v>
      </c>
      <c r="J436" t="s">
        <v>173</v>
      </c>
      <c r="K436" t="s">
        <v>1391</v>
      </c>
      <c r="M436" s="4" t="s">
        <v>43</v>
      </c>
      <c r="N436" t="s">
        <v>64</v>
      </c>
      <c r="P436" s="3" t="s">
        <v>36</v>
      </c>
      <c r="Q436" s="3" t="s">
        <v>84</v>
      </c>
      <c r="R436">
        <v>1</v>
      </c>
      <c r="S436" s="5">
        <v>45890</v>
      </c>
      <c r="T436" t="s">
        <v>38</v>
      </c>
      <c r="U436">
        <f t="shared" ca="1" si="36"/>
        <v>5</v>
      </c>
      <c r="V436" s="6">
        <f t="shared" ca="1" si="37"/>
        <v>46007</v>
      </c>
      <c r="W436" s="6">
        <f t="shared" ca="1" si="38"/>
        <v>46013</v>
      </c>
      <c r="X436" t="str">
        <f t="shared" ca="1" si="39"/>
        <v>Dec 16 to Dec 22</v>
      </c>
      <c r="Y436" t="str">
        <f t="shared" ca="1" si="40"/>
        <v>🟢 THIS WEEK</v>
      </c>
      <c r="Z436" t="str">
        <f t="shared" ca="1" si="41"/>
        <v>Confirm appointment</v>
      </c>
    </row>
    <row r="437" spans="1:26">
      <c r="A437">
        <v>1015877812</v>
      </c>
      <c r="B437" s="3" t="s">
        <v>1392</v>
      </c>
      <c r="C437">
        <v>66</v>
      </c>
      <c r="D437" t="s">
        <v>47</v>
      </c>
      <c r="E437" t="s">
        <v>29</v>
      </c>
      <c r="F437" t="s">
        <v>29</v>
      </c>
      <c r="G437" t="s">
        <v>29</v>
      </c>
      <c r="H437">
        <v>6</v>
      </c>
      <c r="I437" t="s">
        <v>30</v>
      </c>
      <c r="J437" t="s">
        <v>1393</v>
      </c>
      <c r="K437" t="s">
        <v>1394</v>
      </c>
      <c r="L437" t="s">
        <v>69</v>
      </c>
      <c r="M437" s="4" t="s">
        <v>43</v>
      </c>
      <c r="N437" t="s">
        <v>127</v>
      </c>
      <c r="P437" s="3" t="s">
        <v>36</v>
      </c>
      <c r="Q437" s="3" t="s">
        <v>107</v>
      </c>
      <c r="R437">
        <v>2</v>
      </c>
      <c r="S437" s="5">
        <v>45895</v>
      </c>
      <c r="T437" t="s">
        <v>38</v>
      </c>
      <c r="U437">
        <f t="shared" ca="1" si="36"/>
        <v>10</v>
      </c>
      <c r="V437" s="6">
        <f t="shared" ca="1" si="37"/>
        <v>46012</v>
      </c>
      <c r="W437" s="6">
        <f t="shared" ca="1" si="38"/>
        <v>46018</v>
      </c>
      <c r="X437" t="str">
        <f t="shared" ca="1" si="39"/>
        <v>Dec 21 to Dec 27</v>
      </c>
      <c r="Y437" t="str">
        <f t="shared" ca="1" si="40"/>
        <v>🔵 NEXT 2 WEEKS</v>
      </c>
      <c r="Z437" t="str">
        <f t="shared" ca="1" si="41"/>
        <v>Send reminder SMS</v>
      </c>
    </row>
    <row r="438" spans="1:26">
      <c r="A438">
        <v>1015925827</v>
      </c>
      <c r="B438" s="3" t="s">
        <v>1395</v>
      </c>
      <c r="C438">
        <v>51</v>
      </c>
      <c r="D438" t="s">
        <v>47</v>
      </c>
      <c r="E438" t="s">
        <v>28</v>
      </c>
      <c r="F438" t="s">
        <v>29</v>
      </c>
      <c r="G438" t="s">
        <v>29</v>
      </c>
      <c r="H438">
        <v>5</v>
      </c>
      <c r="I438" t="s">
        <v>30</v>
      </c>
      <c r="J438" t="s">
        <v>253</v>
      </c>
      <c r="K438" t="s">
        <v>1312</v>
      </c>
      <c r="L438" t="s">
        <v>33</v>
      </c>
      <c r="M438" s="4" t="s">
        <v>94</v>
      </c>
      <c r="N438" t="s">
        <v>35</v>
      </c>
      <c r="P438" s="3" t="s">
        <v>36</v>
      </c>
      <c r="Q438" s="3" t="s">
        <v>45</v>
      </c>
      <c r="R438">
        <v>2</v>
      </c>
      <c r="S438" s="5">
        <v>45946</v>
      </c>
      <c r="T438" t="s">
        <v>38</v>
      </c>
      <c r="U438">
        <f t="shared" ca="1" si="36"/>
        <v>1</v>
      </c>
      <c r="V438" s="6">
        <f t="shared" ca="1" si="37"/>
        <v>46003</v>
      </c>
      <c r="W438" s="6">
        <f t="shared" ca="1" si="38"/>
        <v>46009</v>
      </c>
      <c r="X438" t="str">
        <f t="shared" ca="1" si="39"/>
        <v>Dec 12 to Dec 18</v>
      </c>
      <c r="Y438" t="str">
        <f t="shared" ca="1" si="40"/>
        <v>🟡 IMMINENT (within 3 days)</v>
      </c>
      <c r="Z438" t="str">
        <f t="shared" ca="1" si="41"/>
        <v>Prepare medications TODAY</v>
      </c>
    </row>
    <row r="439" spans="1:26">
      <c r="A439">
        <v>1015932401</v>
      </c>
      <c r="B439" s="3" t="s">
        <v>1396</v>
      </c>
      <c r="C439">
        <v>61</v>
      </c>
      <c r="D439" t="s">
        <v>27</v>
      </c>
      <c r="E439" t="s">
        <v>28</v>
      </c>
      <c r="F439" t="s">
        <v>28</v>
      </c>
      <c r="G439" t="s">
        <v>29</v>
      </c>
      <c r="H439">
        <v>5</v>
      </c>
      <c r="I439" t="s">
        <v>30</v>
      </c>
      <c r="J439" t="s">
        <v>519</v>
      </c>
      <c r="K439" t="s">
        <v>1397</v>
      </c>
      <c r="L439" t="s">
        <v>114</v>
      </c>
      <c r="M439" s="4" t="s">
        <v>43</v>
      </c>
      <c r="N439" t="s">
        <v>140</v>
      </c>
      <c r="P439" s="3" t="s">
        <v>36</v>
      </c>
      <c r="Q439" s="3" t="s">
        <v>77</v>
      </c>
      <c r="R439">
        <v>1</v>
      </c>
      <c r="S439" s="5">
        <v>45906</v>
      </c>
      <c r="T439" t="s">
        <v>38</v>
      </c>
      <c r="U439">
        <f t="shared" ca="1" si="36"/>
        <v>21</v>
      </c>
      <c r="V439" s="6">
        <f t="shared" ca="1" si="37"/>
        <v>46023</v>
      </c>
      <c r="W439" s="6">
        <f t="shared" ca="1" si="38"/>
        <v>46029</v>
      </c>
      <c r="X439" t="str">
        <f t="shared" ca="1" si="39"/>
        <v>Jan 1 to Jan 7</v>
      </c>
      <c r="Y439" t="str">
        <f t="shared" ca="1" si="40"/>
        <v>⚪ SCHEDULED</v>
      </c>
      <c r="Z439" t="str">
        <f t="shared" ca="1" si="41"/>
        <v>No action needed yet</v>
      </c>
    </row>
    <row r="440" spans="1:26">
      <c r="A440">
        <v>1016073601</v>
      </c>
      <c r="B440" s="3" t="s">
        <v>1398</v>
      </c>
      <c r="C440">
        <v>62</v>
      </c>
      <c r="D440" t="s">
        <v>27</v>
      </c>
      <c r="E440" t="s">
        <v>28</v>
      </c>
      <c r="F440" t="s">
        <v>29</v>
      </c>
      <c r="G440" t="s">
        <v>29</v>
      </c>
      <c r="H440">
        <v>6</v>
      </c>
      <c r="I440" t="s">
        <v>30</v>
      </c>
      <c r="J440" t="s">
        <v>1131</v>
      </c>
      <c r="K440" t="s">
        <v>1132</v>
      </c>
      <c r="L440" t="s">
        <v>33</v>
      </c>
      <c r="M440" s="4" t="s">
        <v>94</v>
      </c>
      <c r="N440" t="s">
        <v>35</v>
      </c>
      <c r="P440" s="3" t="s">
        <v>36</v>
      </c>
      <c r="Q440" s="3" t="s">
        <v>45</v>
      </c>
      <c r="R440">
        <v>1</v>
      </c>
      <c r="S440" s="5">
        <v>45955</v>
      </c>
      <c r="T440" t="s">
        <v>38</v>
      </c>
      <c r="U440">
        <f t="shared" ca="1" si="36"/>
        <v>10</v>
      </c>
      <c r="V440" s="6">
        <f t="shared" ca="1" si="37"/>
        <v>46012</v>
      </c>
      <c r="W440" s="6">
        <f t="shared" ca="1" si="38"/>
        <v>46018</v>
      </c>
      <c r="X440" t="str">
        <f t="shared" ca="1" si="39"/>
        <v>Dec 21 to Dec 27</v>
      </c>
      <c r="Y440" t="str">
        <f t="shared" ca="1" si="40"/>
        <v>🔵 NEXT 2 WEEKS</v>
      </c>
      <c r="Z440" t="str">
        <f t="shared" ca="1" si="41"/>
        <v>Send reminder SMS</v>
      </c>
    </row>
    <row r="441" spans="1:26">
      <c r="A441">
        <v>1016201335</v>
      </c>
      <c r="B441" s="3" t="s">
        <v>1399</v>
      </c>
      <c r="C441">
        <v>55</v>
      </c>
      <c r="D441" t="s">
        <v>27</v>
      </c>
      <c r="E441" t="s">
        <v>29</v>
      </c>
      <c r="F441" t="s">
        <v>28</v>
      </c>
      <c r="G441" t="s">
        <v>28</v>
      </c>
      <c r="H441">
        <v>4</v>
      </c>
      <c r="I441" t="s">
        <v>66</v>
      </c>
      <c r="J441" t="s">
        <v>1400</v>
      </c>
      <c r="K441" t="s">
        <v>1401</v>
      </c>
      <c r="L441" t="s">
        <v>105</v>
      </c>
      <c r="M441" s="4" t="s">
        <v>34</v>
      </c>
      <c r="N441" t="s">
        <v>162</v>
      </c>
      <c r="P441" s="3" t="s">
        <v>36</v>
      </c>
      <c r="Q441" s="3" t="s">
        <v>45</v>
      </c>
      <c r="R441">
        <v>2</v>
      </c>
      <c r="S441" s="5">
        <v>45751</v>
      </c>
      <c r="T441" t="s">
        <v>38</v>
      </c>
      <c r="U441">
        <f t="shared" ca="1" si="36"/>
        <v>16</v>
      </c>
      <c r="V441" s="6">
        <f t="shared" ca="1" si="37"/>
        <v>46018</v>
      </c>
      <c r="W441" s="6">
        <f t="shared" ca="1" si="38"/>
        <v>46024</v>
      </c>
      <c r="X441" t="str">
        <f t="shared" ca="1" si="39"/>
        <v>Dec 27 to Jan 2</v>
      </c>
      <c r="Y441" t="str">
        <f t="shared" ca="1" si="40"/>
        <v>⚪ SCHEDULED</v>
      </c>
      <c r="Z441" t="str">
        <f t="shared" ca="1" si="41"/>
        <v>No action needed yet</v>
      </c>
    </row>
    <row r="442" spans="1:26">
      <c r="A442">
        <v>1016246397</v>
      </c>
      <c r="B442" s="3" t="s">
        <v>1402</v>
      </c>
      <c r="C442">
        <v>61</v>
      </c>
      <c r="D442" t="s">
        <v>47</v>
      </c>
      <c r="E442" t="s">
        <v>29</v>
      </c>
      <c r="F442" t="s">
        <v>29</v>
      </c>
      <c r="G442" t="s">
        <v>29</v>
      </c>
      <c r="H442">
        <v>7</v>
      </c>
      <c r="I442" t="s">
        <v>30</v>
      </c>
      <c r="J442" t="s">
        <v>1403</v>
      </c>
      <c r="K442" t="s">
        <v>1404</v>
      </c>
      <c r="L442" t="s">
        <v>317</v>
      </c>
      <c r="M442" s="4" t="s">
        <v>34</v>
      </c>
      <c r="N442" t="s">
        <v>76</v>
      </c>
      <c r="P442" s="3" t="s">
        <v>36</v>
      </c>
      <c r="Q442" s="3" t="s">
        <v>45</v>
      </c>
      <c r="R442">
        <v>2</v>
      </c>
      <c r="S442" s="5">
        <v>45434</v>
      </c>
      <c r="T442" t="s">
        <v>38</v>
      </c>
      <c r="U442">
        <f t="shared" ca="1" si="36"/>
        <v>29</v>
      </c>
      <c r="V442" s="6">
        <f t="shared" ca="1" si="37"/>
        <v>46031</v>
      </c>
      <c r="W442" s="6">
        <f t="shared" ca="1" si="38"/>
        <v>46037</v>
      </c>
      <c r="X442" t="str">
        <f t="shared" ca="1" si="39"/>
        <v>Jan 9 to Jan 15</v>
      </c>
      <c r="Y442" t="str">
        <f t="shared" ca="1" si="40"/>
        <v>⚪ SCHEDULED</v>
      </c>
      <c r="Z442" t="str">
        <f t="shared" ca="1" si="41"/>
        <v>No action needed yet</v>
      </c>
    </row>
    <row r="443" spans="1:26">
      <c r="A443">
        <v>1016327650</v>
      </c>
      <c r="B443" s="3" t="s">
        <v>1405</v>
      </c>
      <c r="C443">
        <v>59</v>
      </c>
      <c r="D443" t="s">
        <v>27</v>
      </c>
      <c r="E443" t="s">
        <v>29</v>
      </c>
      <c r="F443" t="s">
        <v>29</v>
      </c>
      <c r="G443" t="s">
        <v>29</v>
      </c>
      <c r="H443">
        <v>6</v>
      </c>
      <c r="I443" t="s">
        <v>30</v>
      </c>
      <c r="J443" t="s">
        <v>1406</v>
      </c>
      <c r="K443" t="s">
        <v>1407</v>
      </c>
      <c r="L443" t="s">
        <v>100</v>
      </c>
      <c r="M443" s="4" t="s">
        <v>34</v>
      </c>
      <c r="N443" t="s">
        <v>76</v>
      </c>
      <c r="P443" s="3" t="s">
        <v>36</v>
      </c>
      <c r="Q443" s="3" t="s">
        <v>45</v>
      </c>
      <c r="R443">
        <v>2</v>
      </c>
      <c r="S443" s="5">
        <v>45248</v>
      </c>
      <c r="T443" t="s">
        <v>38</v>
      </c>
      <c r="U443">
        <f t="shared" ca="1" si="36"/>
        <v>23</v>
      </c>
      <c r="V443" s="6">
        <f t="shared" ca="1" si="37"/>
        <v>46025</v>
      </c>
      <c r="W443" s="6">
        <f t="shared" ca="1" si="38"/>
        <v>46031</v>
      </c>
      <c r="X443" t="str">
        <f t="shared" ca="1" si="39"/>
        <v>Jan 3 to Jan 9</v>
      </c>
      <c r="Y443" t="str">
        <f t="shared" ca="1" si="40"/>
        <v>⚪ SCHEDULED</v>
      </c>
      <c r="Z443" t="str">
        <f t="shared" ca="1" si="41"/>
        <v>No action needed yet</v>
      </c>
    </row>
    <row r="444" spans="1:26">
      <c r="A444">
        <v>1016327684</v>
      </c>
      <c r="B444" s="3" t="s">
        <v>1408</v>
      </c>
      <c r="C444">
        <v>55</v>
      </c>
      <c r="D444" t="s">
        <v>47</v>
      </c>
      <c r="E444" t="s">
        <v>29</v>
      </c>
      <c r="F444" t="s">
        <v>29</v>
      </c>
      <c r="G444" t="s">
        <v>29</v>
      </c>
      <c r="H444">
        <v>6</v>
      </c>
      <c r="I444" t="s">
        <v>30</v>
      </c>
      <c r="J444" t="s">
        <v>1409</v>
      </c>
      <c r="K444" t="s">
        <v>1410</v>
      </c>
      <c r="L444" t="s">
        <v>105</v>
      </c>
      <c r="M444" s="4" t="s">
        <v>34</v>
      </c>
      <c r="N444" t="s">
        <v>171</v>
      </c>
      <c r="P444" s="3" t="s">
        <v>36</v>
      </c>
      <c r="Q444" s="3" t="s">
        <v>107</v>
      </c>
      <c r="R444">
        <v>1</v>
      </c>
      <c r="S444" s="5">
        <v>45685</v>
      </c>
      <c r="T444" t="s">
        <v>38</v>
      </c>
      <c r="U444">
        <f t="shared" ca="1" si="36"/>
        <v>10</v>
      </c>
      <c r="V444" s="6">
        <f t="shared" ca="1" si="37"/>
        <v>46012</v>
      </c>
      <c r="W444" s="6">
        <f t="shared" ca="1" si="38"/>
        <v>46018</v>
      </c>
      <c r="X444" t="str">
        <f t="shared" ca="1" si="39"/>
        <v>Dec 21 to Dec 27</v>
      </c>
      <c r="Y444" t="str">
        <f t="shared" ca="1" si="40"/>
        <v>🔵 NEXT 2 WEEKS</v>
      </c>
      <c r="Z444" t="str">
        <f t="shared" ca="1" si="41"/>
        <v>Send reminder SMS</v>
      </c>
    </row>
    <row r="445" spans="1:26">
      <c r="A445">
        <v>1016357418</v>
      </c>
      <c r="B445" s="3" t="s">
        <v>1411</v>
      </c>
      <c r="C445">
        <v>69</v>
      </c>
      <c r="D445" t="s">
        <v>27</v>
      </c>
      <c r="E445" t="s">
        <v>29</v>
      </c>
      <c r="F445" t="s">
        <v>29</v>
      </c>
      <c r="G445" t="s">
        <v>29</v>
      </c>
      <c r="H445">
        <v>7</v>
      </c>
      <c r="I445" t="s">
        <v>30</v>
      </c>
      <c r="J445" t="s">
        <v>1412</v>
      </c>
      <c r="K445" t="s">
        <v>1413</v>
      </c>
      <c r="L445" t="s">
        <v>69</v>
      </c>
      <c r="M445" s="4" t="s">
        <v>43</v>
      </c>
      <c r="N445" t="s">
        <v>127</v>
      </c>
      <c r="P445" s="3" t="s">
        <v>36</v>
      </c>
      <c r="Q445" s="3" t="s">
        <v>107</v>
      </c>
      <c r="R445">
        <v>2</v>
      </c>
      <c r="S445" s="5">
        <v>45856</v>
      </c>
      <c r="T445" t="s">
        <v>38</v>
      </c>
      <c r="U445">
        <f t="shared" ca="1" si="36"/>
        <v>1</v>
      </c>
      <c r="V445" s="6">
        <f t="shared" ca="1" si="37"/>
        <v>46003</v>
      </c>
      <c r="W445" s="6">
        <f t="shared" ca="1" si="38"/>
        <v>46009</v>
      </c>
      <c r="X445" t="str">
        <f t="shared" ca="1" si="39"/>
        <v>Dec 12 to Dec 18</v>
      </c>
      <c r="Y445" t="str">
        <f t="shared" ca="1" si="40"/>
        <v>🟡 IMMINENT (within 3 days)</v>
      </c>
      <c r="Z445" t="str">
        <f t="shared" ca="1" si="41"/>
        <v>Prepare medications TODAY</v>
      </c>
    </row>
    <row r="446" spans="1:26">
      <c r="A446">
        <v>1016360354</v>
      </c>
      <c r="B446" s="3" t="s">
        <v>1414</v>
      </c>
      <c r="C446">
        <v>79</v>
      </c>
      <c r="D446" t="s">
        <v>47</v>
      </c>
      <c r="E446" t="s">
        <v>54</v>
      </c>
      <c r="F446" t="s">
        <v>54</v>
      </c>
      <c r="G446" t="s">
        <v>54</v>
      </c>
      <c r="H446">
        <v>4</v>
      </c>
      <c r="I446" t="s">
        <v>66</v>
      </c>
      <c r="J446" t="s">
        <v>1415</v>
      </c>
      <c r="K446" t="s">
        <v>1416</v>
      </c>
      <c r="L446" t="s">
        <v>100</v>
      </c>
      <c r="M446" s="4" t="s">
        <v>34</v>
      </c>
      <c r="N446" t="s">
        <v>59</v>
      </c>
      <c r="P446" s="3" t="s">
        <v>36</v>
      </c>
      <c r="Q446" s="3" t="s">
        <v>230</v>
      </c>
      <c r="R446">
        <v>2</v>
      </c>
      <c r="S446" s="5">
        <v>45716</v>
      </c>
      <c r="T446" t="s">
        <v>38</v>
      </c>
      <c r="U446">
        <f t="shared" ca="1" si="36"/>
        <v>11</v>
      </c>
      <c r="V446" s="6">
        <f t="shared" ca="1" si="37"/>
        <v>46013</v>
      </c>
      <c r="W446" s="6">
        <f t="shared" ca="1" si="38"/>
        <v>46019</v>
      </c>
      <c r="X446" t="str">
        <f t="shared" ca="1" si="39"/>
        <v>Dec 22 to Dec 28</v>
      </c>
      <c r="Y446" t="str">
        <f t="shared" ca="1" si="40"/>
        <v>🔵 NEXT 2 WEEKS</v>
      </c>
      <c r="Z446" t="str">
        <f t="shared" ca="1" si="41"/>
        <v>Send reminder SMS</v>
      </c>
    </row>
    <row r="447" spans="1:26">
      <c r="A447">
        <v>1016393116</v>
      </c>
      <c r="B447" s="3" t="s">
        <v>1417</v>
      </c>
      <c r="C447">
        <v>66</v>
      </c>
      <c r="D447" t="s">
        <v>27</v>
      </c>
      <c r="E447" t="s">
        <v>29</v>
      </c>
      <c r="F447" t="s">
        <v>28</v>
      </c>
      <c r="G447" t="s">
        <v>29</v>
      </c>
      <c r="H447">
        <v>6</v>
      </c>
      <c r="I447" t="s">
        <v>30</v>
      </c>
      <c r="J447" t="s">
        <v>112</v>
      </c>
      <c r="K447" t="s">
        <v>1418</v>
      </c>
      <c r="L447" t="s">
        <v>114</v>
      </c>
      <c r="M447" s="4" t="s">
        <v>43</v>
      </c>
      <c r="N447" t="s">
        <v>115</v>
      </c>
      <c r="P447" s="3" t="s">
        <v>36</v>
      </c>
      <c r="Q447" s="3" t="s">
        <v>45</v>
      </c>
      <c r="R447">
        <v>1</v>
      </c>
      <c r="S447" s="5">
        <v>45857</v>
      </c>
      <c r="T447" t="s">
        <v>38</v>
      </c>
      <c r="U447">
        <f t="shared" ca="1" si="36"/>
        <v>2</v>
      </c>
      <c r="V447" s="6">
        <f t="shared" ca="1" si="37"/>
        <v>46004</v>
      </c>
      <c r="W447" s="6">
        <f t="shared" ca="1" si="38"/>
        <v>46010</v>
      </c>
      <c r="X447" t="str">
        <f t="shared" ca="1" si="39"/>
        <v>Dec 13 to Dec 19</v>
      </c>
      <c r="Y447" t="str">
        <f t="shared" ca="1" si="40"/>
        <v>🟡 IMMINENT (within 3 days)</v>
      </c>
      <c r="Z447" t="str">
        <f t="shared" ca="1" si="41"/>
        <v>Prepare medications TODAY</v>
      </c>
    </row>
    <row r="448" spans="1:26">
      <c r="A448">
        <v>1016461822</v>
      </c>
      <c r="B448" s="3" t="s">
        <v>1419</v>
      </c>
      <c r="C448">
        <v>64</v>
      </c>
      <c r="D448" t="s">
        <v>47</v>
      </c>
      <c r="E448" t="s">
        <v>28</v>
      </c>
      <c r="F448" t="s">
        <v>29</v>
      </c>
      <c r="G448" t="s">
        <v>29</v>
      </c>
      <c r="H448">
        <v>5</v>
      </c>
      <c r="I448" t="s">
        <v>30</v>
      </c>
      <c r="J448" t="s">
        <v>1420</v>
      </c>
      <c r="K448" t="s">
        <v>1421</v>
      </c>
      <c r="L448" t="s">
        <v>166</v>
      </c>
      <c r="M448" s="4" t="s">
        <v>43</v>
      </c>
      <c r="N448" t="s">
        <v>333</v>
      </c>
      <c r="P448" s="3" t="s">
        <v>36</v>
      </c>
      <c r="Q448" s="3" t="s">
        <v>84</v>
      </c>
      <c r="R448">
        <v>1</v>
      </c>
      <c r="S448" s="5">
        <v>45855</v>
      </c>
      <c r="T448" t="s">
        <v>38</v>
      </c>
      <c r="U448">
        <f t="shared" ca="1" si="36"/>
        <v>0</v>
      </c>
      <c r="V448" s="6">
        <f t="shared" ca="1" si="37"/>
        <v>46002</v>
      </c>
      <c r="W448" s="6">
        <f t="shared" ca="1" si="38"/>
        <v>46008</v>
      </c>
      <c r="X448" t="str">
        <f t="shared" ca="1" si="39"/>
        <v>Dec 11 to Dec 17</v>
      </c>
      <c r="Y448" t="str">
        <f t="shared" ca="1" si="40"/>
        <v>🟡 IMMINENT (within 3 days)</v>
      </c>
      <c r="Z448" t="str">
        <f t="shared" ca="1" si="41"/>
        <v>Prepare medications TODAY</v>
      </c>
    </row>
    <row r="449" spans="1:26">
      <c r="A449">
        <v>1016502633</v>
      </c>
      <c r="B449" s="3" t="s">
        <v>1422</v>
      </c>
      <c r="C449">
        <v>78</v>
      </c>
      <c r="D449" t="s">
        <v>47</v>
      </c>
      <c r="E449" t="s">
        <v>29</v>
      </c>
      <c r="F449" t="s">
        <v>29</v>
      </c>
      <c r="G449" t="s">
        <v>28</v>
      </c>
      <c r="H449">
        <v>6</v>
      </c>
      <c r="I449" t="s">
        <v>30</v>
      </c>
      <c r="J449" t="s">
        <v>1423</v>
      </c>
      <c r="K449" t="s">
        <v>1424</v>
      </c>
      <c r="L449" t="s">
        <v>155</v>
      </c>
      <c r="M449" s="4" t="s">
        <v>43</v>
      </c>
      <c r="N449" t="s">
        <v>119</v>
      </c>
      <c r="P449" s="3" t="s">
        <v>36</v>
      </c>
      <c r="Q449" s="3" t="s">
        <v>1425</v>
      </c>
      <c r="R449">
        <v>2</v>
      </c>
      <c r="S449" s="5">
        <v>45867</v>
      </c>
      <c r="T449" t="s">
        <v>38</v>
      </c>
      <c r="U449">
        <f t="shared" ca="1" si="36"/>
        <v>12</v>
      </c>
      <c r="V449" s="6">
        <f t="shared" ca="1" si="37"/>
        <v>46014</v>
      </c>
      <c r="W449" s="6">
        <f t="shared" ca="1" si="38"/>
        <v>46020</v>
      </c>
      <c r="X449" t="str">
        <f t="shared" ca="1" si="39"/>
        <v>Dec 23 to Dec 29</v>
      </c>
      <c r="Y449" t="str">
        <f t="shared" ca="1" si="40"/>
        <v>🔵 NEXT 2 WEEKS</v>
      </c>
      <c r="Z449" t="str">
        <f t="shared" ca="1" si="41"/>
        <v>Send reminder SMS</v>
      </c>
    </row>
    <row r="450" spans="1:26">
      <c r="A450">
        <v>1016502641</v>
      </c>
      <c r="B450" s="3" t="s">
        <v>1426</v>
      </c>
      <c r="C450">
        <v>73</v>
      </c>
      <c r="D450" t="s">
        <v>27</v>
      </c>
      <c r="E450" t="s">
        <v>29</v>
      </c>
      <c r="F450" t="s">
        <v>29</v>
      </c>
      <c r="G450" t="s">
        <v>29</v>
      </c>
      <c r="H450">
        <v>7</v>
      </c>
      <c r="I450" t="s">
        <v>30</v>
      </c>
      <c r="J450" t="s">
        <v>1427</v>
      </c>
      <c r="K450" t="s">
        <v>1428</v>
      </c>
      <c r="L450" t="s">
        <v>606</v>
      </c>
      <c r="M450" s="4" t="s">
        <v>43</v>
      </c>
      <c r="N450" t="s">
        <v>76</v>
      </c>
      <c r="P450" s="3" t="s">
        <v>36</v>
      </c>
      <c r="Q450" s="3" t="s">
        <v>1425</v>
      </c>
      <c r="R450">
        <v>1</v>
      </c>
      <c r="S450" s="5">
        <v>45867</v>
      </c>
      <c r="T450" t="s">
        <v>38</v>
      </c>
      <c r="U450">
        <f t="shared" ref="U450:U513" ca="1" si="42">IF(S450&gt;=TODAY(),S450,S450+CEILING((TODAY()-S450)/IF(T450="Monthly",30,IF(T450="Bi-Monthly",60,90)),1)*IF(T450="Monthly",30,IF(T450="Bi-Monthly",60,90)))-TODAY()</f>
        <v>12</v>
      </c>
      <c r="V450" s="6">
        <f t="shared" ref="V450:V513" ca="1" si="43">IF(S450&gt;=TODAY(),S450,S450+CEILING((TODAY()-S450)/IF(T450="Monthly",30,IF(T450="Bi-Monthly",60,90)),1)*IF(T450="Monthly",30,IF(T450="Bi-Monthly",60,90)))-3</f>
        <v>46014</v>
      </c>
      <c r="W450" s="6">
        <f t="shared" ref="W450:W513" ca="1" si="44">IF(S450&gt;=TODAY(),S450,S450+CEILING((TODAY()-S450)/IF(T450="Monthly",30,IF(T450="Bi-Monthly",60,90)),1)*IF(T450="Monthly",30,IF(T450="Bi-Monthly",60,90)))+3</f>
        <v>46020</v>
      </c>
      <c r="X450" t="str">
        <f t="shared" ref="X450:X513" ca="1" si="45">TEXT(V450,"MMM D")&amp;" to "&amp;TEXT(W450,"MMM D")</f>
        <v>Dec 23 to Dec 29</v>
      </c>
      <c r="Y450" t="str">
        <f t="shared" ref="Y450:Y513" ca="1" si="46">IF(U450&lt;=3,"🟡 IMMINENT (within 3 days)",IF(U450&lt;=7,"🟢 THIS WEEK",IF(U450&lt;=14,"🔵 NEXT 2 WEEKS","⚪ SCHEDULED")))</f>
        <v>🔵 NEXT 2 WEEKS</v>
      </c>
      <c r="Z450" t="str">
        <f t="shared" ref="Z450:Z513" ca="1" si="47">IF(U450&lt;=3,"Prepare medications TODAY",IF(U450&lt;=7,"Confirm appointment",IF(U450&lt;=14,"Send reminder SMS","No action needed yet")))</f>
        <v>Send reminder SMS</v>
      </c>
    </row>
    <row r="451" spans="1:26">
      <c r="A451">
        <v>1016519926</v>
      </c>
      <c r="B451" s="3" t="s">
        <v>1429</v>
      </c>
      <c r="C451">
        <v>63</v>
      </c>
      <c r="D451" t="s">
        <v>47</v>
      </c>
      <c r="E451" t="s">
        <v>29</v>
      </c>
      <c r="F451" t="s">
        <v>28</v>
      </c>
      <c r="G451" t="s">
        <v>28</v>
      </c>
      <c r="H451">
        <v>5</v>
      </c>
      <c r="I451" t="s">
        <v>30</v>
      </c>
      <c r="J451" t="s">
        <v>1430</v>
      </c>
      <c r="K451" t="s">
        <v>1431</v>
      </c>
      <c r="L451" t="s">
        <v>105</v>
      </c>
      <c r="M451" s="4" t="s">
        <v>34</v>
      </c>
      <c r="N451" t="s">
        <v>162</v>
      </c>
      <c r="P451" s="3" t="s">
        <v>36</v>
      </c>
      <c r="Q451" s="3" t="s">
        <v>230</v>
      </c>
      <c r="R451">
        <v>2</v>
      </c>
      <c r="S451" s="5">
        <v>45710</v>
      </c>
      <c r="T451" t="s">
        <v>38</v>
      </c>
      <c r="U451">
        <f t="shared" ca="1" si="42"/>
        <v>5</v>
      </c>
      <c r="V451" s="6">
        <f t="shared" ca="1" si="43"/>
        <v>46007</v>
      </c>
      <c r="W451" s="6">
        <f t="shared" ca="1" si="44"/>
        <v>46013</v>
      </c>
      <c r="X451" t="str">
        <f t="shared" ca="1" si="45"/>
        <v>Dec 16 to Dec 22</v>
      </c>
      <c r="Y451" t="str">
        <f t="shared" ca="1" si="46"/>
        <v>🟢 THIS WEEK</v>
      </c>
      <c r="Z451" t="str">
        <f t="shared" ca="1" si="47"/>
        <v>Confirm appointment</v>
      </c>
    </row>
    <row r="452" spans="1:26">
      <c r="A452">
        <v>1016574418</v>
      </c>
      <c r="B452" s="3" t="s">
        <v>1432</v>
      </c>
      <c r="C452">
        <v>58</v>
      </c>
      <c r="D452" t="s">
        <v>47</v>
      </c>
      <c r="E452" t="s">
        <v>29</v>
      </c>
      <c r="F452" t="s">
        <v>28</v>
      </c>
      <c r="G452" t="s">
        <v>28</v>
      </c>
      <c r="H452">
        <v>5</v>
      </c>
      <c r="I452" t="s">
        <v>30</v>
      </c>
      <c r="J452" t="s">
        <v>1433</v>
      </c>
      <c r="K452" t="s">
        <v>1434</v>
      </c>
      <c r="M452" s="4" t="s">
        <v>34</v>
      </c>
      <c r="N452" t="s">
        <v>148</v>
      </c>
      <c r="P452" s="3" t="s">
        <v>36</v>
      </c>
      <c r="Q452" s="3" t="s">
        <v>528</v>
      </c>
      <c r="R452">
        <v>2</v>
      </c>
      <c r="S452" s="5">
        <v>45600</v>
      </c>
      <c r="T452" t="s">
        <v>38</v>
      </c>
      <c r="U452">
        <f t="shared" ca="1" si="42"/>
        <v>15</v>
      </c>
      <c r="V452" s="6">
        <f t="shared" ca="1" si="43"/>
        <v>46017</v>
      </c>
      <c r="W452" s="6">
        <f t="shared" ca="1" si="44"/>
        <v>46023</v>
      </c>
      <c r="X452" t="str">
        <f t="shared" ca="1" si="45"/>
        <v>Dec 26 to Jan 1</v>
      </c>
      <c r="Y452" t="str">
        <f t="shared" ca="1" si="46"/>
        <v>⚪ SCHEDULED</v>
      </c>
      <c r="Z452" t="str">
        <f t="shared" ca="1" si="47"/>
        <v>No action needed yet</v>
      </c>
    </row>
    <row r="453" spans="1:26">
      <c r="A453">
        <v>1016612275</v>
      </c>
      <c r="B453" s="3" t="s">
        <v>1435</v>
      </c>
      <c r="C453">
        <v>48</v>
      </c>
      <c r="D453" t="s">
        <v>27</v>
      </c>
      <c r="E453" t="s">
        <v>28</v>
      </c>
      <c r="F453" t="s">
        <v>28</v>
      </c>
      <c r="G453" t="s">
        <v>28</v>
      </c>
      <c r="H453">
        <v>2</v>
      </c>
      <c r="I453" t="s">
        <v>55</v>
      </c>
      <c r="J453" t="s">
        <v>781</v>
      </c>
      <c r="K453" t="s">
        <v>1436</v>
      </c>
      <c r="L453" t="s">
        <v>783</v>
      </c>
      <c r="M453" s="4" t="s">
        <v>34</v>
      </c>
      <c r="N453" t="s">
        <v>59</v>
      </c>
      <c r="P453" s="3" t="s">
        <v>36</v>
      </c>
      <c r="Q453" s="3" t="s">
        <v>230</v>
      </c>
      <c r="R453">
        <v>1</v>
      </c>
      <c r="S453" s="5">
        <v>45731</v>
      </c>
      <c r="T453" t="s">
        <v>60</v>
      </c>
      <c r="U453">
        <f t="shared" ca="1" si="42"/>
        <v>26</v>
      </c>
      <c r="V453" s="6">
        <f t="shared" ca="1" si="43"/>
        <v>46028</v>
      </c>
      <c r="W453" s="6">
        <f t="shared" ca="1" si="44"/>
        <v>46034</v>
      </c>
      <c r="X453" t="str">
        <f t="shared" ca="1" si="45"/>
        <v>Jan 6 to Jan 12</v>
      </c>
      <c r="Y453" t="str">
        <f t="shared" ca="1" si="46"/>
        <v>⚪ SCHEDULED</v>
      </c>
      <c r="Z453" t="str">
        <f t="shared" ca="1" si="47"/>
        <v>No action needed yet</v>
      </c>
    </row>
    <row r="454" spans="1:26">
      <c r="A454">
        <v>1016666172</v>
      </c>
      <c r="B454" s="3" t="s">
        <v>1437</v>
      </c>
      <c r="C454">
        <v>59</v>
      </c>
      <c r="D454" t="s">
        <v>27</v>
      </c>
      <c r="E454" t="s">
        <v>29</v>
      </c>
      <c r="F454" t="s">
        <v>28</v>
      </c>
      <c r="G454" t="s">
        <v>28</v>
      </c>
      <c r="H454">
        <v>4</v>
      </c>
      <c r="I454" t="s">
        <v>66</v>
      </c>
      <c r="J454" t="s">
        <v>1438</v>
      </c>
      <c r="K454" t="s">
        <v>1439</v>
      </c>
      <c r="L454" t="s">
        <v>744</v>
      </c>
      <c r="M454" s="4" t="s">
        <v>34</v>
      </c>
      <c r="N454" t="s">
        <v>148</v>
      </c>
      <c r="P454" s="3" t="s">
        <v>36</v>
      </c>
      <c r="Q454" s="3" t="s">
        <v>96</v>
      </c>
      <c r="R454">
        <v>1</v>
      </c>
      <c r="S454" s="5">
        <v>45826</v>
      </c>
      <c r="T454" t="s">
        <v>38</v>
      </c>
      <c r="U454">
        <f t="shared" ca="1" si="42"/>
        <v>1</v>
      </c>
      <c r="V454" s="6">
        <f t="shared" ca="1" si="43"/>
        <v>46003</v>
      </c>
      <c r="W454" s="6">
        <f t="shared" ca="1" si="44"/>
        <v>46009</v>
      </c>
      <c r="X454" t="str">
        <f t="shared" ca="1" si="45"/>
        <v>Dec 12 to Dec 18</v>
      </c>
      <c r="Y454" t="str">
        <f t="shared" ca="1" si="46"/>
        <v>🟡 IMMINENT (within 3 days)</v>
      </c>
      <c r="Z454" t="str">
        <f t="shared" ca="1" si="47"/>
        <v>Prepare medications TODAY</v>
      </c>
    </row>
    <row r="455" spans="1:26">
      <c r="A455">
        <v>1016706358</v>
      </c>
      <c r="B455" s="3" t="s">
        <v>1440</v>
      </c>
      <c r="C455">
        <v>45</v>
      </c>
      <c r="D455" t="s">
        <v>47</v>
      </c>
      <c r="E455" t="s">
        <v>29</v>
      </c>
      <c r="F455" t="s">
        <v>28</v>
      </c>
      <c r="G455" t="s">
        <v>28</v>
      </c>
      <c r="H455">
        <v>3</v>
      </c>
      <c r="I455" t="s">
        <v>66</v>
      </c>
      <c r="J455" t="s">
        <v>1441</v>
      </c>
      <c r="K455" t="s">
        <v>1442</v>
      </c>
      <c r="L455" t="s">
        <v>234</v>
      </c>
      <c r="M455" s="4" t="s">
        <v>43</v>
      </c>
      <c r="N455" t="s">
        <v>162</v>
      </c>
      <c r="P455" s="3" t="s">
        <v>36</v>
      </c>
      <c r="Q455" s="3" t="s">
        <v>1443</v>
      </c>
      <c r="R455">
        <v>2</v>
      </c>
      <c r="S455" s="5">
        <v>45889</v>
      </c>
      <c r="T455" t="s">
        <v>38</v>
      </c>
      <c r="U455">
        <f t="shared" ca="1" si="42"/>
        <v>4</v>
      </c>
      <c r="V455" s="6">
        <f t="shared" ca="1" si="43"/>
        <v>46006</v>
      </c>
      <c r="W455" s="6">
        <f t="shared" ca="1" si="44"/>
        <v>46012</v>
      </c>
      <c r="X455" t="str">
        <f t="shared" ca="1" si="45"/>
        <v>Dec 15 to Dec 21</v>
      </c>
      <c r="Y455" t="str">
        <f t="shared" ca="1" si="46"/>
        <v>🟢 THIS WEEK</v>
      </c>
      <c r="Z455" t="str">
        <f t="shared" ca="1" si="47"/>
        <v>Confirm appointment</v>
      </c>
    </row>
    <row r="456" spans="1:26">
      <c r="A456">
        <v>1016742353</v>
      </c>
      <c r="B456" s="3" t="s">
        <v>1444</v>
      </c>
      <c r="C456">
        <v>49</v>
      </c>
      <c r="D456" t="s">
        <v>27</v>
      </c>
      <c r="E456" t="s">
        <v>28</v>
      </c>
      <c r="F456" t="s">
        <v>28</v>
      </c>
      <c r="G456" t="s">
        <v>29</v>
      </c>
      <c r="H456">
        <v>3</v>
      </c>
      <c r="I456" t="s">
        <v>66</v>
      </c>
      <c r="J456" t="s">
        <v>1445</v>
      </c>
      <c r="K456" t="s">
        <v>1446</v>
      </c>
      <c r="L456" t="s">
        <v>1447</v>
      </c>
      <c r="M456" s="4" t="s">
        <v>34</v>
      </c>
      <c r="N456" t="s">
        <v>140</v>
      </c>
      <c r="P456" s="3" t="s">
        <v>36</v>
      </c>
      <c r="Q456" s="3" t="s">
        <v>1448</v>
      </c>
      <c r="R456">
        <v>2</v>
      </c>
      <c r="S456" s="5">
        <v>45770</v>
      </c>
      <c r="T456" t="s">
        <v>38</v>
      </c>
      <c r="U456">
        <f t="shared" ca="1" si="42"/>
        <v>5</v>
      </c>
      <c r="V456" s="6">
        <f t="shared" ca="1" si="43"/>
        <v>46007</v>
      </c>
      <c r="W456" s="6">
        <f t="shared" ca="1" si="44"/>
        <v>46013</v>
      </c>
      <c r="X456" t="str">
        <f t="shared" ca="1" si="45"/>
        <v>Dec 16 to Dec 22</v>
      </c>
      <c r="Y456" t="str">
        <f t="shared" ca="1" si="46"/>
        <v>🟢 THIS WEEK</v>
      </c>
      <c r="Z456" t="str">
        <f t="shared" ca="1" si="47"/>
        <v>Confirm appointment</v>
      </c>
    </row>
    <row r="457" spans="1:26">
      <c r="A457">
        <v>1016841577</v>
      </c>
      <c r="B457" s="3" t="s">
        <v>1449</v>
      </c>
      <c r="C457">
        <v>66</v>
      </c>
      <c r="D457" t="s">
        <v>47</v>
      </c>
      <c r="E457" t="s">
        <v>29</v>
      </c>
      <c r="F457" t="s">
        <v>28</v>
      </c>
      <c r="G457" t="s">
        <v>28</v>
      </c>
      <c r="H457">
        <v>5</v>
      </c>
      <c r="I457" t="s">
        <v>30</v>
      </c>
      <c r="J457" t="s">
        <v>1450</v>
      </c>
      <c r="K457" t="s">
        <v>1451</v>
      </c>
      <c r="L457" t="s">
        <v>105</v>
      </c>
      <c r="M457" s="4" t="s">
        <v>34</v>
      </c>
      <c r="N457" t="s">
        <v>162</v>
      </c>
      <c r="P457" s="3" t="s">
        <v>36</v>
      </c>
      <c r="Q457" s="3" t="s">
        <v>313</v>
      </c>
      <c r="R457">
        <v>2</v>
      </c>
      <c r="S457" s="5">
        <v>45561</v>
      </c>
      <c r="T457" t="s">
        <v>38</v>
      </c>
      <c r="U457">
        <f t="shared" ca="1" si="42"/>
        <v>6</v>
      </c>
      <c r="V457" s="6">
        <f t="shared" ca="1" si="43"/>
        <v>46008</v>
      </c>
      <c r="W457" s="6">
        <f t="shared" ca="1" si="44"/>
        <v>46014</v>
      </c>
      <c r="X457" t="str">
        <f t="shared" ca="1" si="45"/>
        <v>Dec 17 to Dec 23</v>
      </c>
      <c r="Y457" t="str">
        <f t="shared" ca="1" si="46"/>
        <v>🟢 THIS WEEK</v>
      </c>
      <c r="Z457" t="str">
        <f t="shared" ca="1" si="47"/>
        <v>Confirm appointment</v>
      </c>
    </row>
    <row r="458" spans="1:26">
      <c r="A458">
        <v>1016841585</v>
      </c>
      <c r="B458" s="3" t="s">
        <v>1452</v>
      </c>
      <c r="C458">
        <v>63</v>
      </c>
      <c r="D458" t="s">
        <v>27</v>
      </c>
      <c r="E458" t="s">
        <v>29</v>
      </c>
      <c r="F458" t="s">
        <v>28</v>
      </c>
      <c r="G458" t="s">
        <v>29</v>
      </c>
      <c r="H458">
        <v>5</v>
      </c>
      <c r="I458" t="s">
        <v>30</v>
      </c>
      <c r="J458" t="s">
        <v>1453</v>
      </c>
      <c r="K458" t="s">
        <v>1454</v>
      </c>
      <c r="L458" t="s">
        <v>139</v>
      </c>
      <c r="M458" s="4" t="s">
        <v>34</v>
      </c>
      <c r="N458" t="s">
        <v>115</v>
      </c>
      <c r="P458" s="3" t="s">
        <v>36</v>
      </c>
      <c r="Q458" t="s">
        <v>54</v>
      </c>
      <c r="R458">
        <v>2</v>
      </c>
      <c r="S458" s="5">
        <v>45743</v>
      </c>
      <c r="T458" t="s">
        <v>38</v>
      </c>
      <c r="U458">
        <f t="shared" ca="1" si="42"/>
        <v>8</v>
      </c>
      <c r="V458" s="6">
        <f t="shared" ca="1" si="43"/>
        <v>46010</v>
      </c>
      <c r="W458" s="6">
        <f t="shared" ca="1" si="44"/>
        <v>46016</v>
      </c>
      <c r="X458" t="str">
        <f t="shared" ca="1" si="45"/>
        <v>Dec 19 to Dec 25</v>
      </c>
      <c r="Y458" t="str">
        <f t="shared" ca="1" si="46"/>
        <v>🔵 NEXT 2 WEEKS</v>
      </c>
      <c r="Z458" t="str">
        <f t="shared" ca="1" si="47"/>
        <v>Send reminder SMS</v>
      </c>
    </row>
    <row r="459" spans="1:26">
      <c r="A459">
        <v>1016873182</v>
      </c>
      <c r="B459" s="3" t="s">
        <v>1455</v>
      </c>
      <c r="C459">
        <v>43</v>
      </c>
      <c r="D459" t="s">
        <v>27</v>
      </c>
      <c r="E459" t="s">
        <v>28</v>
      </c>
      <c r="F459" t="s">
        <v>28</v>
      </c>
      <c r="G459" t="s">
        <v>28</v>
      </c>
      <c r="H459">
        <v>1</v>
      </c>
      <c r="I459" t="s">
        <v>55</v>
      </c>
      <c r="J459" t="s">
        <v>168</v>
      </c>
      <c r="K459" t="s">
        <v>1381</v>
      </c>
      <c r="L459" t="s">
        <v>170</v>
      </c>
      <c r="M459" s="4" t="s">
        <v>43</v>
      </c>
      <c r="N459" t="s">
        <v>59</v>
      </c>
      <c r="P459" s="3" t="s">
        <v>36</v>
      </c>
      <c r="Q459" s="3" t="s">
        <v>107</v>
      </c>
      <c r="R459">
        <v>1</v>
      </c>
      <c r="S459" s="5">
        <v>45973</v>
      </c>
      <c r="T459" t="s">
        <v>393</v>
      </c>
      <c r="U459">
        <f t="shared" ca="1" si="42"/>
        <v>58</v>
      </c>
      <c r="V459" s="6">
        <f t="shared" ca="1" si="43"/>
        <v>46060</v>
      </c>
      <c r="W459" s="6">
        <f t="shared" ca="1" si="44"/>
        <v>46066</v>
      </c>
      <c r="X459" t="str">
        <f t="shared" ca="1" si="45"/>
        <v>Feb 7 to Feb 13</v>
      </c>
      <c r="Y459" t="str">
        <f t="shared" ca="1" si="46"/>
        <v>⚪ SCHEDULED</v>
      </c>
      <c r="Z459" t="str">
        <f t="shared" ca="1" si="47"/>
        <v>No action needed yet</v>
      </c>
    </row>
    <row r="460" spans="1:26">
      <c r="A460">
        <v>1017028471</v>
      </c>
      <c r="B460" s="3" t="s">
        <v>1456</v>
      </c>
      <c r="C460">
        <v>62</v>
      </c>
      <c r="D460" t="s">
        <v>47</v>
      </c>
      <c r="E460" t="s">
        <v>29</v>
      </c>
      <c r="F460" t="s">
        <v>28</v>
      </c>
      <c r="G460" t="s">
        <v>28</v>
      </c>
      <c r="H460">
        <v>4</v>
      </c>
      <c r="I460" t="s">
        <v>66</v>
      </c>
      <c r="J460" t="s">
        <v>1457</v>
      </c>
      <c r="K460" t="s">
        <v>1458</v>
      </c>
      <c r="L460" t="s">
        <v>105</v>
      </c>
      <c r="M460" s="4" t="s">
        <v>34</v>
      </c>
      <c r="N460" t="s">
        <v>162</v>
      </c>
      <c r="P460" s="3" t="s">
        <v>36</v>
      </c>
      <c r="Q460" s="3" t="s">
        <v>107</v>
      </c>
      <c r="R460">
        <v>1</v>
      </c>
      <c r="S460" s="5">
        <v>45797</v>
      </c>
      <c r="T460" t="s">
        <v>38</v>
      </c>
      <c r="U460">
        <f t="shared" ca="1" si="42"/>
        <v>2</v>
      </c>
      <c r="V460" s="6">
        <f t="shared" ca="1" si="43"/>
        <v>46004</v>
      </c>
      <c r="W460" s="6">
        <f t="shared" ca="1" si="44"/>
        <v>46010</v>
      </c>
      <c r="X460" t="str">
        <f t="shared" ca="1" si="45"/>
        <v>Dec 13 to Dec 19</v>
      </c>
      <c r="Y460" t="str">
        <f t="shared" ca="1" si="46"/>
        <v>🟡 IMMINENT (within 3 days)</v>
      </c>
      <c r="Z460" t="str">
        <f t="shared" ca="1" si="47"/>
        <v>Prepare medications TODAY</v>
      </c>
    </row>
    <row r="461" spans="1:26">
      <c r="A461">
        <v>1017089739</v>
      </c>
      <c r="B461" s="3" t="s">
        <v>1459</v>
      </c>
      <c r="C461">
        <v>66</v>
      </c>
      <c r="D461" t="s">
        <v>27</v>
      </c>
      <c r="E461" t="s">
        <v>29</v>
      </c>
      <c r="F461" t="s">
        <v>29</v>
      </c>
      <c r="G461" t="s">
        <v>29</v>
      </c>
      <c r="H461">
        <v>6</v>
      </c>
      <c r="I461" t="s">
        <v>30</v>
      </c>
      <c r="J461" t="s">
        <v>1460</v>
      </c>
      <c r="K461" t="s">
        <v>1461</v>
      </c>
      <c r="M461" s="4" t="s">
        <v>34</v>
      </c>
      <c r="N461" t="s">
        <v>44</v>
      </c>
      <c r="P461" s="3" t="s">
        <v>36</v>
      </c>
      <c r="Q461" s="3" t="s">
        <v>230</v>
      </c>
      <c r="R461">
        <v>2</v>
      </c>
      <c r="S461" s="5">
        <v>45829</v>
      </c>
      <c r="T461" t="s">
        <v>38</v>
      </c>
      <c r="U461">
        <f t="shared" ca="1" si="42"/>
        <v>4</v>
      </c>
      <c r="V461" s="6">
        <f t="shared" ca="1" si="43"/>
        <v>46006</v>
      </c>
      <c r="W461" s="6">
        <f t="shared" ca="1" si="44"/>
        <v>46012</v>
      </c>
      <c r="X461" t="str">
        <f t="shared" ca="1" si="45"/>
        <v>Dec 15 to Dec 21</v>
      </c>
      <c r="Y461" t="str">
        <f t="shared" ca="1" si="46"/>
        <v>🟢 THIS WEEK</v>
      </c>
      <c r="Z461" t="str">
        <f t="shared" ca="1" si="47"/>
        <v>Confirm appointment</v>
      </c>
    </row>
    <row r="462" spans="1:26">
      <c r="A462">
        <v>1017117969</v>
      </c>
      <c r="B462" s="3" t="s">
        <v>1462</v>
      </c>
      <c r="C462">
        <v>57</v>
      </c>
      <c r="D462" t="s">
        <v>47</v>
      </c>
      <c r="E462" t="s">
        <v>54</v>
      </c>
      <c r="F462" t="s">
        <v>54</v>
      </c>
      <c r="G462" t="s">
        <v>54</v>
      </c>
      <c r="H462">
        <v>2</v>
      </c>
      <c r="I462" t="s">
        <v>55</v>
      </c>
      <c r="J462" t="s">
        <v>1463</v>
      </c>
      <c r="K462" t="s">
        <v>1464</v>
      </c>
      <c r="L462" t="s">
        <v>380</v>
      </c>
      <c r="M462" s="4" t="s">
        <v>43</v>
      </c>
      <c r="N462" t="s">
        <v>59</v>
      </c>
      <c r="P462" s="3" t="s">
        <v>36</v>
      </c>
      <c r="Q462" s="3" t="s">
        <v>45</v>
      </c>
      <c r="R462">
        <v>2</v>
      </c>
      <c r="S462" s="5">
        <v>45941</v>
      </c>
      <c r="T462" t="s">
        <v>60</v>
      </c>
      <c r="U462">
        <f t="shared" ca="1" si="42"/>
        <v>56</v>
      </c>
      <c r="V462" s="6">
        <f t="shared" ca="1" si="43"/>
        <v>46058</v>
      </c>
      <c r="W462" s="6">
        <f t="shared" ca="1" si="44"/>
        <v>46064</v>
      </c>
      <c r="X462" t="str">
        <f t="shared" ca="1" si="45"/>
        <v>Feb 5 to Feb 11</v>
      </c>
      <c r="Y462" t="str">
        <f t="shared" ca="1" si="46"/>
        <v>⚪ SCHEDULED</v>
      </c>
      <c r="Z462" t="str">
        <f t="shared" ca="1" si="47"/>
        <v>No action needed yet</v>
      </c>
    </row>
    <row r="463" spans="1:26">
      <c r="A463">
        <v>1017147743</v>
      </c>
      <c r="B463" s="3" t="s">
        <v>1465</v>
      </c>
      <c r="C463">
        <v>46</v>
      </c>
      <c r="D463" t="s">
        <v>27</v>
      </c>
      <c r="E463" t="s">
        <v>28</v>
      </c>
      <c r="F463" t="s">
        <v>28</v>
      </c>
      <c r="G463" t="s">
        <v>28</v>
      </c>
      <c r="H463">
        <v>1</v>
      </c>
      <c r="I463" t="s">
        <v>55</v>
      </c>
      <c r="J463" t="s">
        <v>109</v>
      </c>
      <c r="K463" t="s">
        <v>1466</v>
      </c>
      <c r="M463" s="4" t="s">
        <v>34</v>
      </c>
      <c r="N463" t="s">
        <v>59</v>
      </c>
      <c r="P463" s="3" t="s">
        <v>36</v>
      </c>
      <c r="Q463" s="3" t="s">
        <v>45</v>
      </c>
      <c r="R463">
        <v>2</v>
      </c>
      <c r="S463" s="5">
        <v>45776</v>
      </c>
      <c r="T463" t="s">
        <v>393</v>
      </c>
      <c r="U463">
        <f t="shared" ca="1" si="42"/>
        <v>41</v>
      </c>
      <c r="V463" s="6">
        <f t="shared" ca="1" si="43"/>
        <v>46043</v>
      </c>
      <c r="W463" s="6">
        <f t="shared" ca="1" si="44"/>
        <v>46049</v>
      </c>
      <c r="X463" t="str">
        <f t="shared" ca="1" si="45"/>
        <v>Jan 21 to Jan 27</v>
      </c>
      <c r="Y463" t="str">
        <f t="shared" ca="1" si="46"/>
        <v>⚪ SCHEDULED</v>
      </c>
      <c r="Z463" t="str">
        <f t="shared" ca="1" si="47"/>
        <v>No action needed yet</v>
      </c>
    </row>
    <row r="464" spans="1:26">
      <c r="A464">
        <v>1017194554</v>
      </c>
      <c r="B464" s="3" t="s">
        <v>1467</v>
      </c>
      <c r="C464">
        <v>62</v>
      </c>
      <c r="D464" t="s">
        <v>47</v>
      </c>
      <c r="E464" t="s">
        <v>28</v>
      </c>
      <c r="F464" t="s">
        <v>28</v>
      </c>
      <c r="G464" t="s">
        <v>28</v>
      </c>
      <c r="H464">
        <v>3</v>
      </c>
      <c r="I464" t="s">
        <v>66</v>
      </c>
      <c r="J464" t="s">
        <v>1468</v>
      </c>
      <c r="K464" t="s">
        <v>1469</v>
      </c>
      <c r="L464" t="s">
        <v>114</v>
      </c>
      <c r="M464" s="4" t="s">
        <v>43</v>
      </c>
      <c r="N464" t="s">
        <v>59</v>
      </c>
      <c r="P464" s="3" t="s">
        <v>36</v>
      </c>
      <c r="Q464" s="3" t="s">
        <v>123</v>
      </c>
      <c r="R464">
        <v>1</v>
      </c>
      <c r="S464" s="5">
        <v>45906</v>
      </c>
      <c r="T464" t="s">
        <v>38</v>
      </c>
      <c r="U464">
        <f t="shared" ca="1" si="42"/>
        <v>21</v>
      </c>
      <c r="V464" s="6">
        <f t="shared" ca="1" si="43"/>
        <v>46023</v>
      </c>
      <c r="W464" s="6">
        <f t="shared" ca="1" si="44"/>
        <v>46029</v>
      </c>
      <c r="X464" t="str">
        <f t="shared" ca="1" si="45"/>
        <v>Jan 1 to Jan 7</v>
      </c>
      <c r="Y464" t="str">
        <f t="shared" ca="1" si="46"/>
        <v>⚪ SCHEDULED</v>
      </c>
      <c r="Z464" t="str">
        <f t="shared" ca="1" si="47"/>
        <v>No action needed yet</v>
      </c>
    </row>
    <row r="465" spans="1:26">
      <c r="A465">
        <v>1017209188</v>
      </c>
      <c r="B465" s="3" t="s">
        <v>1470</v>
      </c>
      <c r="C465">
        <v>58</v>
      </c>
      <c r="D465" t="s">
        <v>47</v>
      </c>
      <c r="E465" t="s">
        <v>28</v>
      </c>
      <c r="F465" t="s">
        <v>28</v>
      </c>
      <c r="G465" t="s">
        <v>29</v>
      </c>
      <c r="H465">
        <v>3</v>
      </c>
      <c r="I465" t="s">
        <v>66</v>
      </c>
      <c r="J465" t="s">
        <v>1146</v>
      </c>
      <c r="K465" t="s">
        <v>1471</v>
      </c>
      <c r="L465" t="s">
        <v>33</v>
      </c>
      <c r="M465" s="4" t="s">
        <v>94</v>
      </c>
      <c r="N465" t="s">
        <v>794</v>
      </c>
      <c r="P465" s="3" t="s">
        <v>36</v>
      </c>
      <c r="Q465" s="3" t="s">
        <v>45</v>
      </c>
      <c r="R465">
        <v>1</v>
      </c>
      <c r="S465" s="5">
        <v>45945</v>
      </c>
      <c r="T465" t="s">
        <v>38</v>
      </c>
      <c r="U465">
        <f t="shared" ca="1" si="42"/>
        <v>0</v>
      </c>
      <c r="V465" s="6">
        <f t="shared" ca="1" si="43"/>
        <v>46002</v>
      </c>
      <c r="W465" s="6">
        <f t="shared" ca="1" si="44"/>
        <v>46008</v>
      </c>
      <c r="X465" t="str">
        <f t="shared" ca="1" si="45"/>
        <v>Dec 11 to Dec 17</v>
      </c>
      <c r="Y465" t="str">
        <f t="shared" ca="1" si="46"/>
        <v>🟡 IMMINENT (within 3 days)</v>
      </c>
      <c r="Z465" t="str">
        <f t="shared" ca="1" si="47"/>
        <v>Prepare medications TODAY</v>
      </c>
    </row>
    <row r="466" spans="1:26">
      <c r="A466">
        <v>1017217728</v>
      </c>
      <c r="B466" s="3" t="s">
        <v>1472</v>
      </c>
      <c r="C466">
        <v>86</v>
      </c>
      <c r="D466" t="s">
        <v>27</v>
      </c>
      <c r="E466" t="s">
        <v>29</v>
      </c>
      <c r="F466" t="s">
        <v>28</v>
      </c>
      <c r="G466" t="s">
        <v>28</v>
      </c>
      <c r="H466">
        <v>5</v>
      </c>
      <c r="I466" t="s">
        <v>30</v>
      </c>
      <c r="J466" t="s">
        <v>1473</v>
      </c>
      <c r="K466" t="s">
        <v>1474</v>
      </c>
      <c r="L466" t="s">
        <v>88</v>
      </c>
      <c r="M466" s="4" t="s">
        <v>43</v>
      </c>
      <c r="N466" t="s">
        <v>162</v>
      </c>
      <c r="P466" s="3" t="s">
        <v>36</v>
      </c>
      <c r="Q466" s="3" t="s">
        <v>1475</v>
      </c>
      <c r="R466">
        <v>1</v>
      </c>
      <c r="S466" s="5">
        <v>45923</v>
      </c>
      <c r="T466" t="s">
        <v>38</v>
      </c>
      <c r="U466">
        <f t="shared" ca="1" si="42"/>
        <v>8</v>
      </c>
      <c r="V466" s="6">
        <f t="shared" ca="1" si="43"/>
        <v>46010</v>
      </c>
      <c r="W466" s="6">
        <f t="shared" ca="1" si="44"/>
        <v>46016</v>
      </c>
      <c r="X466" t="str">
        <f t="shared" ca="1" si="45"/>
        <v>Dec 19 to Dec 25</v>
      </c>
      <c r="Y466" t="str">
        <f t="shared" ca="1" si="46"/>
        <v>🔵 NEXT 2 WEEKS</v>
      </c>
      <c r="Z466" t="str">
        <f t="shared" ca="1" si="47"/>
        <v>Send reminder SMS</v>
      </c>
    </row>
    <row r="467" spans="1:26">
      <c r="A467">
        <v>1017326750</v>
      </c>
      <c r="B467" s="3" t="s">
        <v>1476</v>
      </c>
      <c r="C467">
        <v>49</v>
      </c>
      <c r="D467" t="s">
        <v>47</v>
      </c>
      <c r="E467" t="s">
        <v>28</v>
      </c>
      <c r="F467" t="s">
        <v>28</v>
      </c>
      <c r="G467" t="s">
        <v>28</v>
      </c>
      <c r="H467">
        <v>3</v>
      </c>
      <c r="I467" t="s">
        <v>66</v>
      </c>
      <c r="J467" t="s">
        <v>168</v>
      </c>
      <c r="K467" t="s">
        <v>1477</v>
      </c>
      <c r="L467" t="s">
        <v>170</v>
      </c>
      <c r="M467" s="4" t="s">
        <v>34</v>
      </c>
      <c r="N467" t="s">
        <v>59</v>
      </c>
      <c r="P467" s="3" t="s">
        <v>36</v>
      </c>
      <c r="Q467" s="3" t="s">
        <v>1478</v>
      </c>
      <c r="R467">
        <v>2</v>
      </c>
      <c r="S467" s="5">
        <v>45514</v>
      </c>
      <c r="T467" t="s">
        <v>38</v>
      </c>
      <c r="U467">
        <f t="shared" ca="1" si="42"/>
        <v>19</v>
      </c>
      <c r="V467" s="6">
        <f t="shared" ca="1" si="43"/>
        <v>46021</v>
      </c>
      <c r="W467" s="6">
        <f t="shared" ca="1" si="44"/>
        <v>46027</v>
      </c>
      <c r="X467" t="str">
        <f t="shared" ca="1" si="45"/>
        <v>Dec 30 to Jan 5</v>
      </c>
      <c r="Y467" t="str">
        <f t="shared" ca="1" si="46"/>
        <v>⚪ SCHEDULED</v>
      </c>
      <c r="Z467" t="str">
        <f t="shared" ca="1" si="47"/>
        <v>No action needed yet</v>
      </c>
    </row>
    <row r="468" spans="1:26">
      <c r="A468">
        <v>1017337849</v>
      </c>
      <c r="B468" s="3" t="s">
        <v>1479</v>
      </c>
      <c r="C468">
        <v>69</v>
      </c>
      <c r="D468" t="s">
        <v>27</v>
      </c>
      <c r="E468" t="s">
        <v>29</v>
      </c>
      <c r="F468" t="s">
        <v>29</v>
      </c>
      <c r="G468" t="s">
        <v>28</v>
      </c>
      <c r="H468">
        <v>6</v>
      </c>
      <c r="I468" t="s">
        <v>30</v>
      </c>
      <c r="J468" t="s">
        <v>1480</v>
      </c>
      <c r="K468" t="s">
        <v>1481</v>
      </c>
      <c r="L468" t="s">
        <v>549</v>
      </c>
      <c r="M468" s="4" t="s">
        <v>34</v>
      </c>
      <c r="N468" t="s">
        <v>119</v>
      </c>
      <c r="P468" s="3" t="s">
        <v>36</v>
      </c>
      <c r="Q468" s="3" t="s">
        <v>313</v>
      </c>
      <c r="R468">
        <v>1</v>
      </c>
      <c r="S468" s="5">
        <v>45661</v>
      </c>
      <c r="T468" t="s">
        <v>38</v>
      </c>
      <c r="U468">
        <f t="shared" ca="1" si="42"/>
        <v>16</v>
      </c>
      <c r="V468" s="6">
        <f t="shared" ca="1" si="43"/>
        <v>46018</v>
      </c>
      <c r="W468" s="6">
        <f t="shared" ca="1" si="44"/>
        <v>46024</v>
      </c>
      <c r="X468" t="str">
        <f t="shared" ca="1" si="45"/>
        <v>Dec 27 to Jan 2</v>
      </c>
      <c r="Y468" t="str">
        <f t="shared" ca="1" si="46"/>
        <v>⚪ SCHEDULED</v>
      </c>
      <c r="Z468" t="str">
        <f t="shared" ca="1" si="47"/>
        <v>No action needed yet</v>
      </c>
    </row>
    <row r="469" spans="1:26">
      <c r="A469">
        <v>1017378397</v>
      </c>
      <c r="B469" s="3" t="s">
        <v>1482</v>
      </c>
      <c r="C469">
        <v>53</v>
      </c>
      <c r="D469" t="s">
        <v>27</v>
      </c>
      <c r="E469" t="s">
        <v>29</v>
      </c>
      <c r="F469" t="s">
        <v>28</v>
      </c>
      <c r="G469" t="s">
        <v>29</v>
      </c>
      <c r="H469">
        <v>5</v>
      </c>
      <c r="I469" t="s">
        <v>30</v>
      </c>
      <c r="J469" t="s">
        <v>1483</v>
      </c>
      <c r="K469" t="s">
        <v>1484</v>
      </c>
      <c r="M469" s="4" t="s">
        <v>34</v>
      </c>
      <c r="N469" t="s">
        <v>95</v>
      </c>
      <c r="P469" s="3" t="s">
        <v>36</v>
      </c>
      <c r="Q469" s="3" t="s">
        <v>107</v>
      </c>
      <c r="R469">
        <v>1</v>
      </c>
      <c r="S469" s="5">
        <v>45701</v>
      </c>
      <c r="T469" t="s">
        <v>38</v>
      </c>
      <c r="U469">
        <f t="shared" ca="1" si="42"/>
        <v>26</v>
      </c>
      <c r="V469" s="6">
        <f t="shared" ca="1" si="43"/>
        <v>46028</v>
      </c>
      <c r="W469" s="6">
        <f t="shared" ca="1" si="44"/>
        <v>46034</v>
      </c>
      <c r="X469" t="str">
        <f t="shared" ca="1" si="45"/>
        <v>Jan 6 to Jan 12</v>
      </c>
      <c r="Y469" t="str">
        <f t="shared" ca="1" si="46"/>
        <v>⚪ SCHEDULED</v>
      </c>
      <c r="Z469" t="str">
        <f t="shared" ca="1" si="47"/>
        <v>No action needed yet</v>
      </c>
    </row>
    <row r="470" spans="1:26">
      <c r="A470">
        <v>1017465152</v>
      </c>
      <c r="B470" s="3" t="s">
        <v>1485</v>
      </c>
      <c r="C470">
        <v>64</v>
      </c>
      <c r="D470" t="s">
        <v>27</v>
      </c>
      <c r="E470" t="s">
        <v>54</v>
      </c>
      <c r="F470" t="s">
        <v>54</v>
      </c>
      <c r="G470" t="s">
        <v>54</v>
      </c>
      <c r="H470">
        <v>3</v>
      </c>
      <c r="I470" t="s">
        <v>66</v>
      </c>
      <c r="J470" t="s">
        <v>1486</v>
      </c>
      <c r="K470" t="s">
        <v>1487</v>
      </c>
      <c r="L470" t="s">
        <v>114</v>
      </c>
      <c r="M470" s="4" t="s">
        <v>34</v>
      </c>
      <c r="N470" t="s">
        <v>59</v>
      </c>
      <c r="P470" s="3" t="s">
        <v>36</v>
      </c>
      <c r="Q470" s="3" t="s">
        <v>313</v>
      </c>
      <c r="R470">
        <v>1</v>
      </c>
      <c r="S470" s="5">
        <v>45479</v>
      </c>
      <c r="T470" t="s">
        <v>38</v>
      </c>
      <c r="U470">
        <f t="shared" ca="1" si="42"/>
        <v>14</v>
      </c>
      <c r="V470" s="6">
        <f t="shared" ca="1" si="43"/>
        <v>46016</v>
      </c>
      <c r="W470" s="6">
        <f t="shared" ca="1" si="44"/>
        <v>46022</v>
      </c>
      <c r="X470" t="str">
        <f t="shared" ca="1" si="45"/>
        <v>Dec 25 to Dec 31</v>
      </c>
      <c r="Y470" t="str">
        <f t="shared" ca="1" si="46"/>
        <v>🔵 NEXT 2 WEEKS</v>
      </c>
      <c r="Z470" t="str">
        <f t="shared" ca="1" si="47"/>
        <v>Send reminder SMS</v>
      </c>
    </row>
    <row r="471" spans="1:26">
      <c r="A471">
        <v>1017576388</v>
      </c>
      <c r="B471" s="3" t="s">
        <v>1488</v>
      </c>
      <c r="C471">
        <v>48</v>
      </c>
      <c r="D471" t="s">
        <v>27</v>
      </c>
      <c r="E471" t="s">
        <v>29</v>
      </c>
      <c r="F471" t="s">
        <v>29</v>
      </c>
      <c r="G471" t="s">
        <v>28</v>
      </c>
      <c r="H471">
        <v>3</v>
      </c>
      <c r="I471" t="s">
        <v>66</v>
      </c>
      <c r="J471" t="s">
        <v>1489</v>
      </c>
      <c r="K471" t="s">
        <v>1490</v>
      </c>
      <c r="M471" s="4" t="s">
        <v>43</v>
      </c>
      <c r="N471" t="s">
        <v>144</v>
      </c>
      <c r="P471" s="3" t="s">
        <v>36</v>
      </c>
      <c r="Q471" s="3" t="s">
        <v>45</v>
      </c>
      <c r="R471">
        <v>2</v>
      </c>
      <c r="S471" s="5">
        <v>45917</v>
      </c>
      <c r="T471" t="s">
        <v>38</v>
      </c>
      <c r="U471">
        <f t="shared" ca="1" si="42"/>
        <v>2</v>
      </c>
      <c r="V471" s="6">
        <f t="shared" ca="1" si="43"/>
        <v>46004</v>
      </c>
      <c r="W471" s="6">
        <f t="shared" ca="1" si="44"/>
        <v>46010</v>
      </c>
      <c r="X471" t="str">
        <f t="shared" ca="1" si="45"/>
        <v>Dec 13 to Dec 19</v>
      </c>
      <c r="Y471" t="str">
        <f t="shared" ca="1" si="46"/>
        <v>🟡 IMMINENT (within 3 days)</v>
      </c>
      <c r="Z471" t="str">
        <f t="shared" ca="1" si="47"/>
        <v>Prepare medications TODAY</v>
      </c>
    </row>
    <row r="472" spans="1:26">
      <c r="A472">
        <v>1017579697</v>
      </c>
      <c r="B472" s="3" t="s">
        <v>1491</v>
      </c>
      <c r="C472">
        <v>49</v>
      </c>
      <c r="D472" t="s">
        <v>47</v>
      </c>
      <c r="E472" t="s">
        <v>29</v>
      </c>
      <c r="F472" t="s">
        <v>28</v>
      </c>
      <c r="G472" t="s">
        <v>28</v>
      </c>
      <c r="H472">
        <v>3</v>
      </c>
      <c r="I472" t="s">
        <v>66</v>
      </c>
      <c r="J472" t="s">
        <v>1492</v>
      </c>
      <c r="K472" t="s">
        <v>1493</v>
      </c>
      <c r="M472" s="4" t="s">
        <v>43</v>
      </c>
      <c r="N472" t="s">
        <v>148</v>
      </c>
      <c r="P472" s="3" t="s">
        <v>36</v>
      </c>
      <c r="Q472" s="3" t="s">
        <v>1494</v>
      </c>
      <c r="R472">
        <v>2</v>
      </c>
      <c r="S472" s="5">
        <v>45864</v>
      </c>
      <c r="T472" t="s">
        <v>38</v>
      </c>
      <c r="U472">
        <f t="shared" ca="1" si="42"/>
        <v>9</v>
      </c>
      <c r="V472" s="6">
        <f t="shared" ca="1" si="43"/>
        <v>46011</v>
      </c>
      <c r="W472" s="6">
        <f t="shared" ca="1" si="44"/>
        <v>46017</v>
      </c>
      <c r="X472" t="str">
        <f t="shared" ca="1" si="45"/>
        <v>Dec 20 to Dec 26</v>
      </c>
      <c r="Y472" t="str">
        <f t="shared" ca="1" si="46"/>
        <v>🔵 NEXT 2 WEEKS</v>
      </c>
      <c r="Z472" t="str">
        <f t="shared" ca="1" si="47"/>
        <v>Send reminder SMS</v>
      </c>
    </row>
    <row r="473" spans="1:26">
      <c r="A473">
        <v>1017601491</v>
      </c>
      <c r="B473" s="3" t="s">
        <v>1495</v>
      </c>
      <c r="C473">
        <v>56</v>
      </c>
      <c r="D473" t="s">
        <v>47</v>
      </c>
      <c r="E473" t="s">
        <v>29</v>
      </c>
      <c r="F473" t="s">
        <v>29</v>
      </c>
      <c r="G473" t="s">
        <v>28</v>
      </c>
      <c r="H473">
        <v>4</v>
      </c>
      <c r="I473" t="s">
        <v>66</v>
      </c>
      <c r="J473" t="s">
        <v>445</v>
      </c>
      <c r="K473" t="s">
        <v>1496</v>
      </c>
      <c r="L473" t="s">
        <v>170</v>
      </c>
      <c r="M473" s="4" t="s">
        <v>43</v>
      </c>
      <c r="N473" t="s">
        <v>106</v>
      </c>
      <c r="P473" s="3" t="s">
        <v>36</v>
      </c>
      <c r="Q473" t="s">
        <v>54</v>
      </c>
      <c r="R473">
        <v>1</v>
      </c>
      <c r="S473" s="5">
        <v>45920</v>
      </c>
      <c r="T473" t="s">
        <v>38</v>
      </c>
      <c r="U473">
        <f t="shared" ca="1" si="42"/>
        <v>5</v>
      </c>
      <c r="V473" s="6">
        <f t="shared" ca="1" si="43"/>
        <v>46007</v>
      </c>
      <c r="W473" s="6">
        <f t="shared" ca="1" si="44"/>
        <v>46013</v>
      </c>
      <c r="X473" t="str">
        <f t="shared" ca="1" si="45"/>
        <v>Dec 16 to Dec 22</v>
      </c>
      <c r="Y473" t="str">
        <f t="shared" ca="1" si="46"/>
        <v>🟢 THIS WEEK</v>
      </c>
      <c r="Z473" t="str">
        <f t="shared" ca="1" si="47"/>
        <v>Confirm appointment</v>
      </c>
    </row>
    <row r="474" spans="1:26">
      <c r="A474">
        <v>1017760040</v>
      </c>
      <c r="B474" s="3" t="s">
        <v>1497</v>
      </c>
      <c r="C474">
        <v>65</v>
      </c>
      <c r="D474" t="s">
        <v>27</v>
      </c>
      <c r="E474" t="s">
        <v>29</v>
      </c>
      <c r="F474" t="s">
        <v>29</v>
      </c>
      <c r="G474" t="s">
        <v>29</v>
      </c>
      <c r="H474">
        <v>7</v>
      </c>
      <c r="I474" t="s">
        <v>30</v>
      </c>
      <c r="J474" t="s">
        <v>1498</v>
      </c>
      <c r="K474" t="s">
        <v>1499</v>
      </c>
      <c r="L474" t="s">
        <v>33</v>
      </c>
      <c r="M474" s="4" t="s">
        <v>94</v>
      </c>
      <c r="N474" t="s">
        <v>44</v>
      </c>
      <c r="P474" s="3" t="s">
        <v>36</v>
      </c>
      <c r="Q474" s="3" t="s">
        <v>107</v>
      </c>
      <c r="R474">
        <v>2</v>
      </c>
      <c r="S474" s="5">
        <v>45937</v>
      </c>
      <c r="T474" t="s">
        <v>38</v>
      </c>
      <c r="U474">
        <f t="shared" ca="1" si="42"/>
        <v>22</v>
      </c>
      <c r="V474" s="6">
        <f t="shared" ca="1" si="43"/>
        <v>46024</v>
      </c>
      <c r="W474" s="6">
        <f t="shared" ca="1" si="44"/>
        <v>46030</v>
      </c>
      <c r="X474" t="str">
        <f t="shared" ca="1" si="45"/>
        <v>Jan 2 to Jan 8</v>
      </c>
      <c r="Y474" t="str">
        <f t="shared" ca="1" si="46"/>
        <v>⚪ SCHEDULED</v>
      </c>
      <c r="Z474" t="str">
        <f t="shared" ca="1" si="47"/>
        <v>No action needed yet</v>
      </c>
    </row>
    <row r="475" spans="1:26">
      <c r="A475">
        <v>1017775501</v>
      </c>
      <c r="B475" s="3" t="s">
        <v>1500</v>
      </c>
      <c r="C475">
        <v>61</v>
      </c>
      <c r="D475" t="s">
        <v>27</v>
      </c>
      <c r="E475" t="s">
        <v>29</v>
      </c>
      <c r="F475" t="s">
        <v>29</v>
      </c>
      <c r="G475" t="s">
        <v>29</v>
      </c>
      <c r="H475">
        <v>7</v>
      </c>
      <c r="I475" t="s">
        <v>30</v>
      </c>
      <c r="J475" t="s">
        <v>1501</v>
      </c>
      <c r="K475" t="s">
        <v>1502</v>
      </c>
      <c r="L475" t="s">
        <v>355</v>
      </c>
      <c r="M475" s="4" t="s">
        <v>43</v>
      </c>
      <c r="N475" t="s">
        <v>76</v>
      </c>
      <c r="P475" s="3" t="s">
        <v>36</v>
      </c>
      <c r="Q475" s="3" t="s">
        <v>45</v>
      </c>
      <c r="R475">
        <v>2</v>
      </c>
      <c r="S475" s="5">
        <v>45919</v>
      </c>
      <c r="T475" t="s">
        <v>38</v>
      </c>
      <c r="U475">
        <f t="shared" ca="1" si="42"/>
        <v>4</v>
      </c>
      <c r="V475" s="6">
        <f t="shared" ca="1" si="43"/>
        <v>46006</v>
      </c>
      <c r="W475" s="6">
        <f t="shared" ca="1" si="44"/>
        <v>46012</v>
      </c>
      <c r="X475" t="str">
        <f t="shared" ca="1" si="45"/>
        <v>Dec 15 to Dec 21</v>
      </c>
      <c r="Y475" t="str">
        <f t="shared" ca="1" si="46"/>
        <v>🟢 THIS WEEK</v>
      </c>
      <c r="Z475" t="str">
        <f t="shared" ca="1" si="47"/>
        <v>Confirm appointment</v>
      </c>
    </row>
    <row r="476" spans="1:26">
      <c r="A476">
        <v>1017894625</v>
      </c>
      <c r="B476" s="3" t="s">
        <v>1503</v>
      </c>
      <c r="C476">
        <v>42</v>
      </c>
      <c r="D476" t="s">
        <v>47</v>
      </c>
      <c r="E476" t="s">
        <v>28</v>
      </c>
      <c r="F476" t="s">
        <v>28</v>
      </c>
      <c r="G476" t="s">
        <v>29</v>
      </c>
      <c r="H476">
        <v>2</v>
      </c>
      <c r="I476" t="s">
        <v>55</v>
      </c>
      <c r="J476" t="s">
        <v>1504</v>
      </c>
      <c r="K476" t="s">
        <v>1505</v>
      </c>
      <c r="L476" t="s">
        <v>208</v>
      </c>
      <c r="M476" s="4" t="s">
        <v>34</v>
      </c>
      <c r="N476" t="s">
        <v>140</v>
      </c>
      <c r="P476" s="3" t="s">
        <v>36</v>
      </c>
      <c r="Q476" s="3" t="s">
        <v>262</v>
      </c>
      <c r="R476">
        <v>2</v>
      </c>
      <c r="S476" s="5">
        <v>45774</v>
      </c>
      <c r="T476" t="s">
        <v>60</v>
      </c>
      <c r="U476">
        <f t="shared" ca="1" si="42"/>
        <v>9</v>
      </c>
      <c r="V476" s="6">
        <f t="shared" ca="1" si="43"/>
        <v>46011</v>
      </c>
      <c r="W476" s="6">
        <f t="shared" ca="1" si="44"/>
        <v>46017</v>
      </c>
      <c r="X476" t="str">
        <f t="shared" ca="1" si="45"/>
        <v>Dec 20 to Dec 26</v>
      </c>
      <c r="Y476" t="str">
        <f t="shared" ca="1" si="46"/>
        <v>🔵 NEXT 2 WEEKS</v>
      </c>
      <c r="Z476" t="str">
        <f t="shared" ca="1" si="47"/>
        <v>Send reminder SMS</v>
      </c>
    </row>
    <row r="477" spans="1:26">
      <c r="A477">
        <v>1017901651</v>
      </c>
      <c r="B477" s="3" t="s">
        <v>1506</v>
      </c>
      <c r="C477">
        <v>65</v>
      </c>
      <c r="D477" t="s">
        <v>27</v>
      </c>
      <c r="E477" t="s">
        <v>29</v>
      </c>
      <c r="F477" t="s">
        <v>29</v>
      </c>
      <c r="G477" t="s">
        <v>29</v>
      </c>
      <c r="H477">
        <v>7</v>
      </c>
      <c r="I477" t="s">
        <v>30</v>
      </c>
      <c r="J477" t="s">
        <v>1507</v>
      </c>
      <c r="K477" t="s">
        <v>1508</v>
      </c>
      <c r="L477" t="s">
        <v>50</v>
      </c>
      <c r="M477" s="4" t="s">
        <v>43</v>
      </c>
      <c r="N477" t="s">
        <v>76</v>
      </c>
      <c r="P477" s="3" t="s">
        <v>36</v>
      </c>
      <c r="Q477" s="3" t="s">
        <v>90</v>
      </c>
      <c r="R477">
        <v>2</v>
      </c>
      <c r="S477" s="5">
        <v>45891</v>
      </c>
      <c r="T477" t="s">
        <v>38</v>
      </c>
      <c r="U477">
        <f t="shared" ca="1" si="42"/>
        <v>6</v>
      </c>
      <c r="V477" s="6">
        <f t="shared" ca="1" si="43"/>
        <v>46008</v>
      </c>
      <c r="W477" s="6">
        <f t="shared" ca="1" si="44"/>
        <v>46014</v>
      </c>
      <c r="X477" t="str">
        <f t="shared" ca="1" si="45"/>
        <v>Dec 17 to Dec 23</v>
      </c>
      <c r="Y477" t="str">
        <f t="shared" ca="1" si="46"/>
        <v>🟢 THIS WEEK</v>
      </c>
      <c r="Z477" t="str">
        <f t="shared" ca="1" si="47"/>
        <v>Confirm appointment</v>
      </c>
    </row>
    <row r="478" spans="1:26">
      <c r="A478">
        <v>1017944925</v>
      </c>
      <c r="B478" s="3" t="s">
        <v>1509</v>
      </c>
      <c r="C478">
        <v>55</v>
      </c>
      <c r="D478" t="s">
        <v>27</v>
      </c>
      <c r="E478" t="s">
        <v>54</v>
      </c>
      <c r="F478" t="s">
        <v>54</v>
      </c>
      <c r="G478" t="s">
        <v>54</v>
      </c>
      <c r="H478">
        <v>2</v>
      </c>
      <c r="I478" t="s">
        <v>55</v>
      </c>
      <c r="J478" t="s">
        <v>1510</v>
      </c>
      <c r="K478" t="s">
        <v>1511</v>
      </c>
      <c r="L478" t="s">
        <v>208</v>
      </c>
      <c r="M478" s="4" t="s">
        <v>43</v>
      </c>
      <c r="N478" t="s">
        <v>59</v>
      </c>
      <c r="P478" s="3" t="s">
        <v>36</v>
      </c>
      <c r="Q478" t="s">
        <v>54</v>
      </c>
      <c r="R478">
        <v>2</v>
      </c>
      <c r="S478" s="5">
        <v>45935</v>
      </c>
      <c r="T478" t="s">
        <v>60</v>
      </c>
      <c r="U478">
        <f t="shared" ca="1" si="42"/>
        <v>50</v>
      </c>
      <c r="V478" s="6">
        <f t="shared" ca="1" si="43"/>
        <v>46052</v>
      </c>
      <c r="W478" s="6">
        <f t="shared" ca="1" si="44"/>
        <v>46058</v>
      </c>
      <c r="X478" t="str">
        <f t="shared" ca="1" si="45"/>
        <v>Jan 30 to Feb 5</v>
      </c>
      <c r="Y478" t="str">
        <f t="shared" ca="1" si="46"/>
        <v>⚪ SCHEDULED</v>
      </c>
      <c r="Z478" t="str">
        <f t="shared" ca="1" si="47"/>
        <v>No action needed yet</v>
      </c>
    </row>
    <row r="479" spans="1:26">
      <c r="A479">
        <v>1017952225</v>
      </c>
      <c r="B479" s="3" t="s">
        <v>1512</v>
      </c>
      <c r="C479">
        <v>65</v>
      </c>
      <c r="D479" t="s">
        <v>47</v>
      </c>
      <c r="E479" t="s">
        <v>29</v>
      </c>
      <c r="F479" t="s">
        <v>29</v>
      </c>
      <c r="G479" t="s">
        <v>29</v>
      </c>
      <c r="H479">
        <v>6</v>
      </c>
      <c r="I479" t="s">
        <v>30</v>
      </c>
      <c r="J479" t="s">
        <v>1513</v>
      </c>
      <c r="K479" t="s">
        <v>1514</v>
      </c>
      <c r="L479" t="s">
        <v>170</v>
      </c>
      <c r="M479" s="4" t="s">
        <v>43</v>
      </c>
      <c r="N479" t="s">
        <v>171</v>
      </c>
      <c r="P479" s="3" t="s">
        <v>36</v>
      </c>
      <c r="Q479" s="3" t="s">
        <v>230</v>
      </c>
      <c r="R479">
        <v>2</v>
      </c>
      <c r="S479" s="5">
        <v>45884</v>
      </c>
      <c r="T479" t="s">
        <v>38</v>
      </c>
      <c r="U479">
        <f t="shared" ca="1" si="42"/>
        <v>29</v>
      </c>
      <c r="V479" s="6">
        <f t="shared" ca="1" si="43"/>
        <v>46031</v>
      </c>
      <c r="W479" s="6">
        <f t="shared" ca="1" si="44"/>
        <v>46037</v>
      </c>
      <c r="X479" t="str">
        <f t="shared" ca="1" si="45"/>
        <v>Jan 9 to Jan 15</v>
      </c>
      <c r="Y479" t="str">
        <f t="shared" ca="1" si="46"/>
        <v>⚪ SCHEDULED</v>
      </c>
      <c r="Z479" t="str">
        <f t="shared" ca="1" si="47"/>
        <v>No action needed yet</v>
      </c>
    </row>
    <row r="480" spans="1:26">
      <c r="A480">
        <v>1017952233</v>
      </c>
      <c r="B480" s="3" t="s">
        <v>1515</v>
      </c>
      <c r="C480">
        <v>61</v>
      </c>
      <c r="D480" t="s">
        <v>27</v>
      </c>
      <c r="E480" t="s">
        <v>29</v>
      </c>
      <c r="F480" t="s">
        <v>29</v>
      </c>
      <c r="G480" t="s">
        <v>28</v>
      </c>
      <c r="H480">
        <v>6</v>
      </c>
      <c r="I480" t="s">
        <v>30</v>
      </c>
      <c r="J480" t="s">
        <v>1516</v>
      </c>
      <c r="K480" t="s">
        <v>1517</v>
      </c>
      <c r="L480" t="s">
        <v>1518</v>
      </c>
      <c r="M480" s="4" t="s">
        <v>34</v>
      </c>
      <c r="N480" t="s">
        <v>119</v>
      </c>
      <c r="P480" s="3" t="s">
        <v>36</v>
      </c>
      <c r="Q480" s="3" t="s">
        <v>45</v>
      </c>
      <c r="R480">
        <v>2</v>
      </c>
      <c r="S480" s="5">
        <v>45597</v>
      </c>
      <c r="T480" t="s">
        <v>38</v>
      </c>
      <c r="U480">
        <f t="shared" ca="1" si="42"/>
        <v>12</v>
      </c>
      <c r="V480" s="6">
        <f t="shared" ca="1" si="43"/>
        <v>46014</v>
      </c>
      <c r="W480" s="6">
        <f t="shared" ca="1" si="44"/>
        <v>46020</v>
      </c>
      <c r="X480" t="str">
        <f t="shared" ca="1" si="45"/>
        <v>Dec 23 to Dec 29</v>
      </c>
      <c r="Y480" t="str">
        <f t="shared" ca="1" si="46"/>
        <v>🔵 NEXT 2 WEEKS</v>
      </c>
      <c r="Z480" t="str">
        <f t="shared" ca="1" si="47"/>
        <v>Send reminder SMS</v>
      </c>
    </row>
    <row r="481" spans="1:26">
      <c r="A481">
        <v>1018052959</v>
      </c>
      <c r="B481" s="3" t="s">
        <v>1519</v>
      </c>
      <c r="C481">
        <v>52</v>
      </c>
      <c r="D481" t="s">
        <v>27</v>
      </c>
      <c r="E481" t="s">
        <v>29</v>
      </c>
      <c r="F481" t="s">
        <v>29</v>
      </c>
      <c r="G481" t="s">
        <v>29</v>
      </c>
      <c r="H481">
        <v>5</v>
      </c>
      <c r="I481" t="s">
        <v>30</v>
      </c>
      <c r="J481" t="s">
        <v>1520</v>
      </c>
      <c r="K481" t="s">
        <v>1521</v>
      </c>
      <c r="M481" s="4" t="s">
        <v>43</v>
      </c>
      <c r="N481" t="s">
        <v>44</v>
      </c>
      <c r="P481" s="3" t="s">
        <v>36</v>
      </c>
      <c r="Q481" s="3" t="s">
        <v>45</v>
      </c>
      <c r="R481">
        <v>2</v>
      </c>
      <c r="S481" s="5">
        <v>45927</v>
      </c>
      <c r="T481" t="s">
        <v>38</v>
      </c>
      <c r="U481">
        <f t="shared" ca="1" si="42"/>
        <v>12</v>
      </c>
      <c r="V481" s="6">
        <f t="shared" ca="1" si="43"/>
        <v>46014</v>
      </c>
      <c r="W481" s="6">
        <f t="shared" ca="1" si="44"/>
        <v>46020</v>
      </c>
      <c r="X481" t="str">
        <f t="shared" ca="1" si="45"/>
        <v>Dec 23 to Dec 29</v>
      </c>
      <c r="Y481" t="str">
        <f t="shared" ca="1" si="46"/>
        <v>🔵 NEXT 2 WEEKS</v>
      </c>
      <c r="Z481" t="str">
        <f t="shared" ca="1" si="47"/>
        <v>Send reminder SMS</v>
      </c>
    </row>
    <row r="482" spans="1:26">
      <c r="A482">
        <v>1018227692</v>
      </c>
      <c r="B482" s="3" t="s">
        <v>1522</v>
      </c>
      <c r="C482">
        <v>46</v>
      </c>
      <c r="D482" t="s">
        <v>27</v>
      </c>
      <c r="E482" t="s">
        <v>28</v>
      </c>
      <c r="F482" t="s">
        <v>28</v>
      </c>
      <c r="G482" t="s">
        <v>28</v>
      </c>
      <c r="H482">
        <v>1</v>
      </c>
      <c r="I482" t="s">
        <v>55</v>
      </c>
      <c r="J482" t="s">
        <v>1131</v>
      </c>
      <c r="K482" t="s">
        <v>1523</v>
      </c>
      <c r="L482" t="s">
        <v>33</v>
      </c>
      <c r="M482" s="4" t="s">
        <v>43</v>
      </c>
      <c r="N482" t="s">
        <v>59</v>
      </c>
      <c r="P482" s="3" t="s">
        <v>36</v>
      </c>
      <c r="Q482" s="3" t="s">
        <v>45</v>
      </c>
      <c r="R482">
        <v>1</v>
      </c>
      <c r="S482" s="5">
        <v>45964</v>
      </c>
      <c r="T482" t="s">
        <v>393</v>
      </c>
      <c r="U482">
        <f t="shared" ca="1" si="42"/>
        <v>49</v>
      </c>
      <c r="V482" s="6">
        <f t="shared" ca="1" si="43"/>
        <v>46051</v>
      </c>
      <c r="W482" s="6">
        <f t="shared" ca="1" si="44"/>
        <v>46057</v>
      </c>
      <c r="X482" t="str">
        <f t="shared" ca="1" si="45"/>
        <v>Jan 29 to Feb 4</v>
      </c>
      <c r="Y482" t="str">
        <f t="shared" ca="1" si="46"/>
        <v>⚪ SCHEDULED</v>
      </c>
      <c r="Z482" t="str">
        <f t="shared" ca="1" si="47"/>
        <v>No action needed yet</v>
      </c>
    </row>
    <row r="483" spans="1:26">
      <c r="A483">
        <v>1018238392</v>
      </c>
      <c r="B483" s="3" t="s">
        <v>1524</v>
      </c>
      <c r="C483">
        <v>64</v>
      </c>
      <c r="D483" t="s">
        <v>47</v>
      </c>
      <c r="E483" t="s">
        <v>29</v>
      </c>
      <c r="F483" t="s">
        <v>29</v>
      </c>
      <c r="G483" t="s">
        <v>29</v>
      </c>
      <c r="H483">
        <v>6</v>
      </c>
      <c r="I483" t="s">
        <v>30</v>
      </c>
      <c r="J483" t="s">
        <v>157</v>
      </c>
      <c r="K483" t="s">
        <v>1525</v>
      </c>
      <c r="L483" t="s">
        <v>33</v>
      </c>
      <c r="M483" s="4" t="s">
        <v>34</v>
      </c>
      <c r="N483" t="s">
        <v>44</v>
      </c>
      <c r="P483" s="3" t="s">
        <v>36</v>
      </c>
      <c r="Q483" s="3" t="s">
        <v>858</v>
      </c>
      <c r="R483">
        <v>2</v>
      </c>
      <c r="S483" s="5">
        <v>45836</v>
      </c>
      <c r="T483" t="s">
        <v>38</v>
      </c>
      <c r="U483">
        <f t="shared" ca="1" si="42"/>
        <v>11</v>
      </c>
      <c r="V483" s="6">
        <f t="shared" ca="1" si="43"/>
        <v>46013</v>
      </c>
      <c r="W483" s="6">
        <f t="shared" ca="1" si="44"/>
        <v>46019</v>
      </c>
      <c r="X483" t="str">
        <f t="shared" ca="1" si="45"/>
        <v>Dec 22 to Dec 28</v>
      </c>
      <c r="Y483" t="str">
        <f t="shared" ca="1" si="46"/>
        <v>🔵 NEXT 2 WEEKS</v>
      </c>
      <c r="Z483" t="str">
        <f t="shared" ca="1" si="47"/>
        <v>Send reminder SMS</v>
      </c>
    </row>
    <row r="484" spans="1:26">
      <c r="A484">
        <v>1018248938</v>
      </c>
      <c r="B484" s="3" t="s">
        <v>1526</v>
      </c>
      <c r="C484">
        <v>53</v>
      </c>
      <c r="D484" t="s">
        <v>27</v>
      </c>
      <c r="E484" t="s">
        <v>29</v>
      </c>
      <c r="F484" t="s">
        <v>28</v>
      </c>
      <c r="G484" t="s">
        <v>28</v>
      </c>
      <c r="H484">
        <v>3</v>
      </c>
      <c r="I484" t="s">
        <v>66</v>
      </c>
      <c r="J484" t="s">
        <v>79</v>
      </c>
      <c r="K484" t="s">
        <v>1527</v>
      </c>
      <c r="L484" t="s">
        <v>33</v>
      </c>
      <c r="M484" s="4" t="s">
        <v>43</v>
      </c>
      <c r="N484" t="s">
        <v>148</v>
      </c>
      <c r="P484" s="3" t="s">
        <v>36</v>
      </c>
      <c r="Q484" s="3" t="s">
        <v>45</v>
      </c>
      <c r="R484">
        <v>2</v>
      </c>
      <c r="S484" s="5">
        <v>45861</v>
      </c>
      <c r="T484" t="s">
        <v>38</v>
      </c>
      <c r="U484">
        <f t="shared" ca="1" si="42"/>
        <v>6</v>
      </c>
      <c r="V484" s="6">
        <f t="shared" ca="1" si="43"/>
        <v>46008</v>
      </c>
      <c r="W484" s="6">
        <f t="shared" ca="1" si="44"/>
        <v>46014</v>
      </c>
      <c r="X484" t="str">
        <f t="shared" ca="1" si="45"/>
        <v>Dec 17 to Dec 23</v>
      </c>
      <c r="Y484" t="str">
        <f t="shared" ca="1" si="46"/>
        <v>🟢 THIS WEEK</v>
      </c>
      <c r="Z484" t="str">
        <f t="shared" ca="1" si="47"/>
        <v>Confirm appointment</v>
      </c>
    </row>
    <row r="485" spans="1:26">
      <c r="A485">
        <v>1018440220</v>
      </c>
      <c r="B485" s="3" t="s">
        <v>1528</v>
      </c>
      <c r="C485">
        <v>52</v>
      </c>
      <c r="D485" t="s">
        <v>27</v>
      </c>
      <c r="E485" t="s">
        <v>29</v>
      </c>
      <c r="F485" t="s">
        <v>28</v>
      </c>
      <c r="G485" t="s">
        <v>29</v>
      </c>
      <c r="H485">
        <v>5</v>
      </c>
      <c r="I485" t="s">
        <v>30</v>
      </c>
      <c r="J485" t="s">
        <v>762</v>
      </c>
      <c r="K485" t="s">
        <v>1529</v>
      </c>
      <c r="L485" t="s">
        <v>208</v>
      </c>
      <c r="M485" s="4" t="s">
        <v>43</v>
      </c>
      <c r="N485" t="s">
        <v>51</v>
      </c>
      <c r="P485" s="3" t="s">
        <v>36</v>
      </c>
      <c r="Q485" s="3" t="s">
        <v>45</v>
      </c>
      <c r="R485">
        <v>2</v>
      </c>
      <c r="S485" s="5">
        <v>45924</v>
      </c>
      <c r="T485" t="s">
        <v>38</v>
      </c>
      <c r="U485">
        <f t="shared" ca="1" si="42"/>
        <v>9</v>
      </c>
      <c r="V485" s="6">
        <f t="shared" ca="1" si="43"/>
        <v>46011</v>
      </c>
      <c r="W485" s="6">
        <f t="shared" ca="1" si="44"/>
        <v>46017</v>
      </c>
      <c r="X485" t="str">
        <f t="shared" ca="1" si="45"/>
        <v>Dec 20 to Dec 26</v>
      </c>
      <c r="Y485" t="str">
        <f t="shared" ca="1" si="46"/>
        <v>🔵 NEXT 2 WEEKS</v>
      </c>
      <c r="Z485" t="str">
        <f t="shared" ca="1" si="47"/>
        <v>Send reminder SMS</v>
      </c>
    </row>
    <row r="486" spans="1:26">
      <c r="A486">
        <v>1018466860</v>
      </c>
      <c r="B486" s="3" t="s">
        <v>1530</v>
      </c>
      <c r="C486">
        <v>53</v>
      </c>
      <c r="D486" t="s">
        <v>47</v>
      </c>
      <c r="E486" t="s">
        <v>29</v>
      </c>
      <c r="F486" t="s">
        <v>29</v>
      </c>
      <c r="G486" t="s">
        <v>28</v>
      </c>
      <c r="H486">
        <v>6</v>
      </c>
      <c r="I486" t="s">
        <v>30</v>
      </c>
      <c r="J486" t="s">
        <v>1531</v>
      </c>
      <c r="K486" t="s">
        <v>1532</v>
      </c>
      <c r="L486" t="s">
        <v>58</v>
      </c>
      <c r="M486" s="4" t="s">
        <v>43</v>
      </c>
      <c r="N486" t="s">
        <v>119</v>
      </c>
      <c r="P486" s="3" t="s">
        <v>36</v>
      </c>
      <c r="Q486" s="3" t="s">
        <v>107</v>
      </c>
      <c r="R486">
        <v>1</v>
      </c>
      <c r="S486" s="5">
        <v>45853</v>
      </c>
      <c r="T486" t="s">
        <v>38</v>
      </c>
      <c r="U486">
        <f t="shared" ca="1" si="42"/>
        <v>28</v>
      </c>
      <c r="V486" s="6">
        <f t="shared" ca="1" si="43"/>
        <v>46030</v>
      </c>
      <c r="W486" s="6">
        <f t="shared" ca="1" si="44"/>
        <v>46036</v>
      </c>
      <c r="X486" t="str">
        <f t="shared" ca="1" si="45"/>
        <v>Jan 8 to Jan 14</v>
      </c>
      <c r="Y486" t="str">
        <f t="shared" ca="1" si="46"/>
        <v>⚪ SCHEDULED</v>
      </c>
      <c r="Z486" t="str">
        <f t="shared" ca="1" si="47"/>
        <v>No action needed yet</v>
      </c>
    </row>
    <row r="487" spans="1:26">
      <c r="A487">
        <v>1018489698</v>
      </c>
      <c r="B487" s="3" t="s">
        <v>1533</v>
      </c>
      <c r="C487">
        <v>64</v>
      </c>
      <c r="D487" t="s">
        <v>47</v>
      </c>
      <c r="E487" t="s">
        <v>29</v>
      </c>
      <c r="F487" t="s">
        <v>28</v>
      </c>
      <c r="G487" t="s">
        <v>28</v>
      </c>
      <c r="H487">
        <v>4</v>
      </c>
      <c r="I487" t="s">
        <v>66</v>
      </c>
      <c r="J487" t="s">
        <v>430</v>
      </c>
      <c r="K487" t="s">
        <v>1534</v>
      </c>
      <c r="M487" s="4" t="s">
        <v>34</v>
      </c>
      <c r="N487" t="s">
        <v>148</v>
      </c>
      <c r="P487" s="3" t="s">
        <v>36</v>
      </c>
      <c r="Q487" s="3" t="s">
        <v>175</v>
      </c>
      <c r="R487">
        <v>1</v>
      </c>
      <c r="S487" s="5">
        <v>45454</v>
      </c>
      <c r="T487" t="s">
        <v>38</v>
      </c>
      <c r="U487">
        <f t="shared" ca="1" si="42"/>
        <v>19</v>
      </c>
      <c r="V487" s="6">
        <f t="shared" ca="1" si="43"/>
        <v>46021</v>
      </c>
      <c r="W487" s="6">
        <f t="shared" ca="1" si="44"/>
        <v>46027</v>
      </c>
      <c r="X487" t="str">
        <f t="shared" ca="1" si="45"/>
        <v>Dec 30 to Jan 5</v>
      </c>
      <c r="Y487" t="str">
        <f t="shared" ca="1" si="46"/>
        <v>⚪ SCHEDULED</v>
      </c>
      <c r="Z487" t="str">
        <f t="shared" ca="1" si="47"/>
        <v>No action needed yet</v>
      </c>
    </row>
    <row r="488" spans="1:26">
      <c r="A488">
        <v>1018530939</v>
      </c>
      <c r="B488" s="3" t="s">
        <v>1535</v>
      </c>
      <c r="C488">
        <v>49</v>
      </c>
      <c r="D488" t="s">
        <v>47</v>
      </c>
      <c r="E488" t="s">
        <v>29</v>
      </c>
      <c r="F488" t="s">
        <v>28</v>
      </c>
      <c r="G488" t="s">
        <v>29</v>
      </c>
      <c r="H488">
        <v>3</v>
      </c>
      <c r="I488" t="s">
        <v>66</v>
      </c>
      <c r="J488" t="s">
        <v>168</v>
      </c>
      <c r="K488" t="s">
        <v>1536</v>
      </c>
      <c r="L488" t="s">
        <v>170</v>
      </c>
      <c r="M488" s="4" t="s">
        <v>43</v>
      </c>
      <c r="N488" t="s">
        <v>182</v>
      </c>
      <c r="P488" s="3" t="s">
        <v>36</v>
      </c>
      <c r="Q488" s="3" t="s">
        <v>84</v>
      </c>
      <c r="R488">
        <v>2</v>
      </c>
      <c r="S488" s="5">
        <v>45888</v>
      </c>
      <c r="T488" t="s">
        <v>38</v>
      </c>
      <c r="U488">
        <f t="shared" ca="1" si="42"/>
        <v>3</v>
      </c>
      <c r="V488" s="6">
        <f t="shared" ca="1" si="43"/>
        <v>46005</v>
      </c>
      <c r="W488" s="6">
        <f t="shared" ca="1" si="44"/>
        <v>46011</v>
      </c>
      <c r="X488" t="str">
        <f t="shared" ca="1" si="45"/>
        <v>Dec 14 to Dec 20</v>
      </c>
      <c r="Y488" t="str">
        <f t="shared" ca="1" si="46"/>
        <v>🟡 IMMINENT (within 3 days)</v>
      </c>
      <c r="Z488" t="str">
        <f t="shared" ca="1" si="47"/>
        <v>Prepare medications TODAY</v>
      </c>
    </row>
    <row r="489" spans="1:26">
      <c r="A489">
        <v>1018580256</v>
      </c>
      <c r="B489" s="3" t="s">
        <v>1537</v>
      </c>
      <c r="C489">
        <v>72</v>
      </c>
      <c r="D489" t="s">
        <v>27</v>
      </c>
      <c r="E489" t="s">
        <v>28</v>
      </c>
      <c r="F489" t="s">
        <v>29</v>
      </c>
      <c r="G489" t="s">
        <v>29</v>
      </c>
      <c r="H489">
        <v>6</v>
      </c>
      <c r="I489" t="s">
        <v>30</v>
      </c>
      <c r="J489" t="s">
        <v>1538</v>
      </c>
      <c r="K489" t="s">
        <v>1539</v>
      </c>
      <c r="L489" t="s">
        <v>586</v>
      </c>
      <c r="M489" s="4" t="s">
        <v>34</v>
      </c>
      <c r="N489" t="s">
        <v>333</v>
      </c>
      <c r="P489" s="3" t="s">
        <v>36</v>
      </c>
      <c r="Q489" s="3" t="s">
        <v>1540</v>
      </c>
      <c r="R489">
        <v>2</v>
      </c>
      <c r="S489" s="5">
        <v>45757</v>
      </c>
      <c r="T489" t="s">
        <v>38</v>
      </c>
      <c r="U489">
        <f t="shared" ca="1" si="42"/>
        <v>22</v>
      </c>
      <c r="V489" s="6">
        <f t="shared" ca="1" si="43"/>
        <v>46024</v>
      </c>
      <c r="W489" s="6">
        <f t="shared" ca="1" si="44"/>
        <v>46030</v>
      </c>
      <c r="X489" t="str">
        <f t="shared" ca="1" si="45"/>
        <v>Jan 2 to Jan 8</v>
      </c>
      <c r="Y489" t="str">
        <f t="shared" ca="1" si="46"/>
        <v>⚪ SCHEDULED</v>
      </c>
      <c r="Z489" t="str">
        <f t="shared" ca="1" si="47"/>
        <v>No action needed yet</v>
      </c>
    </row>
    <row r="490" spans="1:26">
      <c r="A490">
        <v>1018581494</v>
      </c>
      <c r="B490" s="3" t="s">
        <v>1541</v>
      </c>
      <c r="C490">
        <v>58</v>
      </c>
      <c r="D490" t="s">
        <v>27</v>
      </c>
      <c r="E490" t="s">
        <v>29</v>
      </c>
      <c r="F490" t="s">
        <v>28</v>
      </c>
      <c r="G490" t="s">
        <v>28</v>
      </c>
      <c r="H490">
        <v>3</v>
      </c>
      <c r="I490" t="s">
        <v>66</v>
      </c>
      <c r="J490" t="s">
        <v>157</v>
      </c>
      <c r="K490" t="s">
        <v>1542</v>
      </c>
      <c r="M490" s="4" t="s">
        <v>34</v>
      </c>
      <c r="N490" t="s">
        <v>148</v>
      </c>
      <c r="P490" s="3" t="s">
        <v>36</v>
      </c>
      <c r="Q490" s="3" t="s">
        <v>313</v>
      </c>
      <c r="R490">
        <v>2</v>
      </c>
      <c r="S490" s="5">
        <v>45559</v>
      </c>
      <c r="T490" t="s">
        <v>38</v>
      </c>
      <c r="U490">
        <f t="shared" ca="1" si="42"/>
        <v>4</v>
      </c>
      <c r="V490" s="6">
        <f t="shared" ca="1" si="43"/>
        <v>46006</v>
      </c>
      <c r="W490" s="6">
        <f t="shared" ca="1" si="44"/>
        <v>46012</v>
      </c>
      <c r="X490" t="str">
        <f t="shared" ca="1" si="45"/>
        <v>Dec 15 to Dec 21</v>
      </c>
      <c r="Y490" t="str">
        <f t="shared" ca="1" si="46"/>
        <v>🟢 THIS WEEK</v>
      </c>
      <c r="Z490" t="str">
        <f t="shared" ca="1" si="47"/>
        <v>Confirm appointment</v>
      </c>
    </row>
    <row r="491" spans="1:26">
      <c r="A491">
        <v>1018685212</v>
      </c>
      <c r="B491" s="3" t="s">
        <v>1543</v>
      </c>
      <c r="C491">
        <v>62</v>
      </c>
      <c r="D491" t="s">
        <v>47</v>
      </c>
      <c r="E491" t="s">
        <v>29</v>
      </c>
      <c r="F491" t="s">
        <v>29</v>
      </c>
      <c r="G491" t="s">
        <v>28</v>
      </c>
      <c r="H491">
        <v>6</v>
      </c>
      <c r="I491" t="s">
        <v>30</v>
      </c>
      <c r="J491" t="s">
        <v>1544</v>
      </c>
      <c r="K491" t="s">
        <v>1545</v>
      </c>
      <c r="L491" t="s">
        <v>88</v>
      </c>
      <c r="M491" s="4" t="s">
        <v>94</v>
      </c>
      <c r="N491" t="s">
        <v>119</v>
      </c>
      <c r="P491" s="3" t="s">
        <v>36</v>
      </c>
      <c r="Q491" s="3" t="s">
        <v>107</v>
      </c>
      <c r="R491">
        <v>2</v>
      </c>
      <c r="S491" s="5">
        <v>45952</v>
      </c>
      <c r="T491" t="s">
        <v>38</v>
      </c>
      <c r="U491">
        <f t="shared" ca="1" si="42"/>
        <v>7</v>
      </c>
      <c r="V491" s="6">
        <f t="shared" ca="1" si="43"/>
        <v>46009</v>
      </c>
      <c r="W491" s="6">
        <f t="shared" ca="1" si="44"/>
        <v>46015</v>
      </c>
      <c r="X491" t="str">
        <f t="shared" ca="1" si="45"/>
        <v>Dec 18 to Dec 24</v>
      </c>
      <c r="Y491" t="str">
        <f t="shared" ca="1" si="46"/>
        <v>🟢 THIS WEEK</v>
      </c>
      <c r="Z491" t="str">
        <f t="shared" ca="1" si="47"/>
        <v>Confirm appointment</v>
      </c>
    </row>
    <row r="492" spans="1:26">
      <c r="A492">
        <v>1018696565</v>
      </c>
      <c r="B492" s="3" t="s">
        <v>1546</v>
      </c>
      <c r="C492">
        <v>66</v>
      </c>
      <c r="D492" t="s">
        <v>27</v>
      </c>
      <c r="E492" t="s">
        <v>28</v>
      </c>
      <c r="F492" t="s">
        <v>28</v>
      </c>
      <c r="G492" t="s">
        <v>29</v>
      </c>
      <c r="H492">
        <v>5</v>
      </c>
      <c r="I492" t="s">
        <v>30</v>
      </c>
      <c r="J492" t="s">
        <v>894</v>
      </c>
      <c r="K492" t="s">
        <v>1547</v>
      </c>
      <c r="M492" s="4" t="s">
        <v>34</v>
      </c>
      <c r="N492" t="s">
        <v>794</v>
      </c>
      <c r="P492" s="3" t="s">
        <v>36</v>
      </c>
      <c r="Q492" s="3" t="s">
        <v>230</v>
      </c>
      <c r="R492">
        <v>1</v>
      </c>
      <c r="S492" s="5">
        <v>45821</v>
      </c>
      <c r="T492" t="s">
        <v>38</v>
      </c>
      <c r="U492">
        <f t="shared" ca="1" si="42"/>
        <v>26</v>
      </c>
      <c r="V492" s="6">
        <f t="shared" ca="1" si="43"/>
        <v>46028</v>
      </c>
      <c r="W492" s="6">
        <f t="shared" ca="1" si="44"/>
        <v>46034</v>
      </c>
      <c r="X492" t="str">
        <f t="shared" ca="1" si="45"/>
        <v>Jan 6 to Jan 12</v>
      </c>
      <c r="Y492" t="str">
        <f t="shared" ca="1" si="46"/>
        <v>⚪ SCHEDULED</v>
      </c>
      <c r="Z492" t="str">
        <f t="shared" ca="1" si="47"/>
        <v>No action needed yet</v>
      </c>
    </row>
    <row r="493" spans="1:26">
      <c r="A493">
        <v>1018708188</v>
      </c>
      <c r="B493" s="3" t="s">
        <v>1548</v>
      </c>
      <c r="C493">
        <v>76</v>
      </c>
      <c r="D493" t="s">
        <v>27</v>
      </c>
      <c r="E493" t="s">
        <v>29</v>
      </c>
      <c r="F493" t="s">
        <v>29</v>
      </c>
      <c r="G493" t="s">
        <v>28</v>
      </c>
      <c r="H493">
        <v>6</v>
      </c>
      <c r="I493" t="s">
        <v>30</v>
      </c>
      <c r="J493" t="s">
        <v>1549</v>
      </c>
      <c r="K493" t="s">
        <v>1550</v>
      </c>
      <c r="L493" t="s">
        <v>338</v>
      </c>
      <c r="M493" s="4" t="s">
        <v>43</v>
      </c>
      <c r="N493" t="s">
        <v>131</v>
      </c>
      <c r="P493" s="3" t="s">
        <v>36</v>
      </c>
      <c r="Q493" s="3" t="s">
        <v>90</v>
      </c>
      <c r="R493">
        <v>1</v>
      </c>
      <c r="S493" s="5">
        <v>45926</v>
      </c>
      <c r="T493" t="s">
        <v>38</v>
      </c>
      <c r="U493">
        <f t="shared" ca="1" si="42"/>
        <v>11</v>
      </c>
      <c r="V493" s="6">
        <f t="shared" ca="1" si="43"/>
        <v>46013</v>
      </c>
      <c r="W493" s="6">
        <f t="shared" ca="1" si="44"/>
        <v>46019</v>
      </c>
      <c r="X493" t="str">
        <f t="shared" ca="1" si="45"/>
        <v>Dec 22 to Dec 28</v>
      </c>
      <c r="Y493" t="str">
        <f t="shared" ca="1" si="46"/>
        <v>🔵 NEXT 2 WEEKS</v>
      </c>
      <c r="Z493" t="str">
        <f t="shared" ca="1" si="47"/>
        <v>Send reminder SMS</v>
      </c>
    </row>
    <row r="494" spans="1:26">
      <c r="A494">
        <v>1018716157</v>
      </c>
      <c r="B494" s="3" t="s">
        <v>1551</v>
      </c>
      <c r="C494">
        <v>53</v>
      </c>
      <c r="D494" t="s">
        <v>27</v>
      </c>
      <c r="E494" t="s">
        <v>28</v>
      </c>
      <c r="F494" t="s">
        <v>29</v>
      </c>
      <c r="G494" t="s">
        <v>28</v>
      </c>
      <c r="H494">
        <v>3</v>
      </c>
      <c r="I494" t="s">
        <v>66</v>
      </c>
      <c r="J494" t="s">
        <v>1552</v>
      </c>
      <c r="K494" t="s">
        <v>1553</v>
      </c>
      <c r="L494" t="s">
        <v>1554</v>
      </c>
      <c r="M494" s="4" t="s">
        <v>34</v>
      </c>
      <c r="N494" t="s">
        <v>70</v>
      </c>
      <c r="P494" s="3" t="s">
        <v>36</v>
      </c>
      <c r="Q494" s="3" t="s">
        <v>365</v>
      </c>
      <c r="R494">
        <v>2</v>
      </c>
      <c r="S494" s="5">
        <v>45392</v>
      </c>
      <c r="T494" t="s">
        <v>38</v>
      </c>
      <c r="U494">
        <f t="shared" ca="1" si="42"/>
        <v>17</v>
      </c>
      <c r="V494" s="6">
        <f t="shared" ca="1" si="43"/>
        <v>46019</v>
      </c>
      <c r="W494" s="6">
        <f t="shared" ca="1" si="44"/>
        <v>46025</v>
      </c>
      <c r="X494" t="str">
        <f t="shared" ca="1" si="45"/>
        <v>Dec 28 to Jan 3</v>
      </c>
      <c r="Y494" t="str">
        <f t="shared" ca="1" si="46"/>
        <v>⚪ SCHEDULED</v>
      </c>
      <c r="Z494" t="str">
        <f t="shared" ca="1" si="47"/>
        <v>No action needed yet</v>
      </c>
    </row>
    <row r="495" spans="1:26">
      <c r="A495">
        <v>1018753515</v>
      </c>
      <c r="B495" s="3" t="s">
        <v>1555</v>
      </c>
      <c r="C495">
        <v>50</v>
      </c>
      <c r="D495" t="s">
        <v>27</v>
      </c>
      <c r="E495" t="s">
        <v>29</v>
      </c>
      <c r="F495" t="s">
        <v>28</v>
      </c>
      <c r="G495" t="s">
        <v>29</v>
      </c>
      <c r="H495">
        <v>5</v>
      </c>
      <c r="I495" t="s">
        <v>30</v>
      </c>
      <c r="J495" t="s">
        <v>564</v>
      </c>
      <c r="K495" t="s">
        <v>1556</v>
      </c>
      <c r="L495" t="s">
        <v>105</v>
      </c>
      <c r="M495" s="4" t="s">
        <v>34</v>
      </c>
      <c r="N495" t="s">
        <v>182</v>
      </c>
      <c r="P495" s="3" t="s">
        <v>36</v>
      </c>
      <c r="Q495" s="3" t="s">
        <v>107</v>
      </c>
      <c r="R495">
        <v>2</v>
      </c>
      <c r="S495" s="5">
        <v>45799</v>
      </c>
      <c r="T495" t="s">
        <v>38</v>
      </c>
      <c r="U495">
        <f t="shared" ca="1" si="42"/>
        <v>4</v>
      </c>
      <c r="V495" s="6">
        <f t="shared" ca="1" si="43"/>
        <v>46006</v>
      </c>
      <c r="W495" s="6">
        <f t="shared" ca="1" si="44"/>
        <v>46012</v>
      </c>
      <c r="X495" t="str">
        <f t="shared" ca="1" si="45"/>
        <v>Dec 15 to Dec 21</v>
      </c>
      <c r="Y495" t="str">
        <f t="shared" ca="1" si="46"/>
        <v>🟢 THIS WEEK</v>
      </c>
      <c r="Z495" t="str">
        <f t="shared" ca="1" si="47"/>
        <v>Confirm appointment</v>
      </c>
    </row>
    <row r="496" spans="1:26">
      <c r="A496">
        <v>1018774230</v>
      </c>
      <c r="B496" s="3" t="s">
        <v>1557</v>
      </c>
      <c r="C496">
        <v>83</v>
      </c>
      <c r="D496" t="s">
        <v>27</v>
      </c>
      <c r="E496" t="s">
        <v>29</v>
      </c>
      <c r="F496" t="s">
        <v>29</v>
      </c>
      <c r="G496" t="s">
        <v>29</v>
      </c>
      <c r="H496">
        <v>7</v>
      </c>
      <c r="I496" t="s">
        <v>30</v>
      </c>
      <c r="J496" t="s">
        <v>1558</v>
      </c>
      <c r="K496" t="s">
        <v>1559</v>
      </c>
      <c r="L496" t="s">
        <v>75</v>
      </c>
      <c r="M496" s="4" t="s">
        <v>43</v>
      </c>
      <c r="N496" t="s">
        <v>76</v>
      </c>
      <c r="P496" s="3" t="s">
        <v>36</v>
      </c>
      <c r="Q496" s="3" t="s">
        <v>45</v>
      </c>
      <c r="R496">
        <v>1</v>
      </c>
      <c r="S496" s="5">
        <v>45871</v>
      </c>
      <c r="T496" t="s">
        <v>38</v>
      </c>
      <c r="U496">
        <f t="shared" ca="1" si="42"/>
        <v>16</v>
      </c>
      <c r="V496" s="6">
        <f t="shared" ca="1" si="43"/>
        <v>46018</v>
      </c>
      <c r="W496" s="6">
        <f t="shared" ca="1" si="44"/>
        <v>46024</v>
      </c>
      <c r="X496" t="str">
        <f t="shared" ca="1" si="45"/>
        <v>Dec 27 to Jan 2</v>
      </c>
      <c r="Y496" t="str">
        <f t="shared" ca="1" si="46"/>
        <v>⚪ SCHEDULED</v>
      </c>
      <c r="Z496" t="str">
        <f t="shared" ca="1" si="47"/>
        <v>No action needed yet</v>
      </c>
    </row>
    <row r="497" spans="1:26">
      <c r="A497">
        <v>1018774255</v>
      </c>
      <c r="B497" s="3" t="s">
        <v>1560</v>
      </c>
      <c r="C497">
        <v>51</v>
      </c>
      <c r="D497" t="s">
        <v>47</v>
      </c>
      <c r="E497" t="s">
        <v>29</v>
      </c>
      <c r="F497" t="s">
        <v>28</v>
      </c>
      <c r="G497" t="s">
        <v>29</v>
      </c>
      <c r="H497">
        <v>5</v>
      </c>
      <c r="I497" t="s">
        <v>30</v>
      </c>
      <c r="J497" t="s">
        <v>1561</v>
      </c>
      <c r="K497" t="s">
        <v>1562</v>
      </c>
      <c r="L497" t="s">
        <v>208</v>
      </c>
      <c r="M497" s="4" t="s">
        <v>34</v>
      </c>
      <c r="N497" t="s">
        <v>51</v>
      </c>
      <c r="P497" s="3" t="s">
        <v>36</v>
      </c>
      <c r="Q497" s="3" t="s">
        <v>45</v>
      </c>
      <c r="R497">
        <v>1</v>
      </c>
      <c r="S497" s="5">
        <v>45798</v>
      </c>
      <c r="T497" t="s">
        <v>38</v>
      </c>
      <c r="U497">
        <f t="shared" ca="1" si="42"/>
        <v>3</v>
      </c>
      <c r="V497" s="6">
        <f t="shared" ca="1" si="43"/>
        <v>46005</v>
      </c>
      <c r="W497" s="6">
        <f t="shared" ca="1" si="44"/>
        <v>46011</v>
      </c>
      <c r="X497" t="str">
        <f t="shared" ca="1" si="45"/>
        <v>Dec 14 to Dec 20</v>
      </c>
      <c r="Y497" t="str">
        <f t="shared" ca="1" si="46"/>
        <v>🟡 IMMINENT (within 3 days)</v>
      </c>
      <c r="Z497" t="str">
        <f t="shared" ca="1" si="47"/>
        <v>Prepare medications TODAY</v>
      </c>
    </row>
    <row r="498" spans="1:26">
      <c r="A498">
        <v>1018792166</v>
      </c>
      <c r="B498" s="3" t="s">
        <v>1563</v>
      </c>
      <c r="C498">
        <v>48</v>
      </c>
      <c r="D498" t="s">
        <v>27</v>
      </c>
      <c r="E498" t="s">
        <v>28</v>
      </c>
      <c r="F498" t="s">
        <v>29</v>
      </c>
      <c r="G498" t="s">
        <v>28</v>
      </c>
      <c r="H498">
        <v>2</v>
      </c>
      <c r="I498" t="s">
        <v>55</v>
      </c>
      <c r="J498" t="s">
        <v>1564</v>
      </c>
      <c r="K498" t="s">
        <v>1565</v>
      </c>
      <c r="L498" t="s">
        <v>69</v>
      </c>
      <c r="M498" s="4" t="s">
        <v>43</v>
      </c>
      <c r="N498" t="s">
        <v>70</v>
      </c>
      <c r="P498" s="3" t="s">
        <v>36</v>
      </c>
      <c r="Q498" s="3" t="s">
        <v>1566</v>
      </c>
      <c r="R498">
        <v>1</v>
      </c>
      <c r="S498" s="5">
        <v>45953</v>
      </c>
      <c r="T498" t="s">
        <v>60</v>
      </c>
      <c r="U498">
        <f t="shared" ca="1" si="42"/>
        <v>8</v>
      </c>
      <c r="V498" s="6">
        <f t="shared" ca="1" si="43"/>
        <v>46010</v>
      </c>
      <c r="W498" s="6">
        <f t="shared" ca="1" si="44"/>
        <v>46016</v>
      </c>
      <c r="X498" t="str">
        <f t="shared" ca="1" si="45"/>
        <v>Dec 19 to Dec 25</v>
      </c>
      <c r="Y498" t="str">
        <f t="shared" ca="1" si="46"/>
        <v>🔵 NEXT 2 WEEKS</v>
      </c>
      <c r="Z498" t="str">
        <f t="shared" ca="1" si="47"/>
        <v>Send reminder SMS</v>
      </c>
    </row>
    <row r="499" spans="1:26">
      <c r="A499">
        <v>1018803575</v>
      </c>
      <c r="B499" s="3" t="s">
        <v>1567</v>
      </c>
      <c r="C499">
        <v>69</v>
      </c>
      <c r="D499" t="s">
        <v>47</v>
      </c>
      <c r="E499" t="s">
        <v>29</v>
      </c>
      <c r="F499" t="s">
        <v>29</v>
      </c>
      <c r="G499" t="s">
        <v>29</v>
      </c>
      <c r="H499">
        <v>7</v>
      </c>
      <c r="I499" t="s">
        <v>30</v>
      </c>
      <c r="J499" t="s">
        <v>1568</v>
      </c>
      <c r="K499" t="s">
        <v>1569</v>
      </c>
      <c r="L499" t="s">
        <v>33</v>
      </c>
      <c r="M499" s="4" t="s">
        <v>34</v>
      </c>
      <c r="N499" t="s">
        <v>44</v>
      </c>
      <c r="P499" s="3" t="s">
        <v>36</v>
      </c>
      <c r="Q499" s="3" t="s">
        <v>107</v>
      </c>
      <c r="R499">
        <v>1</v>
      </c>
      <c r="S499" s="5">
        <v>45785</v>
      </c>
      <c r="T499" t="s">
        <v>38</v>
      </c>
      <c r="U499">
        <f t="shared" ca="1" si="42"/>
        <v>20</v>
      </c>
      <c r="V499" s="6">
        <f t="shared" ca="1" si="43"/>
        <v>46022</v>
      </c>
      <c r="W499" s="6">
        <f t="shared" ca="1" si="44"/>
        <v>46028</v>
      </c>
      <c r="X499" t="str">
        <f t="shared" ca="1" si="45"/>
        <v>Dec 31 to Jan 6</v>
      </c>
      <c r="Y499" t="str">
        <f t="shared" ca="1" si="46"/>
        <v>⚪ SCHEDULED</v>
      </c>
      <c r="Z499" t="str">
        <f t="shared" ca="1" si="47"/>
        <v>No action needed yet</v>
      </c>
    </row>
    <row r="500" spans="1:26">
      <c r="A500">
        <v>1018958650</v>
      </c>
      <c r="B500" s="3" t="s">
        <v>1570</v>
      </c>
      <c r="C500">
        <v>46</v>
      </c>
      <c r="D500" t="s">
        <v>27</v>
      </c>
      <c r="E500" t="s">
        <v>28</v>
      </c>
      <c r="F500" t="s">
        <v>29</v>
      </c>
      <c r="G500" t="s">
        <v>28</v>
      </c>
      <c r="H500">
        <v>3</v>
      </c>
      <c r="I500" t="s">
        <v>66</v>
      </c>
      <c r="J500" t="s">
        <v>168</v>
      </c>
      <c r="K500" t="s">
        <v>1571</v>
      </c>
      <c r="L500" t="s">
        <v>170</v>
      </c>
      <c r="M500" s="4" t="s">
        <v>43</v>
      </c>
      <c r="N500" t="s">
        <v>64</v>
      </c>
      <c r="P500" s="3" t="s">
        <v>36</v>
      </c>
      <c r="Q500" s="3" t="s">
        <v>107</v>
      </c>
      <c r="R500">
        <v>1</v>
      </c>
      <c r="S500" s="5">
        <v>45881</v>
      </c>
      <c r="T500" t="s">
        <v>38</v>
      </c>
      <c r="U500">
        <f t="shared" ca="1" si="42"/>
        <v>26</v>
      </c>
      <c r="V500" s="6">
        <f t="shared" ca="1" si="43"/>
        <v>46028</v>
      </c>
      <c r="W500" s="6">
        <f t="shared" ca="1" si="44"/>
        <v>46034</v>
      </c>
      <c r="X500" t="str">
        <f t="shared" ca="1" si="45"/>
        <v>Jan 6 to Jan 12</v>
      </c>
      <c r="Y500" t="str">
        <f t="shared" ca="1" si="46"/>
        <v>⚪ SCHEDULED</v>
      </c>
      <c r="Z500" t="str">
        <f t="shared" ca="1" si="47"/>
        <v>No action needed yet</v>
      </c>
    </row>
    <row r="501" spans="1:26">
      <c r="A501">
        <v>1018958684</v>
      </c>
      <c r="B501" s="3" t="s">
        <v>1572</v>
      </c>
      <c r="C501">
        <v>55</v>
      </c>
      <c r="D501" t="s">
        <v>27</v>
      </c>
      <c r="E501" t="s">
        <v>29</v>
      </c>
      <c r="F501" t="s">
        <v>29</v>
      </c>
      <c r="G501" t="s">
        <v>29</v>
      </c>
      <c r="H501">
        <v>6</v>
      </c>
      <c r="I501" t="s">
        <v>30</v>
      </c>
      <c r="J501" t="s">
        <v>1573</v>
      </c>
      <c r="K501" t="s">
        <v>1574</v>
      </c>
      <c r="L501" t="s">
        <v>234</v>
      </c>
      <c r="M501" s="4" t="s">
        <v>43</v>
      </c>
      <c r="N501" t="s">
        <v>201</v>
      </c>
      <c r="P501" s="3" t="s">
        <v>36</v>
      </c>
      <c r="Q501" s="3" t="s">
        <v>77</v>
      </c>
      <c r="R501">
        <v>1</v>
      </c>
      <c r="S501" s="5">
        <v>45854</v>
      </c>
      <c r="T501" t="s">
        <v>38</v>
      </c>
      <c r="U501">
        <f t="shared" ca="1" si="42"/>
        <v>29</v>
      </c>
      <c r="V501" s="6">
        <f t="shared" ca="1" si="43"/>
        <v>46031</v>
      </c>
      <c r="W501" s="6">
        <f t="shared" ca="1" si="44"/>
        <v>46037</v>
      </c>
      <c r="X501" t="str">
        <f t="shared" ca="1" si="45"/>
        <v>Jan 9 to Jan 15</v>
      </c>
      <c r="Y501" t="str">
        <f t="shared" ca="1" si="46"/>
        <v>⚪ SCHEDULED</v>
      </c>
      <c r="Z501" t="str">
        <f t="shared" ca="1" si="47"/>
        <v>No action needed yet</v>
      </c>
    </row>
    <row r="502" spans="1:26">
      <c r="A502">
        <v>1018979896</v>
      </c>
      <c r="B502" s="3" t="s">
        <v>1575</v>
      </c>
      <c r="C502">
        <v>64</v>
      </c>
      <c r="D502" t="s">
        <v>47</v>
      </c>
      <c r="E502" t="s">
        <v>28</v>
      </c>
      <c r="F502" t="s">
        <v>29</v>
      </c>
      <c r="G502" t="s">
        <v>29</v>
      </c>
      <c r="H502">
        <v>5</v>
      </c>
      <c r="I502" t="s">
        <v>30</v>
      </c>
      <c r="J502" t="s">
        <v>1576</v>
      </c>
      <c r="K502" t="s">
        <v>1577</v>
      </c>
      <c r="L502" t="s">
        <v>1578</v>
      </c>
      <c r="M502" s="4" t="s">
        <v>43</v>
      </c>
      <c r="N502" t="s">
        <v>1126</v>
      </c>
      <c r="P502" s="3" t="s">
        <v>36</v>
      </c>
      <c r="Q502" s="3" t="s">
        <v>90</v>
      </c>
      <c r="R502">
        <v>1</v>
      </c>
      <c r="S502" s="5">
        <v>45920</v>
      </c>
      <c r="T502" t="s">
        <v>38</v>
      </c>
      <c r="U502">
        <f t="shared" ca="1" si="42"/>
        <v>5</v>
      </c>
      <c r="V502" s="6">
        <f t="shared" ca="1" si="43"/>
        <v>46007</v>
      </c>
      <c r="W502" s="6">
        <f t="shared" ca="1" si="44"/>
        <v>46013</v>
      </c>
      <c r="X502" t="str">
        <f t="shared" ca="1" si="45"/>
        <v>Dec 16 to Dec 22</v>
      </c>
      <c r="Y502" t="str">
        <f t="shared" ca="1" si="46"/>
        <v>🟢 THIS WEEK</v>
      </c>
      <c r="Z502" t="str">
        <f t="shared" ca="1" si="47"/>
        <v>Confirm appointment</v>
      </c>
    </row>
    <row r="503" spans="1:26">
      <c r="A503">
        <v>1018991222</v>
      </c>
      <c r="B503" s="3" t="s">
        <v>1579</v>
      </c>
      <c r="C503">
        <v>58</v>
      </c>
      <c r="D503" t="s">
        <v>47</v>
      </c>
      <c r="E503" t="s">
        <v>28</v>
      </c>
      <c r="F503" t="s">
        <v>29</v>
      </c>
      <c r="G503" t="s">
        <v>29</v>
      </c>
      <c r="H503">
        <v>5</v>
      </c>
      <c r="I503" t="s">
        <v>30</v>
      </c>
      <c r="J503" t="s">
        <v>1580</v>
      </c>
      <c r="K503" t="s">
        <v>1581</v>
      </c>
      <c r="L503" t="s">
        <v>69</v>
      </c>
      <c r="M503" s="4" t="s">
        <v>34</v>
      </c>
      <c r="N503" t="s">
        <v>1126</v>
      </c>
      <c r="P503" s="3" t="s">
        <v>36</v>
      </c>
      <c r="Q503" s="3" t="s">
        <v>230</v>
      </c>
      <c r="R503">
        <v>1</v>
      </c>
      <c r="S503" s="5">
        <v>45794</v>
      </c>
      <c r="T503" t="s">
        <v>38</v>
      </c>
      <c r="U503">
        <f t="shared" ca="1" si="42"/>
        <v>29</v>
      </c>
      <c r="V503" s="6">
        <f t="shared" ca="1" si="43"/>
        <v>46031</v>
      </c>
      <c r="W503" s="6">
        <f t="shared" ca="1" si="44"/>
        <v>46037</v>
      </c>
      <c r="X503" t="str">
        <f t="shared" ca="1" si="45"/>
        <v>Jan 9 to Jan 15</v>
      </c>
      <c r="Y503" t="str">
        <f t="shared" ca="1" si="46"/>
        <v>⚪ SCHEDULED</v>
      </c>
      <c r="Z503" t="str">
        <f t="shared" ca="1" si="47"/>
        <v>No action needed yet</v>
      </c>
    </row>
    <row r="504" spans="1:26">
      <c r="A504">
        <v>1019014826</v>
      </c>
      <c r="B504" s="3" t="s">
        <v>1582</v>
      </c>
      <c r="C504">
        <v>61</v>
      </c>
      <c r="D504" t="s">
        <v>47</v>
      </c>
      <c r="E504" t="s">
        <v>29</v>
      </c>
      <c r="F504" t="s">
        <v>29</v>
      </c>
      <c r="G504" t="s">
        <v>29</v>
      </c>
      <c r="H504">
        <v>7</v>
      </c>
      <c r="I504" t="s">
        <v>30</v>
      </c>
      <c r="J504" t="s">
        <v>360</v>
      </c>
      <c r="K504" t="s">
        <v>1583</v>
      </c>
      <c r="L504" t="s">
        <v>170</v>
      </c>
      <c r="M504" s="4" t="s">
        <v>94</v>
      </c>
      <c r="N504" t="s">
        <v>171</v>
      </c>
      <c r="P504" s="3" t="s">
        <v>36</v>
      </c>
      <c r="Q504" s="3" t="s">
        <v>107</v>
      </c>
      <c r="R504">
        <v>1</v>
      </c>
      <c r="S504" s="5">
        <v>45951</v>
      </c>
      <c r="T504" t="s">
        <v>38</v>
      </c>
      <c r="U504">
        <f t="shared" ca="1" si="42"/>
        <v>6</v>
      </c>
      <c r="V504" s="6">
        <f t="shared" ca="1" si="43"/>
        <v>46008</v>
      </c>
      <c r="W504" s="6">
        <f t="shared" ca="1" si="44"/>
        <v>46014</v>
      </c>
      <c r="X504" t="str">
        <f t="shared" ca="1" si="45"/>
        <v>Dec 17 to Dec 23</v>
      </c>
      <c r="Y504" t="str">
        <f t="shared" ca="1" si="46"/>
        <v>🟢 THIS WEEK</v>
      </c>
      <c r="Z504" t="str">
        <f t="shared" ca="1" si="47"/>
        <v>Confirm appointment</v>
      </c>
    </row>
    <row r="505" spans="1:26">
      <c r="A505">
        <v>1019074317</v>
      </c>
      <c r="B505" s="3" t="s">
        <v>1584</v>
      </c>
      <c r="C505">
        <v>66</v>
      </c>
      <c r="D505" t="s">
        <v>27</v>
      </c>
      <c r="E505" t="s">
        <v>28</v>
      </c>
      <c r="F505" t="s">
        <v>28</v>
      </c>
      <c r="G505" t="s">
        <v>29</v>
      </c>
      <c r="H505">
        <v>4</v>
      </c>
      <c r="I505" t="s">
        <v>66</v>
      </c>
      <c r="J505" t="s">
        <v>1585</v>
      </c>
      <c r="K505" t="s">
        <v>1586</v>
      </c>
      <c r="L505" t="s">
        <v>139</v>
      </c>
      <c r="M505" s="4" t="s">
        <v>34</v>
      </c>
      <c r="N505" t="s">
        <v>140</v>
      </c>
      <c r="P505" s="3" t="s">
        <v>36</v>
      </c>
      <c r="Q505" s="3" t="s">
        <v>107</v>
      </c>
      <c r="R505">
        <v>2</v>
      </c>
      <c r="S505" s="5">
        <v>45412</v>
      </c>
      <c r="T505" t="s">
        <v>38</v>
      </c>
      <c r="U505">
        <f t="shared" ca="1" si="42"/>
        <v>7</v>
      </c>
      <c r="V505" s="6">
        <f t="shared" ca="1" si="43"/>
        <v>46009</v>
      </c>
      <c r="W505" s="6">
        <f t="shared" ca="1" si="44"/>
        <v>46015</v>
      </c>
      <c r="X505" t="str">
        <f t="shared" ca="1" si="45"/>
        <v>Dec 18 to Dec 24</v>
      </c>
      <c r="Y505" t="str">
        <f t="shared" ca="1" si="46"/>
        <v>🟢 THIS WEEK</v>
      </c>
      <c r="Z505" t="str">
        <f t="shared" ca="1" si="47"/>
        <v>Confirm appointment</v>
      </c>
    </row>
    <row r="506" spans="1:26">
      <c r="A506">
        <v>1019180510</v>
      </c>
      <c r="B506" s="3" t="s">
        <v>1587</v>
      </c>
      <c r="C506">
        <v>71</v>
      </c>
      <c r="D506" t="s">
        <v>47</v>
      </c>
      <c r="E506" t="s">
        <v>29</v>
      </c>
      <c r="F506" t="s">
        <v>29</v>
      </c>
      <c r="G506" t="s">
        <v>29</v>
      </c>
      <c r="H506">
        <v>7</v>
      </c>
      <c r="I506" t="s">
        <v>30</v>
      </c>
      <c r="J506" t="s">
        <v>1588</v>
      </c>
      <c r="K506" t="s">
        <v>1589</v>
      </c>
      <c r="L506" t="s">
        <v>968</v>
      </c>
      <c r="M506" s="4" t="s">
        <v>94</v>
      </c>
      <c r="N506" t="s">
        <v>201</v>
      </c>
      <c r="P506" s="3" t="s">
        <v>36</v>
      </c>
      <c r="Q506" s="3" t="s">
        <v>107</v>
      </c>
      <c r="R506">
        <v>1</v>
      </c>
      <c r="S506" s="5">
        <v>45945</v>
      </c>
      <c r="T506" t="s">
        <v>38</v>
      </c>
      <c r="U506">
        <f t="shared" ca="1" si="42"/>
        <v>0</v>
      </c>
      <c r="V506" s="6">
        <f t="shared" ca="1" si="43"/>
        <v>46002</v>
      </c>
      <c r="W506" s="6">
        <f t="shared" ca="1" si="44"/>
        <v>46008</v>
      </c>
      <c r="X506" t="str">
        <f t="shared" ca="1" si="45"/>
        <v>Dec 11 to Dec 17</v>
      </c>
      <c r="Y506" t="str">
        <f t="shared" ca="1" si="46"/>
        <v>🟡 IMMINENT (within 3 days)</v>
      </c>
      <c r="Z506" t="str">
        <f t="shared" ca="1" si="47"/>
        <v>Prepare medications TODAY</v>
      </c>
    </row>
    <row r="507" spans="1:26">
      <c r="A507">
        <v>1019212768</v>
      </c>
      <c r="B507" s="3" t="s">
        <v>1590</v>
      </c>
      <c r="C507">
        <v>44</v>
      </c>
      <c r="D507" t="s">
        <v>47</v>
      </c>
      <c r="E507" t="s">
        <v>28</v>
      </c>
      <c r="F507" t="s">
        <v>29</v>
      </c>
      <c r="G507" t="s">
        <v>28</v>
      </c>
      <c r="H507">
        <v>3</v>
      </c>
      <c r="I507" t="s">
        <v>66</v>
      </c>
      <c r="J507" t="s">
        <v>1591</v>
      </c>
      <c r="K507" t="s">
        <v>1592</v>
      </c>
      <c r="L507" t="s">
        <v>69</v>
      </c>
      <c r="M507" s="4" t="s">
        <v>43</v>
      </c>
      <c r="N507" t="s">
        <v>70</v>
      </c>
      <c r="P507" s="3" t="s">
        <v>36</v>
      </c>
      <c r="Q507" s="3" t="s">
        <v>90</v>
      </c>
      <c r="R507">
        <v>1</v>
      </c>
      <c r="S507" s="5">
        <v>45917</v>
      </c>
      <c r="T507" t="s">
        <v>38</v>
      </c>
      <c r="U507">
        <f t="shared" ca="1" si="42"/>
        <v>2</v>
      </c>
      <c r="V507" s="6">
        <f t="shared" ca="1" si="43"/>
        <v>46004</v>
      </c>
      <c r="W507" s="6">
        <f t="shared" ca="1" si="44"/>
        <v>46010</v>
      </c>
      <c r="X507" t="str">
        <f t="shared" ca="1" si="45"/>
        <v>Dec 13 to Dec 19</v>
      </c>
      <c r="Y507" t="str">
        <f t="shared" ca="1" si="46"/>
        <v>🟡 IMMINENT (within 3 days)</v>
      </c>
      <c r="Z507" t="str">
        <f t="shared" ca="1" si="47"/>
        <v>Prepare medications TODAY</v>
      </c>
    </row>
    <row r="508" spans="1:26">
      <c r="A508">
        <v>1019220415</v>
      </c>
      <c r="B508" s="3" t="s">
        <v>1593</v>
      </c>
      <c r="C508">
        <v>63</v>
      </c>
      <c r="D508" t="s">
        <v>27</v>
      </c>
      <c r="E508" t="s">
        <v>29</v>
      </c>
      <c r="F508" t="s">
        <v>29</v>
      </c>
      <c r="G508" t="s">
        <v>29</v>
      </c>
      <c r="H508">
        <v>6</v>
      </c>
      <c r="I508" t="s">
        <v>30</v>
      </c>
      <c r="J508" t="s">
        <v>1594</v>
      </c>
      <c r="K508" t="s">
        <v>1595</v>
      </c>
      <c r="L508" t="s">
        <v>75</v>
      </c>
      <c r="M508" s="4" t="s">
        <v>34</v>
      </c>
      <c r="N508" t="s">
        <v>76</v>
      </c>
      <c r="P508" s="3" t="s">
        <v>36</v>
      </c>
      <c r="Q508" s="3" t="s">
        <v>90</v>
      </c>
      <c r="R508">
        <v>2</v>
      </c>
      <c r="S508" s="5">
        <v>45645</v>
      </c>
      <c r="T508" t="s">
        <v>38</v>
      </c>
      <c r="U508">
        <f t="shared" ca="1" si="42"/>
        <v>0</v>
      </c>
      <c r="V508" s="6">
        <f t="shared" ca="1" si="43"/>
        <v>46002</v>
      </c>
      <c r="W508" s="6">
        <f t="shared" ca="1" si="44"/>
        <v>46008</v>
      </c>
      <c r="X508" t="str">
        <f t="shared" ca="1" si="45"/>
        <v>Dec 11 to Dec 17</v>
      </c>
      <c r="Y508" t="str">
        <f t="shared" ca="1" si="46"/>
        <v>🟡 IMMINENT (within 3 days)</v>
      </c>
      <c r="Z508" t="str">
        <f t="shared" ca="1" si="47"/>
        <v>Prepare medications TODAY</v>
      </c>
    </row>
    <row r="509" spans="1:26">
      <c r="A509">
        <v>1019272333</v>
      </c>
      <c r="B509" s="3" t="s">
        <v>1596</v>
      </c>
      <c r="C509">
        <v>66</v>
      </c>
      <c r="D509" t="s">
        <v>47</v>
      </c>
      <c r="E509" t="s">
        <v>29</v>
      </c>
      <c r="F509" t="s">
        <v>28</v>
      </c>
      <c r="G509" t="s">
        <v>28</v>
      </c>
      <c r="H509">
        <v>4</v>
      </c>
      <c r="I509" t="s">
        <v>66</v>
      </c>
      <c r="J509" t="s">
        <v>253</v>
      </c>
      <c r="K509" t="s">
        <v>1597</v>
      </c>
      <c r="L509" t="s">
        <v>33</v>
      </c>
      <c r="M509" s="4" t="s">
        <v>43</v>
      </c>
      <c r="N509" t="s">
        <v>148</v>
      </c>
      <c r="P509" s="3" t="s">
        <v>36</v>
      </c>
      <c r="Q509" s="3" t="s">
        <v>90</v>
      </c>
      <c r="R509">
        <v>1</v>
      </c>
      <c r="S509" s="5">
        <v>45926</v>
      </c>
      <c r="T509" t="s">
        <v>38</v>
      </c>
      <c r="U509">
        <f t="shared" ca="1" si="42"/>
        <v>11</v>
      </c>
      <c r="V509" s="6">
        <f t="shared" ca="1" si="43"/>
        <v>46013</v>
      </c>
      <c r="W509" s="6">
        <f t="shared" ca="1" si="44"/>
        <v>46019</v>
      </c>
      <c r="X509" t="str">
        <f t="shared" ca="1" si="45"/>
        <v>Dec 22 to Dec 28</v>
      </c>
      <c r="Y509" t="str">
        <f t="shared" ca="1" si="46"/>
        <v>🔵 NEXT 2 WEEKS</v>
      </c>
      <c r="Z509" t="str">
        <f t="shared" ca="1" si="47"/>
        <v>Send reminder SMS</v>
      </c>
    </row>
    <row r="510" spans="1:26">
      <c r="A510">
        <v>1019361284</v>
      </c>
      <c r="B510" s="3" t="s">
        <v>1598</v>
      </c>
      <c r="C510">
        <v>61</v>
      </c>
      <c r="D510" t="s">
        <v>27</v>
      </c>
      <c r="E510" t="s">
        <v>28</v>
      </c>
      <c r="F510" t="s">
        <v>29</v>
      </c>
      <c r="G510" t="s">
        <v>29</v>
      </c>
      <c r="H510">
        <v>5</v>
      </c>
      <c r="I510" t="s">
        <v>30</v>
      </c>
      <c r="J510" t="s">
        <v>253</v>
      </c>
      <c r="K510" t="s">
        <v>1599</v>
      </c>
      <c r="L510" t="s">
        <v>33</v>
      </c>
      <c r="M510" s="4" t="s">
        <v>34</v>
      </c>
      <c r="N510" t="s">
        <v>35</v>
      </c>
      <c r="P510" s="3" t="s">
        <v>36</v>
      </c>
      <c r="Q510" s="3" t="s">
        <v>90</v>
      </c>
      <c r="R510">
        <v>2</v>
      </c>
      <c r="S510" s="5">
        <v>45511</v>
      </c>
      <c r="T510" t="s">
        <v>38</v>
      </c>
      <c r="U510">
        <f t="shared" ca="1" si="42"/>
        <v>16</v>
      </c>
      <c r="V510" s="6">
        <f t="shared" ca="1" si="43"/>
        <v>46018</v>
      </c>
      <c r="W510" s="6">
        <f t="shared" ca="1" si="44"/>
        <v>46024</v>
      </c>
      <c r="X510" t="str">
        <f t="shared" ca="1" si="45"/>
        <v>Dec 27 to Jan 2</v>
      </c>
      <c r="Y510" t="str">
        <f t="shared" ca="1" si="46"/>
        <v>⚪ SCHEDULED</v>
      </c>
      <c r="Z510" t="str">
        <f t="shared" ca="1" si="47"/>
        <v>No action needed yet</v>
      </c>
    </row>
    <row r="511" spans="1:26">
      <c r="A511">
        <v>1019387263</v>
      </c>
      <c r="B511" s="3" t="s">
        <v>1600</v>
      </c>
      <c r="C511">
        <v>67</v>
      </c>
      <c r="D511" t="s">
        <v>27</v>
      </c>
      <c r="E511" t="s">
        <v>54</v>
      </c>
      <c r="F511" t="s">
        <v>54</v>
      </c>
      <c r="G511" t="s">
        <v>54</v>
      </c>
      <c r="H511">
        <v>3</v>
      </c>
      <c r="I511" t="s">
        <v>66</v>
      </c>
      <c r="J511" t="s">
        <v>1601</v>
      </c>
      <c r="K511" t="s">
        <v>1602</v>
      </c>
      <c r="L511" t="s">
        <v>88</v>
      </c>
      <c r="M511" s="4" t="s">
        <v>34</v>
      </c>
      <c r="N511" t="s">
        <v>59</v>
      </c>
      <c r="P511" s="3" t="s">
        <v>36</v>
      </c>
      <c r="Q511" t="s">
        <v>54</v>
      </c>
      <c r="R511">
        <v>1</v>
      </c>
      <c r="S511" s="5">
        <v>45820</v>
      </c>
      <c r="T511" t="s">
        <v>38</v>
      </c>
      <c r="U511">
        <f t="shared" ca="1" si="42"/>
        <v>25</v>
      </c>
      <c r="V511" s="6">
        <f t="shared" ca="1" si="43"/>
        <v>46027</v>
      </c>
      <c r="W511" s="6">
        <f t="shared" ca="1" si="44"/>
        <v>46033</v>
      </c>
      <c r="X511" t="str">
        <f t="shared" ca="1" si="45"/>
        <v>Jan 5 to Jan 11</v>
      </c>
      <c r="Y511" t="str">
        <f t="shared" ca="1" si="46"/>
        <v>⚪ SCHEDULED</v>
      </c>
      <c r="Z511" t="str">
        <f t="shared" ca="1" si="47"/>
        <v>No action needed yet</v>
      </c>
    </row>
    <row r="512" spans="1:26">
      <c r="A512">
        <v>1019782687</v>
      </c>
      <c r="B512" s="3" t="s">
        <v>1603</v>
      </c>
      <c r="C512">
        <v>58</v>
      </c>
      <c r="D512" t="s">
        <v>47</v>
      </c>
      <c r="E512" t="s">
        <v>29</v>
      </c>
      <c r="F512" t="s">
        <v>29</v>
      </c>
      <c r="G512" t="s">
        <v>28</v>
      </c>
      <c r="H512">
        <v>5</v>
      </c>
      <c r="I512" t="s">
        <v>30</v>
      </c>
      <c r="J512" t="s">
        <v>1604</v>
      </c>
      <c r="K512" t="s">
        <v>1605</v>
      </c>
      <c r="L512" t="s">
        <v>105</v>
      </c>
      <c r="M512" s="4" t="s">
        <v>34</v>
      </c>
      <c r="N512" t="s">
        <v>106</v>
      </c>
      <c r="P512" s="3" t="s">
        <v>36</v>
      </c>
      <c r="Q512" s="3" t="s">
        <v>107</v>
      </c>
      <c r="R512">
        <v>2</v>
      </c>
      <c r="S512" s="5">
        <v>45759</v>
      </c>
      <c r="T512" t="s">
        <v>38</v>
      </c>
      <c r="U512">
        <f t="shared" ca="1" si="42"/>
        <v>24</v>
      </c>
      <c r="V512" s="6">
        <f t="shared" ca="1" si="43"/>
        <v>46026</v>
      </c>
      <c r="W512" s="6">
        <f t="shared" ca="1" si="44"/>
        <v>46032</v>
      </c>
      <c r="X512" t="str">
        <f t="shared" ca="1" si="45"/>
        <v>Jan 4 to Jan 10</v>
      </c>
      <c r="Y512" t="str">
        <f t="shared" ca="1" si="46"/>
        <v>⚪ SCHEDULED</v>
      </c>
      <c r="Z512" t="str">
        <f t="shared" ca="1" si="47"/>
        <v>No action needed yet</v>
      </c>
    </row>
    <row r="513" spans="1:26">
      <c r="A513">
        <v>1019801305</v>
      </c>
      <c r="B513" s="3" t="s">
        <v>1606</v>
      </c>
      <c r="C513">
        <v>43</v>
      </c>
      <c r="D513" t="s">
        <v>47</v>
      </c>
      <c r="E513" t="s">
        <v>54</v>
      </c>
      <c r="F513" t="s">
        <v>54</v>
      </c>
      <c r="G513" t="s">
        <v>54</v>
      </c>
      <c r="H513">
        <v>1</v>
      </c>
      <c r="I513" t="s">
        <v>55</v>
      </c>
      <c r="J513" t="s">
        <v>1607</v>
      </c>
      <c r="K513" t="s">
        <v>1608</v>
      </c>
      <c r="L513" t="s">
        <v>114</v>
      </c>
      <c r="M513" s="4" t="s">
        <v>43</v>
      </c>
      <c r="N513" t="s">
        <v>59</v>
      </c>
      <c r="P513" s="3" t="s">
        <v>36</v>
      </c>
      <c r="Q513" s="3" t="s">
        <v>107</v>
      </c>
      <c r="R513">
        <v>1</v>
      </c>
      <c r="S513" s="5">
        <v>45985</v>
      </c>
      <c r="T513" t="s">
        <v>393</v>
      </c>
      <c r="U513">
        <f t="shared" ca="1" si="42"/>
        <v>70</v>
      </c>
      <c r="V513" s="6">
        <f t="shared" ca="1" si="43"/>
        <v>46072</v>
      </c>
      <c r="W513" s="6">
        <f t="shared" ca="1" si="44"/>
        <v>46078</v>
      </c>
      <c r="X513" t="str">
        <f t="shared" ca="1" si="45"/>
        <v>Feb 19 to Feb 25</v>
      </c>
      <c r="Y513" t="str">
        <f t="shared" ca="1" si="46"/>
        <v>⚪ SCHEDULED</v>
      </c>
      <c r="Z513" t="str">
        <f t="shared" ca="1" si="47"/>
        <v>No action needed yet</v>
      </c>
    </row>
    <row r="514" spans="1:26">
      <c r="A514">
        <v>1019802816</v>
      </c>
      <c r="B514" s="3" t="s">
        <v>1609</v>
      </c>
      <c r="C514">
        <v>67</v>
      </c>
      <c r="D514" t="s">
        <v>47</v>
      </c>
      <c r="E514" t="s">
        <v>29</v>
      </c>
      <c r="F514" t="s">
        <v>29</v>
      </c>
      <c r="G514" t="s">
        <v>28</v>
      </c>
      <c r="H514">
        <v>5</v>
      </c>
      <c r="I514" t="s">
        <v>30</v>
      </c>
      <c r="J514" t="s">
        <v>825</v>
      </c>
      <c r="K514" t="s">
        <v>1610</v>
      </c>
      <c r="L514" t="s">
        <v>170</v>
      </c>
      <c r="M514" s="4" t="s">
        <v>43</v>
      </c>
      <c r="N514" t="s">
        <v>106</v>
      </c>
      <c r="P514" s="3" t="s">
        <v>36</v>
      </c>
      <c r="Q514" s="3" t="s">
        <v>123</v>
      </c>
      <c r="R514">
        <v>1</v>
      </c>
      <c r="S514" s="5">
        <v>45876</v>
      </c>
      <c r="T514" t="s">
        <v>38</v>
      </c>
      <c r="U514">
        <f t="shared" ref="U514:U577" ca="1" si="48">IF(S514&gt;=TODAY(),S514,S514+CEILING((TODAY()-S514)/IF(T514="Monthly",30,IF(T514="Bi-Monthly",60,90)),1)*IF(T514="Monthly",30,IF(T514="Bi-Monthly",60,90)))-TODAY()</f>
        <v>21</v>
      </c>
      <c r="V514" s="6">
        <f t="shared" ref="V514:V577" ca="1" si="49">IF(S514&gt;=TODAY(),S514,S514+CEILING((TODAY()-S514)/IF(T514="Monthly",30,IF(T514="Bi-Monthly",60,90)),1)*IF(T514="Monthly",30,IF(T514="Bi-Monthly",60,90)))-3</f>
        <v>46023</v>
      </c>
      <c r="W514" s="6">
        <f t="shared" ref="W514:W577" ca="1" si="50">IF(S514&gt;=TODAY(),S514,S514+CEILING((TODAY()-S514)/IF(T514="Monthly",30,IF(T514="Bi-Monthly",60,90)),1)*IF(T514="Monthly",30,IF(T514="Bi-Monthly",60,90)))+3</f>
        <v>46029</v>
      </c>
      <c r="X514" t="str">
        <f t="shared" ref="X514:X577" ca="1" si="51">TEXT(V514,"MMM D")&amp;" to "&amp;TEXT(W514,"MMM D")</f>
        <v>Jan 1 to Jan 7</v>
      </c>
      <c r="Y514" t="str">
        <f t="shared" ref="Y514:Y577" ca="1" si="52">IF(U514&lt;=3,"🟡 IMMINENT (within 3 days)",IF(U514&lt;=7,"🟢 THIS WEEK",IF(U514&lt;=14,"🔵 NEXT 2 WEEKS","⚪ SCHEDULED")))</f>
        <v>⚪ SCHEDULED</v>
      </c>
      <c r="Z514" t="str">
        <f t="shared" ref="Z514:Z577" ca="1" si="53">IF(U514&lt;=3,"Prepare medications TODAY",IF(U514&lt;=7,"Confirm appointment",IF(U514&lt;=14,"Send reminder SMS","No action needed yet")))</f>
        <v>No action needed yet</v>
      </c>
    </row>
    <row r="515" spans="1:26">
      <c r="A515">
        <v>1019833266</v>
      </c>
      <c r="B515" s="3" t="s">
        <v>1611</v>
      </c>
      <c r="C515">
        <v>64</v>
      </c>
      <c r="D515" t="s">
        <v>47</v>
      </c>
      <c r="E515" t="s">
        <v>28</v>
      </c>
      <c r="F515" t="s">
        <v>29</v>
      </c>
      <c r="G515" t="s">
        <v>28</v>
      </c>
      <c r="H515">
        <v>4</v>
      </c>
      <c r="I515" t="s">
        <v>66</v>
      </c>
      <c r="J515" t="s">
        <v>1612</v>
      </c>
      <c r="K515" t="s">
        <v>1613</v>
      </c>
      <c r="M515" s="4" t="s">
        <v>34</v>
      </c>
      <c r="N515" t="s">
        <v>64</v>
      </c>
      <c r="P515" s="3" t="s">
        <v>36</v>
      </c>
      <c r="Q515" s="3" t="s">
        <v>107</v>
      </c>
      <c r="R515">
        <v>2</v>
      </c>
      <c r="S515" s="5">
        <v>45696</v>
      </c>
      <c r="T515" t="s">
        <v>38</v>
      </c>
      <c r="U515">
        <f t="shared" ca="1" si="48"/>
        <v>21</v>
      </c>
      <c r="V515" s="6">
        <f t="shared" ca="1" si="49"/>
        <v>46023</v>
      </c>
      <c r="W515" s="6">
        <f t="shared" ca="1" si="50"/>
        <v>46029</v>
      </c>
      <c r="X515" t="str">
        <f t="shared" ca="1" si="51"/>
        <v>Jan 1 to Jan 7</v>
      </c>
      <c r="Y515" t="str">
        <f t="shared" ca="1" si="52"/>
        <v>⚪ SCHEDULED</v>
      </c>
      <c r="Z515" t="str">
        <f t="shared" ca="1" si="53"/>
        <v>No action needed yet</v>
      </c>
    </row>
    <row r="516" spans="1:26">
      <c r="A516">
        <v>1019834363</v>
      </c>
      <c r="B516" s="3" t="s">
        <v>1614</v>
      </c>
      <c r="C516">
        <v>71</v>
      </c>
      <c r="D516" t="s">
        <v>27</v>
      </c>
      <c r="E516" t="s">
        <v>28</v>
      </c>
      <c r="F516" t="s">
        <v>29</v>
      </c>
      <c r="G516" t="s">
        <v>29</v>
      </c>
      <c r="H516">
        <v>6</v>
      </c>
      <c r="I516" t="s">
        <v>30</v>
      </c>
      <c r="J516" t="s">
        <v>112</v>
      </c>
      <c r="K516" t="s">
        <v>1615</v>
      </c>
      <c r="L516" t="s">
        <v>114</v>
      </c>
      <c r="M516" s="4" t="s">
        <v>34</v>
      </c>
      <c r="N516" t="s">
        <v>209</v>
      </c>
      <c r="P516" s="3" t="s">
        <v>36</v>
      </c>
      <c r="Q516" s="3" t="s">
        <v>107</v>
      </c>
      <c r="R516">
        <v>1</v>
      </c>
      <c r="S516" s="5">
        <v>45833</v>
      </c>
      <c r="T516" t="s">
        <v>38</v>
      </c>
      <c r="U516">
        <f t="shared" ca="1" si="48"/>
        <v>8</v>
      </c>
      <c r="V516" s="6">
        <f t="shared" ca="1" si="49"/>
        <v>46010</v>
      </c>
      <c r="W516" s="6">
        <f t="shared" ca="1" si="50"/>
        <v>46016</v>
      </c>
      <c r="X516" t="str">
        <f t="shared" ca="1" si="51"/>
        <v>Dec 19 to Dec 25</v>
      </c>
      <c r="Y516" t="str">
        <f t="shared" ca="1" si="52"/>
        <v>🔵 NEXT 2 WEEKS</v>
      </c>
      <c r="Z516" t="str">
        <f t="shared" ca="1" si="53"/>
        <v>Send reminder SMS</v>
      </c>
    </row>
    <row r="517" spans="1:26">
      <c r="A517">
        <v>1019932167</v>
      </c>
      <c r="B517" s="3" t="s">
        <v>1616</v>
      </c>
      <c r="C517">
        <v>66</v>
      </c>
      <c r="D517" t="s">
        <v>47</v>
      </c>
      <c r="E517" t="s">
        <v>29</v>
      </c>
      <c r="F517" t="s">
        <v>29</v>
      </c>
      <c r="G517" t="s">
        <v>29</v>
      </c>
      <c r="H517">
        <v>7</v>
      </c>
      <c r="I517" t="s">
        <v>30</v>
      </c>
      <c r="J517" t="s">
        <v>1617</v>
      </c>
      <c r="K517" t="s">
        <v>1618</v>
      </c>
      <c r="L517" t="s">
        <v>317</v>
      </c>
      <c r="M517" s="4" t="s">
        <v>43</v>
      </c>
      <c r="N517" t="s">
        <v>76</v>
      </c>
      <c r="P517" s="3" t="s">
        <v>36</v>
      </c>
      <c r="Q517" s="3" t="s">
        <v>84</v>
      </c>
      <c r="R517">
        <v>2</v>
      </c>
      <c r="S517" s="5">
        <v>45920</v>
      </c>
      <c r="T517" t="s">
        <v>38</v>
      </c>
      <c r="U517">
        <f t="shared" ca="1" si="48"/>
        <v>5</v>
      </c>
      <c r="V517" s="6">
        <f t="shared" ca="1" si="49"/>
        <v>46007</v>
      </c>
      <c r="W517" s="6">
        <f t="shared" ca="1" si="50"/>
        <v>46013</v>
      </c>
      <c r="X517" t="str">
        <f t="shared" ca="1" si="51"/>
        <v>Dec 16 to Dec 22</v>
      </c>
      <c r="Y517" t="str">
        <f t="shared" ca="1" si="52"/>
        <v>🟢 THIS WEEK</v>
      </c>
      <c r="Z517" t="str">
        <f t="shared" ca="1" si="53"/>
        <v>Confirm appointment</v>
      </c>
    </row>
    <row r="518" spans="1:26">
      <c r="A518">
        <v>1020000996</v>
      </c>
      <c r="B518" s="3" t="s">
        <v>1619</v>
      </c>
      <c r="C518">
        <v>45</v>
      </c>
      <c r="D518" t="s">
        <v>47</v>
      </c>
      <c r="E518" t="s">
        <v>54</v>
      </c>
      <c r="F518" t="s">
        <v>54</v>
      </c>
      <c r="G518" t="s">
        <v>54</v>
      </c>
      <c r="H518">
        <v>1</v>
      </c>
      <c r="I518" t="s">
        <v>55</v>
      </c>
      <c r="J518" t="s">
        <v>1620</v>
      </c>
      <c r="K518" t="s">
        <v>1621</v>
      </c>
      <c r="L518" t="s">
        <v>105</v>
      </c>
      <c r="M518" s="4" t="s">
        <v>43</v>
      </c>
      <c r="N518" t="s">
        <v>59</v>
      </c>
      <c r="P518" s="3" t="s">
        <v>36</v>
      </c>
      <c r="Q518" s="3" t="s">
        <v>1622</v>
      </c>
      <c r="R518">
        <v>1</v>
      </c>
      <c r="S518" s="5">
        <v>45934</v>
      </c>
      <c r="T518" t="s">
        <v>393</v>
      </c>
      <c r="U518">
        <f t="shared" ca="1" si="48"/>
        <v>19</v>
      </c>
      <c r="V518" s="6">
        <f t="shared" ca="1" si="49"/>
        <v>46021</v>
      </c>
      <c r="W518" s="6">
        <f t="shared" ca="1" si="50"/>
        <v>46027</v>
      </c>
      <c r="X518" t="str">
        <f t="shared" ca="1" si="51"/>
        <v>Dec 30 to Jan 5</v>
      </c>
      <c r="Y518" t="str">
        <f t="shared" ca="1" si="52"/>
        <v>⚪ SCHEDULED</v>
      </c>
      <c r="Z518" t="str">
        <f t="shared" ca="1" si="53"/>
        <v>No action needed yet</v>
      </c>
    </row>
    <row r="519" spans="1:26">
      <c r="A519">
        <v>1020034193</v>
      </c>
      <c r="B519" s="3" t="s">
        <v>1623</v>
      </c>
      <c r="C519">
        <v>57</v>
      </c>
      <c r="D519" t="s">
        <v>27</v>
      </c>
      <c r="E519" t="s">
        <v>28</v>
      </c>
      <c r="F519" t="s">
        <v>29</v>
      </c>
      <c r="G519" t="s">
        <v>29</v>
      </c>
      <c r="H519">
        <v>5</v>
      </c>
      <c r="I519" t="s">
        <v>30</v>
      </c>
      <c r="J519" t="s">
        <v>398</v>
      </c>
      <c r="K519" t="s">
        <v>1274</v>
      </c>
      <c r="L519" t="s">
        <v>69</v>
      </c>
      <c r="M519" s="4" t="s">
        <v>34</v>
      </c>
      <c r="N519" t="s">
        <v>1126</v>
      </c>
      <c r="P519" s="3" t="s">
        <v>36</v>
      </c>
      <c r="Q519" s="3" t="s">
        <v>573</v>
      </c>
      <c r="R519">
        <v>2</v>
      </c>
      <c r="S519" s="5">
        <v>45651</v>
      </c>
      <c r="T519" t="s">
        <v>38</v>
      </c>
      <c r="U519">
        <f t="shared" ca="1" si="48"/>
        <v>6</v>
      </c>
      <c r="V519" s="6">
        <f t="shared" ca="1" si="49"/>
        <v>46008</v>
      </c>
      <c r="W519" s="6">
        <f t="shared" ca="1" si="50"/>
        <v>46014</v>
      </c>
      <c r="X519" t="str">
        <f t="shared" ca="1" si="51"/>
        <v>Dec 17 to Dec 23</v>
      </c>
      <c r="Y519" t="str">
        <f t="shared" ca="1" si="52"/>
        <v>🟢 THIS WEEK</v>
      </c>
      <c r="Z519" t="str">
        <f t="shared" ca="1" si="53"/>
        <v>Confirm appointment</v>
      </c>
    </row>
    <row r="520" spans="1:26">
      <c r="A520">
        <v>1020095145</v>
      </c>
      <c r="B520" s="3" t="s">
        <v>1624</v>
      </c>
      <c r="C520">
        <v>43</v>
      </c>
      <c r="D520" t="s">
        <v>47</v>
      </c>
      <c r="E520" t="s">
        <v>29</v>
      </c>
      <c r="F520" t="s">
        <v>29</v>
      </c>
      <c r="G520" t="s">
        <v>28</v>
      </c>
      <c r="H520">
        <v>4</v>
      </c>
      <c r="I520" t="s">
        <v>66</v>
      </c>
      <c r="J520" t="s">
        <v>1625</v>
      </c>
      <c r="K520" t="s">
        <v>1626</v>
      </c>
      <c r="M520" s="4" t="s">
        <v>94</v>
      </c>
      <c r="N520" t="s">
        <v>144</v>
      </c>
      <c r="P520" s="3" t="s">
        <v>36</v>
      </c>
      <c r="Q520" s="3" t="s">
        <v>45</v>
      </c>
      <c r="R520">
        <v>1</v>
      </c>
      <c r="S520" s="5">
        <v>45944</v>
      </c>
      <c r="T520" t="s">
        <v>38</v>
      </c>
      <c r="U520">
        <f t="shared" ca="1" si="48"/>
        <v>29</v>
      </c>
      <c r="V520" s="6">
        <f t="shared" ca="1" si="49"/>
        <v>46031</v>
      </c>
      <c r="W520" s="6">
        <f t="shared" ca="1" si="50"/>
        <v>46037</v>
      </c>
      <c r="X520" t="str">
        <f t="shared" ca="1" si="51"/>
        <v>Jan 9 to Jan 15</v>
      </c>
      <c r="Y520" t="str">
        <f t="shared" ca="1" si="52"/>
        <v>⚪ SCHEDULED</v>
      </c>
      <c r="Z520" t="str">
        <f t="shared" ca="1" si="53"/>
        <v>No action needed yet</v>
      </c>
    </row>
    <row r="521" spans="1:26">
      <c r="A521">
        <v>1020166219</v>
      </c>
      <c r="B521" s="3" t="s">
        <v>1627</v>
      </c>
      <c r="C521">
        <v>64</v>
      </c>
      <c r="D521" t="s">
        <v>27</v>
      </c>
      <c r="E521" t="s">
        <v>29</v>
      </c>
      <c r="F521" t="s">
        <v>29</v>
      </c>
      <c r="G521" t="s">
        <v>28</v>
      </c>
      <c r="H521">
        <v>6</v>
      </c>
      <c r="I521" t="s">
        <v>30</v>
      </c>
      <c r="J521" t="s">
        <v>1628</v>
      </c>
      <c r="K521" t="s">
        <v>1629</v>
      </c>
      <c r="L521" t="s">
        <v>968</v>
      </c>
      <c r="M521" s="4" t="s">
        <v>34</v>
      </c>
      <c r="N521" t="s">
        <v>106</v>
      </c>
      <c r="P521" s="3" t="s">
        <v>36</v>
      </c>
      <c r="Q521" s="3" t="s">
        <v>777</v>
      </c>
      <c r="R521">
        <v>2</v>
      </c>
      <c r="S521" s="5">
        <v>45804</v>
      </c>
      <c r="T521" t="s">
        <v>38</v>
      </c>
      <c r="U521">
        <f t="shared" ca="1" si="48"/>
        <v>9</v>
      </c>
      <c r="V521" s="6">
        <f t="shared" ca="1" si="49"/>
        <v>46011</v>
      </c>
      <c r="W521" s="6">
        <f t="shared" ca="1" si="50"/>
        <v>46017</v>
      </c>
      <c r="X521" t="str">
        <f t="shared" ca="1" si="51"/>
        <v>Dec 20 to Dec 26</v>
      </c>
      <c r="Y521" t="str">
        <f t="shared" ca="1" si="52"/>
        <v>🔵 NEXT 2 WEEKS</v>
      </c>
      <c r="Z521" t="str">
        <f t="shared" ca="1" si="53"/>
        <v>Send reminder SMS</v>
      </c>
    </row>
    <row r="522" spans="1:26">
      <c r="A522">
        <v>1020172977</v>
      </c>
      <c r="B522" s="3" t="s">
        <v>1630</v>
      </c>
      <c r="C522">
        <v>62</v>
      </c>
      <c r="D522" t="s">
        <v>47</v>
      </c>
      <c r="E522" t="s">
        <v>29</v>
      </c>
      <c r="F522" t="s">
        <v>29</v>
      </c>
      <c r="G522" t="s">
        <v>29</v>
      </c>
      <c r="H522">
        <v>6</v>
      </c>
      <c r="I522" t="s">
        <v>30</v>
      </c>
      <c r="J522" t="s">
        <v>1631</v>
      </c>
      <c r="K522" t="s">
        <v>1632</v>
      </c>
      <c r="L522" t="s">
        <v>50</v>
      </c>
      <c r="M522" s="4" t="s">
        <v>34</v>
      </c>
      <c r="N522" t="s">
        <v>76</v>
      </c>
      <c r="P522" s="3" t="s">
        <v>36</v>
      </c>
      <c r="Q522" s="3" t="s">
        <v>107</v>
      </c>
      <c r="R522">
        <v>1</v>
      </c>
      <c r="S522" s="5">
        <v>45708</v>
      </c>
      <c r="T522" t="s">
        <v>38</v>
      </c>
      <c r="U522">
        <f t="shared" ca="1" si="48"/>
        <v>3</v>
      </c>
      <c r="V522" s="6">
        <f t="shared" ca="1" si="49"/>
        <v>46005</v>
      </c>
      <c r="W522" s="6">
        <f t="shared" ca="1" si="50"/>
        <v>46011</v>
      </c>
      <c r="X522" t="str">
        <f t="shared" ca="1" si="51"/>
        <v>Dec 14 to Dec 20</v>
      </c>
      <c r="Y522" t="str">
        <f t="shared" ca="1" si="52"/>
        <v>🟡 IMMINENT (within 3 days)</v>
      </c>
      <c r="Z522" t="str">
        <f t="shared" ca="1" si="53"/>
        <v>Prepare medications TODAY</v>
      </c>
    </row>
    <row r="523" spans="1:26">
      <c r="A523">
        <v>1020280556</v>
      </c>
      <c r="B523" s="3" t="s">
        <v>1633</v>
      </c>
      <c r="C523">
        <v>61</v>
      </c>
      <c r="D523" t="s">
        <v>47</v>
      </c>
      <c r="E523" t="s">
        <v>29</v>
      </c>
      <c r="F523" t="s">
        <v>28</v>
      </c>
      <c r="G523" t="s">
        <v>29</v>
      </c>
      <c r="H523">
        <v>6</v>
      </c>
      <c r="I523" t="s">
        <v>30</v>
      </c>
      <c r="J523" t="s">
        <v>1634</v>
      </c>
      <c r="K523" t="s">
        <v>1635</v>
      </c>
      <c r="L523" t="s">
        <v>269</v>
      </c>
      <c r="M523" s="4" t="s">
        <v>43</v>
      </c>
      <c r="N523" t="s">
        <v>51</v>
      </c>
      <c r="P523" s="3" t="s">
        <v>36</v>
      </c>
      <c r="Q523" s="3" t="s">
        <v>1636</v>
      </c>
      <c r="R523">
        <v>1</v>
      </c>
      <c r="S523" s="5">
        <v>45885</v>
      </c>
      <c r="T523" t="s">
        <v>38</v>
      </c>
      <c r="U523">
        <f t="shared" ca="1" si="48"/>
        <v>0</v>
      </c>
      <c r="V523" s="6">
        <f t="shared" ca="1" si="49"/>
        <v>46002</v>
      </c>
      <c r="W523" s="6">
        <f t="shared" ca="1" si="50"/>
        <v>46008</v>
      </c>
      <c r="X523" t="str">
        <f t="shared" ca="1" si="51"/>
        <v>Dec 11 to Dec 17</v>
      </c>
      <c r="Y523" t="str">
        <f t="shared" ca="1" si="52"/>
        <v>🟡 IMMINENT (within 3 days)</v>
      </c>
      <c r="Z523" t="str">
        <f t="shared" ca="1" si="53"/>
        <v>Prepare medications TODAY</v>
      </c>
    </row>
    <row r="524" spans="1:26">
      <c r="A524">
        <v>1020280564</v>
      </c>
      <c r="B524" s="3" t="s">
        <v>1637</v>
      </c>
      <c r="C524">
        <v>67</v>
      </c>
      <c r="D524" t="s">
        <v>27</v>
      </c>
      <c r="E524" t="s">
        <v>28</v>
      </c>
      <c r="F524" t="s">
        <v>29</v>
      </c>
      <c r="G524" t="s">
        <v>28</v>
      </c>
      <c r="H524">
        <v>4</v>
      </c>
      <c r="I524" t="s">
        <v>66</v>
      </c>
      <c r="J524" t="s">
        <v>1638</v>
      </c>
      <c r="K524" t="s">
        <v>1639</v>
      </c>
      <c r="L524" t="s">
        <v>428</v>
      </c>
      <c r="M524" s="4" t="s">
        <v>34</v>
      </c>
      <c r="N524" t="s">
        <v>70</v>
      </c>
      <c r="P524" s="3" t="s">
        <v>36</v>
      </c>
      <c r="Q524" s="3" t="s">
        <v>1448</v>
      </c>
      <c r="R524">
        <v>1</v>
      </c>
      <c r="S524" s="5">
        <v>45821</v>
      </c>
      <c r="T524" t="s">
        <v>38</v>
      </c>
      <c r="U524">
        <f t="shared" ca="1" si="48"/>
        <v>26</v>
      </c>
      <c r="V524" s="6">
        <f t="shared" ca="1" si="49"/>
        <v>46028</v>
      </c>
      <c r="W524" s="6">
        <f t="shared" ca="1" si="50"/>
        <v>46034</v>
      </c>
      <c r="X524" t="str">
        <f t="shared" ca="1" si="51"/>
        <v>Jan 6 to Jan 12</v>
      </c>
      <c r="Y524" t="str">
        <f t="shared" ca="1" si="52"/>
        <v>⚪ SCHEDULED</v>
      </c>
      <c r="Z524" t="str">
        <f t="shared" ca="1" si="53"/>
        <v>No action needed yet</v>
      </c>
    </row>
    <row r="525" spans="1:26">
      <c r="A525">
        <v>1020439665</v>
      </c>
      <c r="B525" s="3" t="s">
        <v>1640</v>
      </c>
      <c r="C525">
        <v>49</v>
      </c>
      <c r="D525" t="s">
        <v>27</v>
      </c>
      <c r="E525" t="s">
        <v>29</v>
      </c>
      <c r="F525" t="s">
        <v>29</v>
      </c>
      <c r="G525" t="s">
        <v>29</v>
      </c>
      <c r="H525">
        <v>4</v>
      </c>
      <c r="I525" t="s">
        <v>66</v>
      </c>
      <c r="J525" t="s">
        <v>1641</v>
      </c>
      <c r="K525" t="s">
        <v>1642</v>
      </c>
      <c r="L525" t="s">
        <v>1643</v>
      </c>
      <c r="M525" s="4" t="s">
        <v>94</v>
      </c>
      <c r="N525" t="s">
        <v>89</v>
      </c>
      <c r="P525" s="3" t="s">
        <v>36</v>
      </c>
      <c r="Q525" s="3" t="s">
        <v>84</v>
      </c>
      <c r="R525">
        <v>2</v>
      </c>
      <c r="S525" s="5">
        <v>45932</v>
      </c>
      <c r="T525" t="s">
        <v>38</v>
      </c>
      <c r="U525">
        <f t="shared" ca="1" si="48"/>
        <v>17</v>
      </c>
      <c r="V525" s="6">
        <f t="shared" ca="1" si="49"/>
        <v>46019</v>
      </c>
      <c r="W525" s="6">
        <f t="shared" ca="1" si="50"/>
        <v>46025</v>
      </c>
      <c r="X525" t="str">
        <f t="shared" ca="1" si="51"/>
        <v>Dec 28 to Jan 3</v>
      </c>
      <c r="Y525" t="str">
        <f t="shared" ca="1" si="52"/>
        <v>⚪ SCHEDULED</v>
      </c>
      <c r="Z525" t="str">
        <f t="shared" ca="1" si="53"/>
        <v>No action needed yet</v>
      </c>
    </row>
    <row r="526" spans="1:26">
      <c r="A526">
        <v>1020440317</v>
      </c>
      <c r="B526" s="3" t="s">
        <v>1644</v>
      </c>
      <c r="C526">
        <v>40</v>
      </c>
      <c r="D526" t="s">
        <v>47</v>
      </c>
      <c r="E526" t="s">
        <v>28</v>
      </c>
      <c r="F526" t="s">
        <v>28</v>
      </c>
      <c r="G526" t="s">
        <v>29</v>
      </c>
      <c r="H526">
        <v>2</v>
      </c>
      <c r="I526" t="s">
        <v>55</v>
      </c>
      <c r="J526" t="s">
        <v>519</v>
      </c>
      <c r="K526" t="s">
        <v>1645</v>
      </c>
      <c r="L526" t="s">
        <v>114</v>
      </c>
      <c r="M526" s="4" t="s">
        <v>34</v>
      </c>
      <c r="N526" t="s">
        <v>140</v>
      </c>
      <c r="P526" s="3" t="s">
        <v>36</v>
      </c>
      <c r="Q526" s="3" t="s">
        <v>84</v>
      </c>
      <c r="R526">
        <v>1</v>
      </c>
      <c r="S526" s="5">
        <v>45717</v>
      </c>
      <c r="T526" t="s">
        <v>60</v>
      </c>
      <c r="U526">
        <f t="shared" ca="1" si="48"/>
        <v>12</v>
      </c>
      <c r="V526" s="6">
        <f t="shared" ca="1" si="49"/>
        <v>46014</v>
      </c>
      <c r="W526" s="6">
        <f t="shared" ca="1" si="50"/>
        <v>46020</v>
      </c>
      <c r="X526" t="str">
        <f t="shared" ca="1" si="51"/>
        <v>Dec 23 to Dec 29</v>
      </c>
      <c r="Y526" t="str">
        <f t="shared" ca="1" si="52"/>
        <v>🔵 NEXT 2 WEEKS</v>
      </c>
      <c r="Z526" t="str">
        <f t="shared" ca="1" si="53"/>
        <v>Send reminder SMS</v>
      </c>
    </row>
    <row r="527" spans="1:26">
      <c r="A527">
        <v>1020507636</v>
      </c>
      <c r="B527" s="3" t="s">
        <v>1646</v>
      </c>
      <c r="C527">
        <v>80</v>
      </c>
      <c r="D527" t="s">
        <v>27</v>
      </c>
      <c r="E527" t="s">
        <v>29</v>
      </c>
      <c r="F527" t="s">
        <v>29</v>
      </c>
      <c r="G527" t="s">
        <v>29</v>
      </c>
      <c r="H527">
        <v>8</v>
      </c>
      <c r="I527" t="s">
        <v>30</v>
      </c>
      <c r="J527" t="s">
        <v>1647</v>
      </c>
      <c r="K527" t="s">
        <v>1648</v>
      </c>
      <c r="M527" s="4" t="s">
        <v>34</v>
      </c>
      <c r="N527" t="s">
        <v>44</v>
      </c>
      <c r="P527" s="3" t="s">
        <v>36</v>
      </c>
      <c r="Q527" s="3" t="s">
        <v>107</v>
      </c>
      <c r="R527">
        <v>1</v>
      </c>
      <c r="S527" s="5">
        <v>45707</v>
      </c>
      <c r="T527" t="s">
        <v>38</v>
      </c>
      <c r="U527">
        <f t="shared" ca="1" si="48"/>
        <v>2</v>
      </c>
      <c r="V527" s="6">
        <f t="shared" ca="1" si="49"/>
        <v>46004</v>
      </c>
      <c r="W527" s="6">
        <f t="shared" ca="1" si="50"/>
        <v>46010</v>
      </c>
      <c r="X527" t="str">
        <f t="shared" ca="1" si="51"/>
        <v>Dec 13 to Dec 19</v>
      </c>
      <c r="Y527" t="str">
        <f t="shared" ca="1" si="52"/>
        <v>🟡 IMMINENT (within 3 days)</v>
      </c>
      <c r="Z527" t="str">
        <f t="shared" ca="1" si="53"/>
        <v>Prepare medications TODAY</v>
      </c>
    </row>
    <row r="528" spans="1:26">
      <c r="A528">
        <v>1020511190</v>
      </c>
      <c r="B528" s="3" t="s">
        <v>1649</v>
      </c>
      <c r="C528">
        <v>48</v>
      </c>
      <c r="D528" t="s">
        <v>47</v>
      </c>
      <c r="E528" t="s">
        <v>29</v>
      </c>
      <c r="F528" t="s">
        <v>28</v>
      </c>
      <c r="G528" t="s">
        <v>28</v>
      </c>
      <c r="H528">
        <v>2</v>
      </c>
      <c r="I528" t="s">
        <v>55</v>
      </c>
      <c r="J528" t="s">
        <v>1650</v>
      </c>
      <c r="K528" t="s">
        <v>1651</v>
      </c>
      <c r="L528" t="s">
        <v>234</v>
      </c>
      <c r="M528" s="4" t="s">
        <v>43</v>
      </c>
      <c r="N528" t="s">
        <v>162</v>
      </c>
      <c r="P528" s="3" t="s">
        <v>36</v>
      </c>
      <c r="Q528" t="s">
        <v>54</v>
      </c>
      <c r="R528">
        <v>1</v>
      </c>
      <c r="S528" s="5">
        <v>45949</v>
      </c>
      <c r="T528" t="s">
        <v>60</v>
      </c>
      <c r="U528">
        <f t="shared" ca="1" si="48"/>
        <v>4</v>
      </c>
      <c r="V528" s="6">
        <f t="shared" ca="1" si="49"/>
        <v>46006</v>
      </c>
      <c r="W528" s="6">
        <f t="shared" ca="1" si="50"/>
        <v>46012</v>
      </c>
      <c r="X528" t="str">
        <f t="shared" ca="1" si="51"/>
        <v>Dec 15 to Dec 21</v>
      </c>
      <c r="Y528" t="str">
        <f t="shared" ca="1" si="52"/>
        <v>🟢 THIS WEEK</v>
      </c>
      <c r="Z528" t="str">
        <f t="shared" ca="1" si="53"/>
        <v>Confirm appointment</v>
      </c>
    </row>
    <row r="529" spans="1:26">
      <c r="A529">
        <v>1020547541</v>
      </c>
      <c r="B529" s="3" t="s">
        <v>1652</v>
      </c>
      <c r="C529">
        <v>65</v>
      </c>
      <c r="D529" t="s">
        <v>47</v>
      </c>
      <c r="E529" t="s">
        <v>29</v>
      </c>
      <c r="F529" t="s">
        <v>29</v>
      </c>
      <c r="G529" t="s">
        <v>28</v>
      </c>
      <c r="H529">
        <v>6</v>
      </c>
      <c r="I529" t="s">
        <v>30</v>
      </c>
      <c r="J529" t="s">
        <v>1653</v>
      </c>
      <c r="K529" t="s">
        <v>1654</v>
      </c>
      <c r="M529" s="4" t="s">
        <v>43</v>
      </c>
      <c r="N529" t="s">
        <v>144</v>
      </c>
      <c r="P529" s="3" t="s">
        <v>36</v>
      </c>
      <c r="Q529" s="3" t="s">
        <v>175</v>
      </c>
      <c r="R529">
        <v>2</v>
      </c>
      <c r="S529" s="5">
        <v>45878</v>
      </c>
      <c r="T529" t="s">
        <v>38</v>
      </c>
      <c r="U529">
        <f t="shared" ca="1" si="48"/>
        <v>23</v>
      </c>
      <c r="V529" s="6">
        <f t="shared" ca="1" si="49"/>
        <v>46025</v>
      </c>
      <c r="W529" s="6">
        <f t="shared" ca="1" si="50"/>
        <v>46031</v>
      </c>
      <c r="X529" t="str">
        <f t="shared" ca="1" si="51"/>
        <v>Jan 3 to Jan 9</v>
      </c>
      <c r="Y529" t="str">
        <f t="shared" ca="1" si="52"/>
        <v>⚪ SCHEDULED</v>
      </c>
      <c r="Z529" t="str">
        <f t="shared" ca="1" si="53"/>
        <v>No action needed yet</v>
      </c>
    </row>
    <row r="530" spans="1:26">
      <c r="A530">
        <v>1020646699</v>
      </c>
      <c r="B530" s="3" t="s">
        <v>1655</v>
      </c>
      <c r="C530">
        <v>61</v>
      </c>
      <c r="D530" t="s">
        <v>47</v>
      </c>
      <c r="E530" t="s">
        <v>29</v>
      </c>
      <c r="F530" t="s">
        <v>29</v>
      </c>
      <c r="G530" t="s">
        <v>29</v>
      </c>
      <c r="H530">
        <v>6</v>
      </c>
      <c r="I530" t="s">
        <v>30</v>
      </c>
      <c r="J530" t="s">
        <v>1097</v>
      </c>
      <c r="K530" t="s">
        <v>1656</v>
      </c>
      <c r="M530" s="4" t="s">
        <v>43</v>
      </c>
      <c r="N530" t="s">
        <v>44</v>
      </c>
      <c r="P530" s="3" t="s">
        <v>36</v>
      </c>
      <c r="Q530" s="3" t="s">
        <v>313</v>
      </c>
      <c r="R530">
        <v>2</v>
      </c>
      <c r="S530" s="5">
        <v>45860</v>
      </c>
      <c r="T530" t="s">
        <v>38</v>
      </c>
      <c r="U530">
        <f t="shared" ca="1" si="48"/>
        <v>5</v>
      </c>
      <c r="V530" s="6">
        <f t="shared" ca="1" si="49"/>
        <v>46007</v>
      </c>
      <c r="W530" s="6">
        <f t="shared" ca="1" si="50"/>
        <v>46013</v>
      </c>
      <c r="X530" t="str">
        <f t="shared" ca="1" si="51"/>
        <v>Dec 16 to Dec 22</v>
      </c>
      <c r="Y530" t="str">
        <f t="shared" ca="1" si="52"/>
        <v>🟢 THIS WEEK</v>
      </c>
      <c r="Z530" t="str">
        <f t="shared" ca="1" si="53"/>
        <v>Confirm appointment</v>
      </c>
    </row>
    <row r="531" spans="1:26">
      <c r="A531">
        <v>1020722979</v>
      </c>
      <c r="B531" s="3" t="s">
        <v>1657</v>
      </c>
      <c r="C531">
        <v>41</v>
      </c>
      <c r="D531" t="s">
        <v>27</v>
      </c>
      <c r="E531" t="s">
        <v>28</v>
      </c>
      <c r="F531" t="s">
        <v>28</v>
      </c>
      <c r="G531" t="s">
        <v>29</v>
      </c>
      <c r="H531">
        <v>3</v>
      </c>
      <c r="I531" t="s">
        <v>66</v>
      </c>
      <c r="J531" t="s">
        <v>1658</v>
      </c>
      <c r="K531" t="s">
        <v>1659</v>
      </c>
      <c r="L531" t="s">
        <v>139</v>
      </c>
      <c r="M531" s="4" t="s">
        <v>34</v>
      </c>
      <c r="N531" t="s">
        <v>140</v>
      </c>
      <c r="P531" s="3" t="s">
        <v>36</v>
      </c>
      <c r="Q531" s="3" t="s">
        <v>45</v>
      </c>
      <c r="R531">
        <v>2</v>
      </c>
      <c r="S531" s="5">
        <v>45821</v>
      </c>
      <c r="T531" t="s">
        <v>38</v>
      </c>
      <c r="U531">
        <f t="shared" ca="1" si="48"/>
        <v>26</v>
      </c>
      <c r="V531" s="6">
        <f t="shared" ca="1" si="49"/>
        <v>46028</v>
      </c>
      <c r="W531" s="6">
        <f t="shared" ca="1" si="50"/>
        <v>46034</v>
      </c>
      <c r="X531" t="str">
        <f t="shared" ca="1" si="51"/>
        <v>Jan 6 to Jan 12</v>
      </c>
      <c r="Y531" t="str">
        <f t="shared" ca="1" si="52"/>
        <v>⚪ SCHEDULED</v>
      </c>
      <c r="Z531" t="str">
        <f t="shared" ca="1" si="53"/>
        <v>No action needed yet</v>
      </c>
    </row>
    <row r="532" spans="1:26">
      <c r="A532">
        <v>1020747463</v>
      </c>
      <c r="B532" s="3" t="s">
        <v>1660</v>
      </c>
      <c r="C532">
        <v>52</v>
      </c>
      <c r="D532" t="s">
        <v>47</v>
      </c>
      <c r="E532" t="s">
        <v>29</v>
      </c>
      <c r="F532" t="s">
        <v>28</v>
      </c>
      <c r="G532" t="s">
        <v>28</v>
      </c>
      <c r="H532">
        <v>3</v>
      </c>
      <c r="I532" t="s">
        <v>66</v>
      </c>
      <c r="J532" t="s">
        <v>1661</v>
      </c>
      <c r="K532" t="s">
        <v>1662</v>
      </c>
      <c r="M532" s="4" t="s">
        <v>34</v>
      </c>
      <c r="N532" t="s">
        <v>148</v>
      </c>
      <c r="P532" s="3" t="s">
        <v>36</v>
      </c>
      <c r="Q532" s="3" t="s">
        <v>84</v>
      </c>
      <c r="R532">
        <v>2</v>
      </c>
      <c r="S532" s="5">
        <v>45692</v>
      </c>
      <c r="T532" t="s">
        <v>38</v>
      </c>
      <c r="U532">
        <f t="shared" ca="1" si="48"/>
        <v>17</v>
      </c>
      <c r="V532" s="6">
        <f t="shared" ca="1" si="49"/>
        <v>46019</v>
      </c>
      <c r="W532" s="6">
        <f t="shared" ca="1" si="50"/>
        <v>46025</v>
      </c>
      <c r="X532" t="str">
        <f t="shared" ca="1" si="51"/>
        <v>Dec 28 to Jan 3</v>
      </c>
      <c r="Y532" t="str">
        <f t="shared" ca="1" si="52"/>
        <v>⚪ SCHEDULED</v>
      </c>
      <c r="Z532" t="str">
        <f t="shared" ca="1" si="53"/>
        <v>No action needed yet</v>
      </c>
    </row>
    <row r="533" spans="1:26">
      <c r="A533">
        <v>1020862882</v>
      </c>
      <c r="B533" s="3" t="s">
        <v>1663</v>
      </c>
      <c r="C533">
        <v>40</v>
      </c>
      <c r="D533" t="s">
        <v>27</v>
      </c>
      <c r="E533" t="s">
        <v>29</v>
      </c>
      <c r="F533" t="s">
        <v>28</v>
      </c>
      <c r="G533" t="s">
        <v>28</v>
      </c>
      <c r="H533">
        <v>3</v>
      </c>
      <c r="I533" t="s">
        <v>66</v>
      </c>
      <c r="J533" t="s">
        <v>1664</v>
      </c>
      <c r="K533" t="s">
        <v>1665</v>
      </c>
      <c r="L533" t="s">
        <v>221</v>
      </c>
      <c r="M533" s="4" t="s">
        <v>94</v>
      </c>
      <c r="N533" t="s">
        <v>162</v>
      </c>
      <c r="P533" s="3" t="s">
        <v>36</v>
      </c>
      <c r="Q533" s="3" t="s">
        <v>230</v>
      </c>
      <c r="R533">
        <v>2</v>
      </c>
      <c r="S533" s="5">
        <v>45947</v>
      </c>
      <c r="T533" t="s">
        <v>38</v>
      </c>
      <c r="U533">
        <f t="shared" ca="1" si="48"/>
        <v>2</v>
      </c>
      <c r="V533" s="6">
        <f t="shared" ca="1" si="49"/>
        <v>46004</v>
      </c>
      <c r="W533" s="6">
        <f t="shared" ca="1" si="50"/>
        <v>46010</v>
      </c>
      <c r="X533" t="str">
        <f t="shared" ca="1" si="51"/>
        <v>Dec 13 to Dec 19</v>
      </c>
      <c r="Y533" t="str">
        <f t="shared" ca="1" si="52"/>
        <v>🟡 IMMINENT (within 3 days)</v>
      </c>
      <c r="Z533" t="str">
        <f t="shared" ca="1" si="53"/>
        <v>Prepare medications TODAY</v>
      </c>
    </row>
    <row r="534" spans="1:26">
      <c r="A534">
        <v>1020917827</v>
      </c>
      <c r="B534" s="3" t="s">
        <v>1666</v>
      </c>
      <c r="C534">
        <v>59</v>
      </c>
      <c r="D534" t="s">
        <v>47</v>
      </c>
      <c r="E534" t="s">
        <v>29</v>
      </c>
      <c r="F534" t="s">
        <v>29</v>
      </c>
      <c r="G534" t="s">
        <v>29</v>
      </c>
      <c r="H534">
        <v>6</v>
      </c>
      <c r="I534" t="s">
        <v>30</v>
      </c>
      <c r="J534" t="s">
        <v>1667</v>
      </c>
      <c r="K534" t="s">
        <v>1668</v>
      </c>
      <c r="L534" t="s">
        <v>355</v>
      </c>
      <c r="M534" s="4" t="s">
        <v>43</v>
      </c>
      <c r="N534" t="s">
        <v>76</v>
      </c>
      <c r="P534" s="3" t="s">
        <v>36</v>
      </c>
      <c r="Q534" s="3" t="s">
        <v>175</v>
      </c>
      <c r="R534">
        <v>2</v>
      </c>
      <c r="S534" s="5">
        <v>45867</v>
      </c>
      <c r="T534" t="s">
        <v>38</v>
      </c>
      <c r="U534">
        <f t="shared" ca="1" si="48"/>
        <v>12</v>
      </c>
      <c r="V534" s="6">
        <f t="shared" ca="1" si="49"/>
        <v>46014</v>
      </c>
      <c r="W534" s="6">
        <f t="shared" ca="1" si="50"/>
        <v>46020</v>
      </c>
      <c r="X534" t="str">
        <f t="shared" ca="1" si="51"/>
        <v>Dec 23 to Dec 29</v>
      </c>
      <c r="Y534" t="str">
        <f t="shared" ca="1" si="52"/>
        <v>🔵 NEXT 2 WEEKS</v>
      </c>
      <c r="Z534" t="str">
        <f t="shared" ca="1" si="53"/>
        <v>Send reminder SMS</v>
      </c>
    </row>
    <row r="535" spans="1:26">
      <c r="A535">
        <v>1020972640</v>
      </c>
      <c r="B535" s="3" t="s">
        <v>1669</v>
      </c>
      <c r="C535">
        <v>60</v>
      </c>
      <c r="D535" t="s">
        <v>27</v>
      </c>
      <c r="E535" t="s">
        <v>29</v>
      </c>
      <c r="F535" t="s">
        <v>29</v>
      </c>
      <c r="G535" t="s">
        <v>29</v>
      </c>
      <c r="H535">
        <v>6</v>
      </c>
      <c r="I535" t="s">
        <v>30</v>
      </c>
      <c r="J535" t="s">
        <v>1670</v>
      </c>
      <c r="K535" t="s">
        <v>1671</v>
      </c>
      <c r="L535" t="s">
        <v>155</v>
      </c>
      <c r="M535" s="4" t="s">
        <v>94</v>
      </c>
      <c r="N535" t="s">
        <v>76</v>
      </c>
      <c r="P535" s="3" t="s">
        <v>36</v>
      </c>
      <c r="Q535" s="3" t="s">
        <v>84</v>
      </c>
      <c r="R535">
        <v>1</v>
      </c>
      <c r="S535" s="5">
        <v>45932</v>
      </c>
      <c r="T535" t="s">
        <v>38</v>
      </c>
      <c r="U535">
        <f t="shared" ca="1" si="48"/>
        <v>17</v>
      </c>
      <c r="V535" s="6">
        <f t="shared" ca="1" si="49"/>
        <v>46019</v>
      </c>
      <c r="W535" s="6">
        <f t="shared" ca="1" si="50"/>
        <v>46025</v>
      </c>
      <c r="X535" t="str">
        <f t="shared" ca="1" si="51"/>
        <v>Dec 28 to Jan 3</v>
      </c>
      <c r="Y535" t="str">
        <f t="shared" ca="1" si="52"/>
        <v>⚪ SCHEDULED</v>
      </c>
      <c r="Z535" t="str">
        <f t="shared" ca="1" si="53"/>
        <v>No action needed yet</v>
      </c>
    </row>
    <row r="536" spans="1:26">
      <c r="A536">
        <v>1021049430</v>
      </c>
      <c r="B536" s="3" t="s">
        <v>1672</v>
      </c>
      <c r="C536">
        <v>55</v>
      </c>
      <c r="D536" t="s">
        <v>27</v>
      </c>
      <c r="E536" t="s">
        <v>28</v>
      </c>
      <c r="F536" t="s">
        <v>29</v>
      </c>
      <c r="G536" t="s">
        <v>28</v>
      </c>
      <c r="H536">
        <v>4</v>
      </c>
      <c r="I536" t="s">
        <v>66</v>
      </c>
      <c r="J536" t="s">
        <v>1673</v>
      </c>
      <c r="K536" t="s">
        <v>1674</v>
      </c>
      <c r="L536" t="s">
        <v>33</v>
      </c>
      <c r="M536" s="4" t="s">
        <v>34</v>
      </c>
      <c r="N536" t="s">
        <v>64</v>
      </c>
      <c r="P536" s="3" t="s">
        <v>36</v>
      </c>
      <c r="Q536" s="3" t="s">
        <v>107</v>
      </c>
      <c r="R536">
        <v>2</v>
      </c>
      <c r="S536" s="5">
        <v>45598</v>
      </c>
      <c r="T536" t="s">
        <v>38</v>
      </c>
      <c r="U536">
        <f t="shared" ca="1" si="48"/>
        <v>13</v>
      </c>
      <c r="V536" s="6">
        <f t="shared" ca="1" si="49"/>
        <v>46015</v>
      </c>
      <c r="W536" s="6">
        <f t="shared" ca="1" si="50"/>
        <v>46021</v>
      </c>
      <c r="X536" t="str">
        <f t="shared" ca="1" si="51"/>
        <v>Dec 24 to Dec 30</v>
      </c>
      <c r="Y536" t="str">
        <f t="shared" ca="1" si="52"/>
        <v>🔵 NEXT 2 WEEKS</v>
      </c>
      <c r="Z536" t="str">
        <f t="shared" ca="1" si="53"/>
        <v>Send reminder SMS</v>
      </c>
    </row>
    <row r="537" spans="1:26">
      <c r="A537">
        <v>1021359565</v>
      </c>
      <c r="B537" s="3" t="s">
        <v>1675</v>
      </c>
      <c r="C537">
        <v>59</v>
      </c>
      <c r="D537" t="s">
        <v>47</v>
      </c>
      <c r="E537" t="s">
        <v>28</v>
      </c>
      <c r="F537" t="s">
        <v>29</v>
      </c>
      <c r="G537" t="s">
        <v>28</v>
      </c>
      <c r="H537">
        <v>5</v>
      </c>
      <c r="I537" t="s">
        <v>30</v>
      </c>
      <c r="J537" t="s">
        <v>1676</v>
      </c>
      <c r="K537" t="s">
        <v>1677</v>
      </c>
      <c r="L537" t="s">
        <v>1003</v>
      </c>
      <c r="M537" s="4" t="s">
        <v>43</v>
      </c>
      <c r="N537" t="s">
        <v>64</v>
      </c>
      <c r="P537" s="3" t="s">
        <v>36</v>
      </c>
      <c r="Q537" s="3" t="s">
        <v>1448</v>
      </c>
      <c r="R537">
        <v>1</v>
      </c>
      <c r="S537" s="5">
        <v>45866</v>
      </c>
      <c r="T537" t="s">
        <v>38</v>
      </c>
      <c r="U537">
        <f t="shared" ca="1" si="48"/>
        <v>11</v>
      </c>
      <c r="V537" s="6">
        <f t="shared" ca="1" si="49"/>
        <v>46013</v>
      </c>
      <c r="W537" s="6">
        <f t="shared" ca="1" si="50"/>
        <v>46019</v>
      </c>
      <c r="X537" t="str">
        <f t="shared" ca="1" si="51"/>
        <v>Dec 22 to Dec 28</v>
      </c>
      <c r="Y537" t="str">
        <f t="shared" ca="1" si="52"/>
        <v>🔵 NEXT 2 WEEKS</v>
      </c>
      <c r="Z537" t="str">
        <f t="shared" ca="1" si="53"/>
        <v>Send reminder SMS</v>
      </c>
    </row>
    <row r="538" spans="1:26">
      <c r="A538">
        <v>1021444789</v>
      </c>
      <c r="B538" s="3" t="s">
        <v>1678</v>
      </c>
      <c r="C538">
        <v>72</v>
      </c>
      <c r="D538" t="s">
        <v>47</v>
      </c>
      <c r="E538" t="s">
        <v>29</v>
      </c>
      <c r="F538" t="s">
        <v>29</v>
      </c>
      <c r="G538" t="s">
        <v>28</v>
      </c>
      <c r="H538">
        <v>6</v>
      </c>
      <c r="I538" t="s">
        <v>30</v>
      </c>
      <c r="J538" t="s">
        <v>125</v>
      </c>
      <c r="K538" t="s">
        <v>1679</v>
      </c>
      <c r="L538" t="s">
        <v>69</v>
      </c>
      <c r="M538" s="4" t="s">
        <v>34</v>
      </c>
      <c r="N538" t="s">
        <v>131</v>
      </c>
      <c r="P538" s="3" t="s">
        <v>36</v>
      </c>
      <c r="Q538" s="3" t="s">
        <v>84</v>
      </c>
      <c r="R538">
        <v>2</v>
      </c>
      <c r="S538" s="5">
        <v>45772</v>
      </c>
      <c r="T538" t="s">
        <v>38</v>
      </c>
      <c r="U538">
        <f t="shared" ca="1" si="48"/>
        <v>7</v>
      </c>
      <c r="V538" s="6">
        <f t="shared" ca="1" si="49"/>
        <v>46009</v>
      </c>
      <c r="W538" s="6">
        <f t="shared" ca="1" si="50"/>
        <v>46015</v>
      </c>
      <c r="X538" t="str">
        <f t="shared" ca="1" si="51"/>
        <v>Dec 18 to Dec 24</v>
      </c>
      <c r="Y538" t="str">
        <f t="shared" ca="1" si="52"/>
        <v>🟢 THIS WEEK</v>
      </c>
      <c r="Z538" t="str">
        <f t="shared" ca="1" si="53"/>
        <v>Confirm appointment</v>
      </c>
    </row>
    <row r="539" spans="1:26">
      <c r="A539">
        <v>1021569361</v>
      </c>
      <c r="B539" s="3" t="s">
        <v>1680</v>
      </c>
      <c r="C539">
        <v>65</v>
      </c>
      <c r="D539" t="s">
        <v>47</v>
      </c>
      <c r="E539" t="s">
        <v>29</v>
      </c>
      <c r="F539" t="s">
        <v>29</v>
      </c>
      <c r="G539" t="s">
        <v>28</v>
      </c>
      <c r="H539">
        <v>6</v>
      </c>
      <c r="I539" t="s">
        <v>30</v>
      </c>
      <c r="J539" t="s">
        <v>1681</v>
      </c>
      <c r="K539" t="s">
        <v>1682</v>
      </c>
      <c r="M539" s="4" t="s">
        <v>43</v>
      </c>
      <c r="N539" t="s">
        <v>144</v>
      </c>
      <c r="P539" s="3" t="s">
        <v>36</v>
      </c>
      <c r="Q539" s="3" t="s">
        <v>84</v>
      </c>
      <c r="R539">
        <v>1</v>
      </c>
      <c r="S539" s="5">
        <v>45889</v>
      </c>
      <c r="T539" t="s">
        <v>38</v>
      </c>
      <c r="U539">
        <f t="shared" ca="1" si="48"/>
        <v>4</v>
      </c>
      <c r="V539" s="6">
        <f t="shared" ca="1" si="49"/>
        <v>46006</v>
      </c>
      <c r="W539" s="6">
        <f t="shared" ca="1" si="50"/>
        <v>46012</v>
      </c>
      <c r="X539" t="str">
        <f t="shared" ca="1" si="51"/>
        <v>Dec 15 to Dec 21</v>
      </c>
      <c r="Y539" t="str">
        <f t="shared" ca="1" si="52"/>
        <v>🟢 THIS WEEK</v>
      </c>
      <c r="Z539" t="str">
        <f t="shared" ca="1" si="53"/>
        <v>Confirm appointment</v>
      </c>
    </row>
    <row r="540" spans="1:26">
      <c r="A540">
        <v>1021721434</v>
      </c>
      <c r="B540" s="3" t="s">
        <v>1683</v>
      </c>
      <c r="C540">
        <v>52</v>
      </c>
      <c r="D540" t="s">
        <v>47</v>
      </c>
      <c r="E540" t="s">
        <v>54</v>
      </c>
      <c r="F540" t="s">
        <v>54</v>
      </c>
      <c r="G540" t="s">
        <v>54</v>
      </c>
      <c r="H540">
        <v>2</v>
      </c>
      <c r="I540" t="s">
        <v>55</v>
      </c>
      <c r="J540" t="s">
        <v>1684</v>
      </c>
      <c r="K540" t="s">
        <v>1685</v>
      </c>
      <c r="L540" t="s">
        <v>317</v>
      </c>
      <c r="M540" s="4" t="s">
        <v>34</v>
      </c>
      <c r="N540" t="s">
        <v>59</v>
      </c>
      <c r="P540" s="3" t="s">
        <v>36</v>
      </c>
      <c r="Q540" s="3" t="s">
        <v>230</v>
      </c>
      <c r="R540">
        <v>2</v>
      </c>
      <c r="S540" s="5">
        <v>45816</v>
      </c>
      <c r="T540" t="s">
        <v>60</v>
      </c>
      <c r="U540">
        <f t="shared" ca="1" si="48"/>
        <v>51</v>
      </c>
      <c r="V540" s="6">
        <f t="shared" ca="1" si="49"/>
        <v>46053</v>
      </c>
      <c r="W540" s="6">
        <f t="shared" ca="1" si="50"/>
        <v>46059</v>
      </c>
      <c r="X540" t="str">
        <f t="shared" ca="1" si="51"/>
        <v>Jan 31 to Feb 6</v>
      </c>
      <c r="Y540" t="str">
        <f t="shared" ca="1" si="52"/>
        <v>⚪ SCHEDULED</v>
      </c>
      <c r="Z540" t="str">
        <f t="shared" ca="1" si="53"/>
        <v>No action needed yet</v>
      </c>
    </row>
    <row r="541" spans="1:26">
      <c r="A541">
        <v>1021925530</v>
      </c>
      <c r="B541" s="3" t="s">
        <v>1686</v>
      </c>
      <c r="C541">
        <v>74</v>
      </c>
      <c r="D541" t="s">
        <v>27</v>
      </c>
      <c r="E541" t="s">
        <v>29</v>
      </c>
      <c r="F541" t="s">
        <v>29</v>
      </c>
      <c r="G541" t="s">
        <v>29</v>
      </c>
      <c r="H541">
        <v>8</v>
      </c>
      <c r="I541" t="s">
        <v>30</v>
      </c>
      <c r="J541" t="s">
        <v>1687</v>
      </c>
      <c r="K541" t="s">
        <v>1688</v>
      </c>
      <c r="L541" t="s">
        <v>155</v>
      </c>
      <c r="M541" s="4" t="s">
        <v>43</v>
      </c>
      <c r="N541" t="s">
        <v>76</v>
      </c>
      <c r="P541" s="3" t="s">
        <v>36</v>
      </c>
      <c r="Q541" s="3" t="s">
        <v>45</v>
      </c>
      <c r="R541">
        <v>2</v>
      </c>
      <c r="S541" s="5">
        <v>45888</v>
      </c>
      <c r="T541" t="s">
        <v>38</v>
      </c>
      <c r="U541">
        <f t="shared" ca="1" si="48"/>
        <v>3</v>
      </c>
      <c r="V541" s="6">
        <f t="shared" ca="1" si="49"/>
        <v>46005</v>
      </c>
      <c r="W541" s="6">
        <f t="shared" ca="1" si="50"/>
        <v>46011</v>
      </c>
      <c r="X541" t="str">
        <f t="shared" ca="1" si="51"/>
        <v>Dec 14 to Dec 20</v>
      </c>
      <c r="Y541" t="str">
        <f t="shared" ca="1" si="52"/>
        <v>🟡 IMMINENT (within 3 days)</v>
      </c>
      <c r="Z541" t="str">
        <f t="shared" ca="1" si="53"/>
        <v>Prepare medications TODAY</v>
      </c>
    </row>
    <row r="542" spans="1:26">
      <c r="A542">
        <v>1021969637</v>
      </c>
      <c r="B542" s="3" t="s">
        <v>1689</v>
      </c>
      <c r="C542">
        <v>58</v>
      </c>
      <c r="D542" t="s">
        <v>47</v>
      </c>
      <c r="E542" t="s">
        <v>28</v>
      </c>
      <c r="F542" t="s">
        <v>29</v>
      </c>
      <c r="G542" t="s">
        <v>28</v>
      </c>
      <c r="H542">
        <v>4</v>
      </c>
      <c r="I542" t="s">
        <v>66</v>
      </c>
      <c r="J542" t="s">
        <v>398</v>
      </c>
      <c r="K542" t="s">
        <v>1690</v>
      </c>
      <c r="L542" t="s">
        <v>69</v>
      </c>
      <c r="M542" s="4" t="s">
        <v>43</v>
      </c>
      <c r="N542" t="s">
        <v>70</v>
      </c>
      <c r="P542" s="3" t="s">
        <v>36</v>
      </c>
      <c r="Q542" s="3" t="s">
        <v>858</v>
      </c>
      <c r="R542">
        <v>2</v>
      </c>
      <c r="S542" s="5">
        <v>45874</v>
      </c>
      <c r="T542" t="s">
        <v>38</v>
      </c>
      <c r="U542">
        <f t="shared" ca="1" si="48"/>
        <v>19</v>
      </c>
      <c r="V542" s="6">
        <f t="shared" ca="1" si="49"/>
        <v>46021</v>
      </c>
      <c r="W542" s="6">
        <f t="shared" ca="1" si="50"/>
        <v>46027</v>
      </c>
      <c r="X542" t="str">
        <f t="shared" ca="1" si="51"/>
        <v>Dec 30 to Jan 5</v>
      </c>
      <c r="Y542" t="str">
        <f t="shared" ca="1" si="52"/>
        <v>⚪ SCHEDULED</v>
      </c>
      <c r="Z542" t="str">
        <f t="shared" ca="1" si="53"/>
        <v>No action needed yet</v>
      </c>
    </row>
    <row r="543" spans="1:26">
      <c r="A543">
        <v>1022079568</v>
      </c>
      <c r="B543" s="3" t="s">
        <v>1691</v>
      </c>
      <c r="C543">
        <v>66</v>
      </c>
      <c r="D543" t="s">
        <v>47</v>
      </c>
      <c r="E543" t="s">
        <v>29</v>
      </c>
      <c r="F543" t="s">
        <v>29</v>
      </c>
      <c r="G543" t="s">
        <v>28</v>
      </c>
      <c r="H543">
        <v>6</v>
      </c>
      <c r="I543" t="s">
        <v>30</v>
      </c>
      <c r="J543" t="s">
        <v>1692</v>
      </c>
      <c r="K543" t="s">
        <v>1693</v>
      </c>
      <c r="L543" t="s">
        <v>1694</v>
      </c>
      <c r="M543" s="4" t="s">
        <v>94</v>
      </c>
      <c r="N543" t="s">
        <v>119</v>
      </c>
      <c r="P543" s="3" t="s">
        <v>36</v>
      </c>
      <c r="Q543" s="3" t="s">
        <v>107</v>
      </c>
      <c r="R543">
        <v>1</v>
      </c>
      <c r="S543" s="5">
        <v>45931</v>
      </c>
      <c r="T543" t="s">
        <v>38</v>
      </c>
      <c r="U543">
        <f t="shared" ca="1" si="48"/>
        <v>16</v>
      </c>
      <c r="V543" s="6">
        <f t="shared" ca="1" si="49"/>
        <v>46018</v>
      </c>
      <c r="W543" s="6">
        <f t="shared" ca="1" si="50"/>
        <v>46024</v>
      </c>
      <c r="X543" t="str">
        <f t="shared" ca="1" si="51"/>
        <v>Dec 27 to Jan 2</v>
      </c>
      <c r="Y543" t="str">
        <f t="shared" ca="1" si="52"/>
        <v>⚪ SCHEDULED</v>
      </c>
      <c r="Z543" t="str">
        <f t="shared" ca="1" si="53"/>
        <v>No action needed yet</v>
      </c>
    </row>
    <row r="544" spans="1:26">
      <c r="A544">
        <v>1022080590</v>
      </c>
      <c r="B544" s="3" t="s">
        <v>1695</v>
      </c>
      <c r="C544">
        <v>46</v>
      </c>
      <c r="D544" t="s">
        <v>47</v>
      </c>
      <c r="E544" t="s">
        <v>29</v>
      </c>
      <c r="F544" t="s">
        <v>28</v>
      </c>
      <c r="G544" t="s">
        <v>29</v>
      </c>
      <c r="H544">
        <v>3</v>
      </c>
      <c r="I544" t="s">
        <v>66</v>
      </c>
      <c r="J544" t="s">
        <v>1696</v>
      </c>
      <c r="K544" t="s">
        <v>1697</v>
      </c>
      <c r="L544" t="s">
        <v>105</v>
      </c>
      <c r="M544" s="4" t="s">
        <v>34</v>
      </c>
      <c r="N544" t="s">
        <v>182</v>
      </c>
      <c r="P544" s="3" t="s">
        <v>36</v>
      </c>
      <c r="Q544" s="3" t="s">
        <v>1698</v>
      </c>
      <c r="R544">
        <v>2</v>
      </c>
      <c r="S544" s="5">
        <v>45553</v>
      </c>
      <c r="T544" t="s">
        <v>38</v>
      </c>
      <c r="U544">
        <f t="shared" ca="1" si="48"/>
        <v>28</v>
      </c>
      <c r="V544" s="6">
        <f t="shared" ca="1" si="49"/>
        <v>46030</v>
      </c>
      <c r="W544" s="6">
        <f t="shared" ca="1" si="50"/>
        <v>46036</v>
      </c>
      <c r="X544" t="str">
        <f t="shared" ca="1" si="51"/>
        <v>Jan 8 to Jan 14</v>
      </c>
      <c r="Y544" t="str">
        <f t="shared" ca="1" si="52"/>
        <v>⚪ SCHEDULED</v>
      </c>
      <c r="Z544" t="str">
        <f t="shared" ca="1" si="53"/>
        <v>No action needed yet</v>
      </c>
    </row>
    <row r="545" spans="1:26">
      <c r="A545">
        <v>1022207193</v>
      </c>
      <c r="B545" s="3" t="s">
        <v>1699</v>
      </c>
      <c r="C545">
        <v>66</v>
      </c>
      <c r="D545" t="s">
        <v>27</v>
      </c>
      <c r="E545" t="s">
        <v>28</v>
      </c>
      <c r="F545" t="s">
        <v>29</v>
      </c>
      <c r="G545" t="s">
        <v>29</v>
      </c>
      <c r="H545">
        <v>6</v>
      </c>
      <c r="I545" t="s">
        <v>30</v>
      </c>
      <c r="J545" t="s">
        <v>1700</v>
      </c>
      <c r="K545" t="s">
        <v>1701</v>
      </c>
      <c r="L545" t="s">
        <v>114</v>
      </c>
      <c r="M545" s="4" t="s">
        <v>34</v>
      </c>
      <c r="N545" t="s">
        <v>209</v>
      </c>
      <c r="P545" s="3" t="s">
        <v>36</v>
      </c>
      <c r="Q545" s="3" t="s">
        <v>916</v>
      </c>
      <c r="R545">
        <v>2</v>
      </c>
      <c r="S545" s="5">
        <v>45456</v>
      </c>
      <c r="T545" t="s">
        <v>38</v>
      </c>
      <c r="U545">
        <f t="shared" ca="1" si="48"/>
        <v>21</v>
      </c>
      <c r="V545" s="6">
        <f t="shared" ca="1" si="49"/>
        <v>46023</v>
      </c>
      <c r="W545" s="6">
        <f t="shared" ca="1" si="50"/>
        <v>46029</v>
      </c>
      <c r="X545" t="str">
        <f t="shared" ca="1" si="51"/>
        <v>Jan 1 to Jan 7</v>
      </c>
      <c r="Y545" t="str">
        <f t="shared" ca="1" si="52"/>
        <v>⚪ SCHEDULED</v>
      </c>
      <c r="Z545" t="str">
        <f t="shared" ca="1" si="53"/>
        <v>No action needed yet</v>
      </c>
    </row>
    <row r="546" spans="1:26">
      <c r="A546">
        <v>1022248726</v>
      </c>
      <c r="B546" s="3" t="s">
        <v>1702</v>
      </c>
      <c r="C546">
        <v>42</v>
      </c>
      <c r="D546" t="s">
        <v>47</v>
      </c>
      <c r="E546" t="s">
        <v>29</v>
      </c>
      <c r="F546" t="s">
        <v>28</v>
      </c>
      <c r="G546" t="s">
        <v>28</v>
      </c>
      <c r="H546">
        <v>3</v>
      </c>
      <c r="I546" t="s">
        <v>66</v>
      </c>
      <c r="J546" t="s">
        <v>253</v>
      </c>
      <c r="K546" t="s">
        <v>1312</v>
      </c>
      <c r="L546" t="s">
        <v>33</v>
      </c>
      <c r="M546" s="4" t="s">
        <v>34</v>
      </c>
      <c r="N546" t="s">
        <v>148</v>
      </c>
      <c r="P546" s="3" t="s">
        <v>36</v>
      </c>
      <c r="Q546" s="3" t="s">
        <v>528</v>
      </c>
      <c r="R546">
        <v>1</v>
      </c>
      <c r="S546" s="5">
        <v>45794</v>
      </c>
      <c r="T546" t="s">
        <v>38</v>
      </c>
      <c r="U546">
        <f t="shared" ca="1" si="48"/>
        <v>29</v>
      </c>
      <c r="V546" s="6">
        <f t="shared" ca="1" si="49"/>
        <v>46031</v>
      </c>
      <c r="W546" s="6">
        <f t="shared" ca="1" si="50"/>
        <v>46037</v>
      </c>
      <c r="X546" t="str">
        <f t="shared" ca="1" si="51"/>
        <v>Jan 9 to Jan 15</v>
      </c>
      <c r="Y546" t="str">
        <f t="shared" ca="1" si="52"/>
        <v>⚪ SCHEDULED</v>
      </c>
      <c r="Z546" t="str">
        <f t="shared" ca="1" si="53"/>
        <v>No action needed yet</v>
      </c>
    </row>
    <row r="547" spans="1:26">
      <c r="A547">
        <v>1022299224</v>
      </c>
      <c r="B547" s="3" t="s">
        <v>1703</v>
      </c>
      <c r="C547">
        <v>56</v>
      </c>
      <c r="D547" t="s">
        <v>47</v>
      </c>
      <c r="E547" t="s">
        <v>28</v>
      </c>
      <c r="F547" t="s">
        <v>29</v>
      </c>
      <c r="G547" t="s">
        <v>29</v>
      </c>
      <c r="H547">
        <v>5</v>
      </c>
      <c r="I547" t="s">
        <v>30</v>
      </c>
      <c r="J547" t="s">
        <v>1704</v>
      </c>
      <c r="K547" t="s">
        <v>1705</v>
      </c>
      <c r="M547" s="4" t="s">
        <v>43</v>
      </c>
      <c r="N547" t="s">
        <v>35</v>
      </c>
      <c r="P547" s="3" t="s">
        <v>36</v>
      </c>
      <c r="Q547" t="s">
        <v>54</v>
      </c>
      <c r="R547">
        <v>1</v>
      </c>
      <c r="S547" s="5">
        <v>45924</v>
      </c>
      <c r="T547" t="s">
        <v>38</v>
      </c>
      <c r="U547">
        <f t="shared" ca="1" si="48"/>
        <v>9</v>
      </c>
      <c r="V547" s="6">
        <f t="shared" ca="1" si="49"/>
        <v>46011</v>
      </c>
      <c r="W547" s="6">
        <f t="shared" ca="1" si="50"/>
        <v>46017</v>
      </c>
      <c r="X547" t="str">
        <f t="shared" ca="1" si="51"/>
        <v>Dec 20 to Dec 26</v>
      </c>
      <c r="Y547" t="str">
        <f t="shared" ca="1" si="52"/>
        <v>🔵 NEXT 2 WEEKS</v>
      </c>
      <c r="Z547" t="str">
        <f t="shared" ca="1" si="53"/>
        <v>Send reminder SMS</v>
      </c>
    </row>
    <row r="548" spans="1:26">
      <c r="A548">
        <v>1022392532</v>
      </c>
      <c r="B548" s="3" t="s">
        <v>1706</v>
      </c>
      <c r="C548">
        <v>65</v>
      </c>
      <c r="D548" t="s">
        <v>47</v>
      </c>
      <c r="E548" t="s">
        <v>54</v>
      </c>
      <c r="F548" t="s">
        <v>54</v>
      </c>
      <c r="G548" t="s">
        <v>54</v>
      </c>
      <c r="H548">
        <v>3</v>
      </c>
      <c r="I548" t="s">
        <v>66</v>
      </c>
      <c r="J548" t="s">
        <v>1707</v>
      </c>
      <c r="K548" t="s">
        <v>1708</v>
      </c>
      <c r="L548" t="s">
        <v>100</v>
      </c>
      <c r="M548" s="4" t="s">
        <v>94</v>
      </c>
      <c r="N548" t="s">
        <v>59</v>
      </c>
      <c r="P548" s="3" t="s">
        <v>36</v>
      </c>
      <c r="Q548" t="s">
        <v>54</v>
      </c>
      <c r="R548">
        <v>1</v>
      </c>
      <c r="S548" s="5">
        <v>45959</v>
      </c>
      <c r="T548" t="s">
        <v>38</v>
      </c>
      <c r="U548">
        <f t="shared" ca="1" si="48"/>
        <v>14</v>
      </c>
      <c r="V548" s="6">
        <f t="shared" ca="1" si="49"/>
        <v>46016</v>
      </c>
      <c r="W548" s="6">
        <f t="shared" ca="1" si="50"/>
        <v>46022</v>
      </c>
      <c r="X548" t="str">
        <f t="shared" ca="1" si="51"/>
        <v>Dec 25 to Dec 31</v>
      </c>
      <c r="Y548" t="str">
        <f t="shared" ca="1" si="52"/>
        <v>🔵 NEXT 2 WEEKS</v>
      </c>
      <c r="Z548" t="str">
        <f t="shared" ca="1" si="53"/>
        <v>Send reminder SMS</v>
      </c>
    </row>
    <row r="549" spans="1:26">
      <c r="A549">
        <v>1022404659</v>
      </c>
      <c r="B549" s="3" t="s">
        <v>1709</v>
      </c>
      <c r="C549">
        <v>64</v>
      </c>
      <c r="D549" t="s">
        <v>47</v>
      </c>
      <c r="E549" t="s">
        <v>54</v>
      </c>
      <c r="F549" t="s">
        <v>54</v>
      </c>
      <c r="G549" t="s">
        <v>54</v>
      </c>
      <c r="H549">
        <v>3</v>
      </c>
      <c r="I549" t="s">
        <v>66</v>
      </c>
      <c r="J549" t="s">
        <v>1710</v>
      </c>
      <c r="K549" t="s">
        <v>1711</v>
      </c>
      <c r="L549" t="s">
        <v>269</v>
      </c>
      <c r="M549" s="4" t="s">
        <v>43</v>
      </c>
      <c r="N549" t="s">
        <v>59</v>
      </c>
      <c r="P549" s="3" t="s">
        <v>36</v>
      </c>
      <c r="Q549" t="s">
        <v>54</v>
      </c>
      <c r="R549">
        <v>1</v>
      </c>
      <c r="S549" s="5">
        <v>45857</v>
      </c>
      <c r="T549" t="s">
        <v>38</v>
      </c>
      <c r="U549">
        <f t="shared" ca="1" si="48"/>
        <v>2</v>
      </c>
      <c r="V549" s="6">
        <f t="shared" ca="1" si="49"/>
        <v>46004</v>
      </c>
      <c r="W549" s="6">
        <f t="shared" ca="1" si="50"/>
        <v>46010</v>
      </c>
      <c r="X549" t="str">
        <f t="shared" ca="1" si="51"/>
        <v>Dec 13 to Dec 19</v>
      </c>
      <c r="Y549" t="str">
        <f t="shared" ca="1" si="52"/>
        <v>🟡 IMMINENT (within 3 days)</v>
      </c>
      <c r="Z549" t="str">
        <f t="shared" ca="1" si="53"/>
        <v>Prepare medications TODAY</v>
      </c>
    </row>
    <row r="550" spans="1:26">
      <c r="A550">
        <v>1022411225</v>
      </c>
      <c r="B550" s="3" t="s">
        <v>1712</v>
      </c>
      <c r="C550">
        <v>49</v>
      </c>
      <c r="D550" t="s">
        <v>47</v>
      </c>
      <c r="E550" t="s">
        <v>28</v>
      </c>
      <c r="F550" t="s">
        <v>29</v>
      </c>
      <c r="G550" t="s">
        <v>29</v>
      </c>
      <c r="H550">
        <v>3</v>
      </c>
      <c r="I550" t="s">
        <v>66</v>
      </c>
      <c r="J550" t="s">
        <v>1713</v>
      </c>
      <c r="K550" t="s">
        <v>1714</v>
      </c>
      <c r="L550" t="s">
        <v>139</v>
      </c>
      <c r="M550" s="4" t="s">
        <v>43</v>
      </c>
      <c r="N550" t="s">
        <v>209</v>
      </c>
      <c r="P550" s="3" t="s">
        <v>36</v>
      </c>
      <c r="Q550" s="3" t="s">
        <v>1448</v>
      </c>
      <c r="R550">
        <v>2</v>
      </c>
      <c r="S550" s="5">
        <v>45874</v>
      </c>
      <c r="T550" t="s">
        <v>38</v>
      </c>
      <c r="U550">
        <f t="shared" ca="1" si="48"/>
        <v>19</v>
      </c>
      <c r="V550" s="6">
        <f t="shared" ca="1" si="49"/>
        <v>46021</v>
      </c>
      <c r="W550" s="6">
        <f t="shared" ca="1" si="50"/>
        <v>46027</v>
      </c>
      <c r="X550" t="str">
        <f t="shared" ca="1" si="51"/>
        <v>Dec 30 to Jan 5</v>
      </c>
      <c r="Y550" t="str">
        <f t="shared" ca="1" si="52"/>
        <v>⚪ SCHEDULED</v>
      </c>
      <c r="Z550" t="str">
        <f t="shared" ca="1" si="53"/>
        <v>No action needed yet</v>
      </c>
    </row>
    <row r="551" spans="1:26">
      <c r="A551">
        <v>1022494890</v>
      </c>
      <c r="B551" s="3" t="s">
        <v>1715</v>
      </c>
      <c r="C551">
        <v>54</v>
      </c>
      <c r="D551" t="s">
        <v>27</v>
      </c>
      <c r="E551" t="s">
        <v>29</v>
      </c>
      <c r="F551" t="s">
        <v>28</v>
      </c>
      <c r="G551" t="s">
        <v>29</v>
      </c>
      <c r="H551">
        <v>4</v>
      </c>
      <c r="I551" t="s">
        <v>66</v>
      </c>
      <c r="J551" t="s">
        <v>1716</v>
      </c>
      <c r="K551" t="s">
        <v>1717</v>
      </c>
      <c r="L551" t="s">
        <v>114</v>
      </c>
      <c r="M551" s="4" t="s">
        <v>43</v>
      </c>
      <c r="N551" t="s">
        <v>115</v>
      </c>
      <c r="P551" s="3" t="s">
        <v>36</v>
      </c>
      <c r="Q551" s="3" t="s">
        <v>1718</v>
      </c>
      <c r="R551">
        <v>2</v>
      </c>
      <c r="S551" s="5">
        <v>45906</v>
      </c>
      <c r="T551" t="s">
        <v>38</v>
      </c>
      <c r="U551">
        <f t="shared" ca="1" si="48"/>
        <v>21</v>
      </c>
      <c r="V551" s="6">
        <f t="shared" ca="1" si="49"/>
        <v>46023</v>
      </c>
      <c r="W551" s="6">
        <f t="shared" ca="1" si="50"/>
        <v>46029</v>
      </c>
      <c r="X551" t="str">
        <f t="shared" ca="1" si="51"/>
        <v>Jan 1 to Jan 7</v>
      </c>
      <c r="Y551" t="str">
        <f t="shared" ca="1" si="52"/>
        <v>⚪ SCHEDULED</v>
      </c>
      <c r="Z551" t="str">
        <f t="shared" ca="1" si="53"/>
        <v>No action needed yet</v>
      </c>
    </row>
    <row r="552" spans="1:26">
      <c r="A552">
        <v>1022610792</v>
      </c>
      <c r="B552" s="3" t="s">
        <v>1719</v>
      </c>
      <c r="C552">
        <v>42</v>
      </c>
      <c r="D552" t="s">
        <v>47</v>
      </c>
      <c r="E552" t="s">
        <v>29</v>
      </c>
      <c r="F552" t="s">
        <v>28</v>
      </c>
      <c r="G552" t="s">
        <v>28</v>
      </c>
      <c r="H552">
        <v>3</v>
      </c>
      <c r="I552" t="s">
        <v>66</v>
      </c>
      <c r="J552" t="s">
        <v>1720</v>
      </c>
      <c r="K552" t="s">
        <v>1721</v>
      </c>
      <c r="L552" t="s">
        <v>105</v>
      </c>
      <c r="M552" s="4" t="s">
        <v>94</v>
      </c>
      <c r="N552" t="s">
        <v>162</v>
      </c>
      <c r="P552" s="3" t="s">
        <v>36</v>
      </c>
      <c r="Q552" s="3" t="s">
        <v>1722</v>
      </c>
      <c r="R552">
        <v>2</v>
      </c>
      <c r="S552" s="5">
        <v>45948</v>
      </c>
      <c r="T552" t="s">
        <v>38</v>
      </c>
      <c r="U552">
        <f t="shared" ca="1" si="48"/>
        <v>3</v>
      </c>
      <c r="V552" s="6">
        <f t="shared" ca="1" si="49"/>
        <v>46005</v>
      </c>
      <c r="W552" s="6">
        <f t="shared" ca="1" si="50"/>
        <v>46011</v>
      </c>
      <c r="X552" t="str">
        <f t="shared" ca="1" si="51"/>
        <v>Dec 14 to Dec 20</v>
      </c>
      <c r="Y552" t="str">
        <f t="shared" ca="1" si="52"/>
        <v>🟡 IMMINENT (within 3 days)</v>
      </c>
      <c r="Z552" t="str">
        <f t="shared" ca="1" si="53"/>
        <v>Prepare medications TODAY</v>
      </c>
    </row>
    <row r="553" spans="1:26">
      <c r="A553">
        <v>1022650822</v>
      </c>
      <c r="B553" s="3" t="s">
        <v>1723</v>
      </c>
      <c r="C553">
        <v>67</v>
      </c>
      <c r="D553" t="s">
        <v>47</v>
      </c>
      <c r="E553" t="s">
        <v>28</v>
      </c>
      <c r="F553" t="s">
        <v>29</v>
      </c>
      <c r="G553" t="s">
        <v>29</v>
      </c>
      <c r="H553">
        <v>5</v>
      </c>
      <c r="I553" t="s">
        <v>30</v>
      </c>
      <c r="J553" t="s">
        <v>1724</v>
      </c>
      <c r="K553" t="s">
        <v>1725</v>
      </c>
      <c r="L553" t="s">
        <v>135</v>
      </c>
      <c r="M553" s="4" t="s">
        <v>34</v>
      </c>
      <c r="N553" t="s">
        <v>333</v>
      </c>
      <c r="P553" s="3" t="s">
        <v>36</v>
      </c>
      <c r="Q553" s="3" t="s">
        <v>84</v>
      </c>
      <c r="R553">
        <v>2</v>
      </c>
      <c r="S553" s="5">
        <v>45575</v>
      </c>
      <c r="T553" t="s">
        <v>38</v>
      </c>
      <c r="U553">
        <f t="shared" ca="1" si="48"/>
        <v>20</v>
      </c>
      <c r="V553" s="6">
        <f t="shared" ca="1" si="49"/>
        <v>46022</v>
      </c>
      <c r="W553" s="6">
        <f t="shared" ca="1" si="50"/>
        <v>46028</v>
      </c>
      <c r="X553" t="str">
        <f t="shared" ca="1" si="51"/>
        <v>Dec 31 to Jan 6</v>
      </c>
      <c r="Y553" t="str">
        <f t="shared" ca="1" si="52"/>
        <v>⚪ SCHEDULED</v>
      </c>
      <c r="Z553" t="str">
        <f t="shared" ca="1" si="53"/>
        <v>No action needed yet</v>
      </c>
    </row>
    <row r="554" spans="1:26">
      <c r="A554">
        <v>1022877292</v>
      </c>
      <c r="B554" s="3" t="s">
        <v>1726</v>
      </c>
      <c r="C554">
        <v>57</v>
      </c>
      <c r="D554" t="s">
        <v>27</v>
      </c>
      <c r="E554" t="s">
        <v>54</v>
      </c>
      <c r="F554" t="s">
        <v>54</v>
      </c>
      <c r="G554" t="s">
        <v>54</v>
      </c>
      <c r="H554">
        <v>2</v>
      </c>
      <c r="I554" t="s">
        <v>55</v>
      </c>
      <c r="J554" t="s">
        <v>168</v>
      </c>
      <c r="K554" t="s">
        <v>1477</v>
      </c>
      <c r="L554" t="s">
        <v>170</v>
      </c>
      <c r="M554" s="4" t="s">
        <v>34</v>
      </c>
      <c r="N554" t="s">
        <v>59</v>
      </c>
      <c r="P554" s="3" t="s">
        <v>36</v>
      </c>
      <c r="Q554" t="s">
        <v>54</v>
      </c>
      <c r="R554">
        <v>1</v>
      </c>
      <c r="S554" s="5">
        <v>45628</v>
      </c>
      <c r="T554" t="s">
        <v>60</v>
      </c>
      <c r="U554">
        <f t="shared" ca="1" si="48"/>
        <v>43</v>
      </c>
      <c r="V554" s="6">
        <f t="shared" ca="1" si="49"/>
        <v>46045</v>
      </c>
      <c r="W554" s="6">
        <f t="shared" ca="1" si="50"/>
        <v>46051</v>
      </c>
      <c r="X554" t="str">
        <f t="shared" ca="1" si="51"/>
        <v>Jan 23 to Jan 29</v>
      </c>
      <c r="Y554" t="str">
        <f t="shared" ca="1" si="52"/>
        <v>⚪ SCHEDULED</v>
      </c>
      <c r="Z554" t="str">
        <f t="shared" ca="1" si="53"/>
        <v>No action needed yet</v>
      </c>
    </row>
    <row r="555" spans="1:26">
      <c r="A555">
        <v>1022940082</v>
      </c>
      <c r="B555" s="3" t="s">
        <v>1727</v>
      </c>
      <c r="C555">
        <v>59</v>
      </c>
      <c r="D555" t="s">
        <v>47</v>
      </c>
      <c r="E555" t="s">
        <v>28</v>
      </c>
      <c r="F555" t="s">
        <v>29</v>
      </c>
      <c r="G555" t="s">
        <v>29</v>
      </c>
      <c r="H555">
        <v>4</v>
      </c>
      <c r="I555" t="s">
        <v>66</v>
      </c>
      <c r="J555" t="s">
        <v>125</v>
      </c>
      <c r="K555" t="s">
        <v>709</v>
      </c>
      <c r="L555" t="s">
        <v>69</v>
      </c>
      <c r="M555" s="4" t="s">
        <v>43</v>
      </c>
      <c r="N555" t="s">
        <v>1126</v>
      </c>
      <c r="P555" s="3" t="s">
        <v>36</v>
      </c>
      <c r="Q555" s="3" t="s">
        <v>90</v>
      </c>
      <c r="R555">
        <v>2</v>
      </c>
      <c r="S555" s="5">
        <v>45919</v>
      </c>
      <c r="T555" t="s">
        <v>38</v>
      </c>
      <c r="U555">
        <f t="shared" ca="1" si="48"/>
        <v>4</v>
      </c>
      <c r="V555" s="6">
        <f t="shared" ca="1" si="49"/>
        <v>46006</v>
      </c>
      <c r="W555" s="6">
        <f t="shared" ca="1" si="50"/>
        <v>46012</v>
      </c>
      <c r="X555" t="str">
        <f t="shared" ca="1" si="51"/>
        <v>Dec 15 to Dec 21</v>
      </c>
      <c r="Y555" t="str">
        <f t="shared" ca="1" si="52"/>
        <v>🟢 THIS WEEK</v>
      </c>
      <c r="Z555" t="str">
        <f t="shared" ca="1" si="53"/>
        <v>Confirm appointment</v>
      </c>
    </row>
    <row r="556" spans="1:26">
      <c r="A556">
        <v>1022949125</v>
      </c>
      <c r="B556" s="3" t="s">
        <v>1728</v>
      </c>
      <c r="C556">
        <v>70</v>
      </c>
      <c r="D556" t="s">
        <v>47</v>
      </c>
      <c r="E556" t="s">
        <v>29</v>
      </c>
      <c r="F556" t="s">
        <v>29</v>
      </c>
      <c r="G556" t="s">
        <v>29</v>
      </c>
      <c r="H556">
        <v>8</v>
      </c>
      <c r="I556" t="s">
        <v>30</v>
      </c>
      <c r="J556" t="s">
        <v>1729</v>
      </c>
      <c r="K556" t="s">
        <v>1730</v>
      </c>
      <c r="L556" t="s">
        <v>100</v>
      </c>
      <c r="M556" s="4" t="s">
        <v>34</v>
      </c>
      <c r="N556" t="s">
        <v>76</v>
      </c>
      <c r="P556" s="3" t="s">
        <v>36</v>
      </c>
      <c r="Q556" s="3" t="s">
        <v>107</v>
      </c>
      <c r="R556">
        <v>1</v>
      </c>
      <c r="S556" s="5">
        <v>45799</v>
      </c>
      <c r="T556" t="s">
        <v>38</v>
      </c>
      <c r="U556">
        <f t="shared" ca="1" si="48"/>
        <v>4</v>
      </c>
      <c r="V556" s="6">
        <f t="shared" ca="1" si="49"/>
        <v>46006</v>
      </c>
      <c r="W556" s="6">
        <f t="shared" ca="1" si="50"/>
        <v>46012</v>
      </c>
      <c r="X556" t="str">
        <f t="shared" ca="1" si="51"/>
        <v>Dec 15 to Dec 21</v>
      </c>
      <c r="Y556" t="str">
        <f t="shared" ca="1" si="52"/>
        <v>🟢 THIS WEEK</v>
      </c>
      <c r="Z556" t="str">
        <f t="shared" ca="1" si="53"/>
        <v>Confirm appointment</v>
      </c>
    </row>
    <row r="557" spans="1:26">
      <c r="A557">
        <v>1023248147</v>
      </c>
      <c r="B557" s="3" t="s">
        <v>1731</v>
      </c>
      <c r="C557">
        <v>56</v>
      </c>
      <c r="D557" t="s">
        <v>47</v>
      </c>
      <c r="E557" t="s">
        <v>28</v>
      </c>
      <c r="F557" t="s">
        <v>29</v>
      </c>
      <c r="G557" t="s">
        <v>28</v>
      </c>
      <c r="H557">
        <v>3</v>
      </c>
      <c r="I557" t="s">
        <v>66</v>
      </c>
      <c r="J557" t="s">
        <v>125</v>
      </c>
      <c r="K557" t="s">
        <v>126</v>
      </c>
      <c r="L557" t="s">
        <v>69</v>
      </c>
      <c r="M557" s="4" t="s">
        <v>34</v>
      </c>
      <c r="N557" t="s">
        <v>70</v>
      </c>
      <c r="P557" s="3" t="s">
        <v>36</v>
      </c>
      <c r="Q557" s="3" t="s">
        <v>107</v>
      </c>
      <c r="R557">
        <v>1</v>
      </c>
      <c r="S557" s="5">
        <v>45762</v>
      </c>
      <c r="T557" t="s">
        <v>38</v>
      </c>
      <c r="U557">
        <f t="shared" ca="1" si="48"/>
        <v>27</v>
      </c>
      <c r="V557" s="6">
        <f t="shared" ca="1" si="49"/>
        <v>46029</v>
      </c>
      <c r="W557" s="6">
        <f t="shared" ca="1" si="50"/>
        <v>46035</v>
      </c>
      <c r="X557" t="str">
        <f t="shared" ca="1" si="51"/>
        <v>Jan 7 to Jan 13</v>
      </c>
      <c r="Y557" t="str">
        <f t="shared" ca="1" si="52"/>
        <v>⚪ SCHEDULED</v>
      </c>
      <c r="Z557" t="str">
        <f t="shared" ca="1" si="53"/>
        <v>No action needed yet</v>
      </c>
    </row>
    <row r="558" spans="1:26">
      <c r="A558">
        <v>1023469339</v>
      </c>
      <c r="B558" s="3" t="s">
        <v>1732</v>
      </c>
      <c r="C558">
        <v>62</v>
      </c>
      <c r="D558" t="s">
        <v>27</v>
      </c>
      <c r="E558" t="s">
        <v>28</v>
      </c>
      <c r="F558" t="s">
        <v>28</v>
      </c>
      <c r="G558" t="s">
        <v>28</v>
      </c>
      <c r="H558">
        <v>3</v>
      </c>
      <c r="I558" t="s">
        <v>66</v>
      </c>
      <c r="J558" t="s">
        <v>1733</v>
      </c>
      <c r="K558" t="s">
        <v>1734</v>
      </c>
      <c r="M558" s="4" t="s">
        <v>34</v>
      </c>
      <c r="N558" t="s">
        <v>59</v>
      </c>
      <c r="P558" s="3" t="s">
        <v>36</v>
      </c>
      <c r="Q558" s="3" t="s">
        <v>1566</v>
      </c>
      <c r="R558">
        <v>2</v>
      </c>
      <c r="S558" s="5">
        <v>45395</v>
      </c>
      <c r="T558" t="s">
        <v>38</v>
      </c>
      <c r="U558">
        <f t="shared" ca="1" si="48"/>
        <v>20</v>
      </c>
      <c r="V558" s="6">
        <f t="shared" ca="1" si="49"/>
        <v>46022</v>
      </c>
      <c r="W558" s="6">
        <f t="shared" ca="1" si="50"/>
        <v>46028</v>
      </c>
      <c r="X558" t="str">
        <f t="shared" ca="1" si="51"/>
        <v>Dec 31 to Jan 6</v>
      </c>
      <c r="Y558" t="str">
        <f t="shared" ca="1" si="52"/>
        <v>⚪ SCHEDULED</v>
      </c>
      <c r="Z558" t="str">
        <f t="shared" ca="1" si="53"/>
        <v>No action needed yet</v>
      </c>
    </row>
    <row r="559" spans="1:26">
      <c r="A559">
        <v>1023469420</v>
      </c>
      <c r="B559" s="3" t="s">
        <v>1735</v>
      </c>
      <c r="C559">
        <v>43</v>
      </c>
      <c r="D559" t="s">
        <v>47</v>
      </c>
      <c r="E559" t="s">
        <v>28</v>
      </c>
      <c r="F559" t="s">
        <v>28</v>
      </c>
      <c r="G559" t="s">
        <v>28</v>
      </c>
      <c r="H559">
        <v>2</v>
      </c>
      <c r="I559" t="s">
        <v>55</v>
      </c>
      <c r="J559" t="s">
        <v>1736</v>
      </c>
      <c r="K559" t="s">
        <v>1737</v>
      </c>
      <c r="L559" t="s">
        <v>380</v>
      </c>
      <c r="M559" s="4" t="s">
        <v>94</v>
      </c>
      <c r="N559" t="s">
        <v>59</v>
      </c>
      <c r="P559" s="3" t="s">
        <v>36</v>
      </c>
      <c r="Q559" s="3" t="s">
        <v>84</v>
      </c>
      <c r="R559">
        <v>2</v>
      </c>
      <c r="S559" s="5">
        <v>45962</v>
      </c>
      <c r="T559" t="s">
        <v>60</v>
      </c>
      <c r="U559">
        <f t="shared" ca="1" si="48"/>
        <v>17</v>
      </c>
      <c r="V559" s="6">
        <f t="shared" ca="1" si="49"/>
        <v>46019</v>
      </c>
      <c r="W559" s="6">
        <f t="shared" ca="1" si="50"/>
        <v>46025</v>
      </c>
      <c r="X559" t="str">
        <f t="shared" ca="1" si="51"/>
        <v>Dec 28 to Jan 3</v>
      </c>
      <c r="Y559" t="str">
        <f t="shared" ca="1" si="52"/>
        <v>⚪ SCHEDULED</v>
      </c>
      <c r="Z559" t="str">
        <f t="shared" ca="1" si="53"/>
        <v>No action needed yet</v>
      </c>
    </row>
    <row r="560" spans="1:26">
      <c r="A560">
        <v>1023564394</v>
      </c>
      <c r="B560" s="3" t="s">
        <v>1738</v>
      </c>
      <c r="C560">
        <v>62</v>
      </c>
      <c r="D560" t="s">
        <v>47</v>
      </c>
      <c r="E560" t="s">
        <v>29</v>
      </c>
      <c r="F560" t="s">
        <v>29</v>
      </c>
      <c r="G560" t="s">
        <v>29</v>
      </c>
      <c r="H560">
        <v>6</v>
      </c>
      <c r="I560" t="s">
        <v>30</v>
      </c>
      <c r="J560" t="s">
        <v>1739</v>
      </c>
      <c r="K560" t="s">
        <v>1740</v>
      </c>
      <c r="L560" t="s">
        <v>509</v>
      </c>
      <c r="M560" s="4" t="s">
        <v>34</v>
      </c>
      <c r="N560" t="s">
        <v>201</v>
      </c>
      <c r="P560" s="3" t="s">
        <v>36</v>
      </c>
      <c r="Q560" s="3" t="s">
        <v>84</v>
      </c>
      <c r="R560">
        <v>2</v>
      </c>
      <c r="S560" s="5">
        <v>45828</v>
      </c>
      <c r="T560" t="s">
        <v>38</v>
      </c>
      <c r="U560">
        <f t="shared" ca="1" si="48"/>
        <v>3</v>
      </c>
      <c r="V560" s="6">
        <f t="shared" ca="1" si="49"/>
        <v>46005</v>
      </c>
      <c r="W560" s="6">
        <f t="shared" ca="1" si="50"/>
        <v>46011</v>
      </c>
      <c r="X560" t="str">
        <f t="shared" ca="1" si="51"/>
        <v>Dec 14 to Dec 20</v>
      </c>
      <c r="Y560" t="str">
        <f t="shared" ca="1" si="52"/>
        <v>🟡 IMMINENT (within 3 days)</v>
      </c>
      <c r="Z560" t="str">
        <f t="shared" ca="1" si="53"/>
        <v>Prepare medications TODAY</v>
      </c>
    </row>
    <row r="561" spans="1:26">
      <c r="A561">
        <v>1023725540</v>
      </c>
      <c r="B561" s="3" t="s">
        <v>1741</v>
      </c>
      <c r="C561">
        <v>60</v>
      </c>
      <c r="D561" t="s">
        <v>47</v>
      </c>
      <c r="E561" t="s">
        <v>28</v>
      </c>
      <c r="F561" t="s">
        <v>29</v>
      </c>
      <c r="G561" t="s">
        <v>29</v>
      </c>
      <c r="H561">
        <v>5</v>
      </c>
      <c r="I561" t="s">
        <v>30</v>
      </c>
      <c r="J561" t="s">
        <v>1742</v>
      </c>
      <c r="K561" t="s">
        <v>1743</v>
      </c>
      <c r="M561" s="4" t="s">
        <v>94</v>
      </c>
      <c r="N561" t="s">
        <v>35</v>
      </c>
      <c r="P561" s="3" t="s">
        <v>36</v>
      </c>
      <c r="Q561" s="3" t="s">
        <v>107</v>
      </c>
      <c r="R561">
        <v>1</v>
      </c>
      <c r="S561" s="5">
        <v>45947</v>
      </c>
      <c r="T561" t="s">
        <v>38</v>
      </c>
      <c r="U561">
        <f t="shared" ca="1" si="48"/>
        <v>2</v>
      </c>
      <c r="V561" s="6">
        <f t="shared" ca="1" si="49"/>
        <v>46004</v>
      </c>
      <c r="W561" s="6">
        <f t="shared" ca="1" si="50"/>
        <v>46010</v>
      </c>
      <c r="X561" t="str">
        <f t="shared" ca="1" si="51"/>
        <v>Dec 13 to Dec 19</v>
      </c>
      <c r="Y561" t="str">
        <f t="shared" ca="1" si="52"/>
        <v>🟡 IMMINENT (within 3 days)</v>
      </c>
      <c r="Z561" t="str">
        <f t="shared" ca="1" si="53"/>
        <v>Prepare medications TODAY</v>
      </c>
    </row>
    <row r="562" spans="1:26">
      <c r="A562">
        <v>1023763871</v>
      </c>
      <c r="B562" s="3" t="s">
        <v>1744</v>
      </c>
      <c r="C562">
        <v>61</v>
      </c>
      <c r="D562" t="s">
        <v>47</v>
      </c>
      <c r="E562" t="s">
        <v>54</v>
      </c>
      <c r="F562" t="s">
        <v>54</v>
      </c>
      <c r="G562" t="s">
        <v>54</v>
      </c>
      <c r="H562">
        <v>3</v>
      </c>
      <c r="I562" t="s">
        <v>66</v>
      </c>
      <c r="J562" t="s">
        <v>1745</v>
      </c>
      <c r="K562" t="s">
        <v>1746</v>
      </c>
      <c r="L562" t="s">
        <v>1694</v>
      </c>
      <c r="M562" s="4" t="s">
        <v>43</v>
      </c>
      <c r="N562" t="s">
        <v>59</v>
      </c>
      <c r="P562" s="3" t="s">
        <v>36</v>
      </c>
      <c r="Q562" s="3" t="s">
        <v>84</v>
      </c>
      <c r="R562">
        <v>1</v>
      </c>
      <c r="S562" s="5">
        <v>45877</v>
      </c>
      <c r="T562" t="s">
        <v>38</v>
      </c>
      <c r="U562">
        <f t="shared" ca="1" si="48"/>
        <v>22</v>
      </c>
      <c r="V562" s="6">
        <f t="shared" ca="1" si="49"/>
        <v>46024</v>
      </c>
      <c r="W562" s="6">
        <f t="shared" ca="1" si="50"/>
        <v>46030</v>
      </c>
      <c r="X562" t="str">
        <f t="shared" ca="1" si="51"/>
        <v>Jan 2 to Jan 8</v>
      </c>
      <c r="Y562" t="str">
        <f t="shared" ca="1" si="52"/>
        <v>⚪ SCHEDULED</v>
      </c>
      <c r="Z562" t="str">
        <f t="shared" ca="1" si="53"/>
        <v>No action needed yet</v>
      </c>
    </row>
    <row r="563" spans="1:26">
      <c r="A563">
        <v>1023794694</v>
      </c>
      <c r="B563" s="3" t="s">
        <v>1747</v>
      </c>
      <c r="C563">
        <v>55</v>
      </c>
      <c r="D563" t="s">
        <v>27</v>
      </c>
      <c r="E563" t="s">
        <v>29</v>
      </c>
      <c r="F563" t="s">
        <v>29</v>
      </c>
      <c r="G563" t="s">
        <v>28</v>
      </c>
      <c r="H563">
        <v>5</v>
      </c>
      <c r="I563" t="s">
        <v>30</v>
      </c>
      <c r="J563" t="s">
        <v>1748</v>
      </c>
      <c r="K563" t="s">
        <v>1749</v>
      </c>
      <c r="L563" t="s">
        <v>744</v>
      </c>
      <c r="M563" s="4" t="s">
        <v>34</v>
      </c>
      <c r="N563" t="s">
        <v>131</v>
      </c>
      <c r="P563" s="3" t="s">
        <v>36</v>
      </c>
      <c r="Q563" s="3" t="s">
        <v>1750</v>
      </c>
      <c r="R563">
        <v>1</v>
      </c>
      <c r="S563" s="5">
        <v>45671</v>
      </c>
      <c r="T563" t="s">
        <v>38</v>
      </c>
      <c r="U563">
        <f t="shared" ca="1" si="48"/>
        <v>26</v>
      </c>
      <c r="V563" s="6">
        <f t="shared" ca="1" si="49"/>
        <v>46028</v>
      </c>
      <c r="W563" s="6">
        <f t="shared" ca="1" si="50"/>
        <v>46034</v>
      </c>
      <c r="X563" t="str">
        <f t="shared" ca="1" si="51"/>
        <v>Jan 6 to Jan 12</v>
      </c>
      <c r="Y563" t="str">
        <f t="shared" ca="1" si="52"/>
        <v>⚪ SCHEDULED</v>
      </c>
      <c r="Z563" t="str">
        <f t="shared" ca="1" si="53"/>
        <v>No action needed yet</v>
      </c>
    </row>
    <row r="564" spans="1:26">
      <c r="A564">
        <v>1023872011</v>
      </c>
      <c r="B564" s="3" t="s">
        <v>1751</v>
      </c>
      <c r="C564">
        <v>53</v>
      </c>
      <c r="D564" t="s">
        <v>47</v>
      </c>
      <c r="E564" t="s">
        <v>28</v>
      </c>
      <c r="F564" t="s">
        <v>29</v>
      </c>
      <c r="G564" t="s">
        <v>29</v>
      </c>
      <c r="H564">
        <v>4</v>
      </c>
      <c r="I564" t="s">
        <v>66</v>
      </c>
      <c r="J564" t="s">
        <v>1752</v>
      </c>
      <c r="K564" t="s">
        <v>1753</v>
      </c>
      <c r="L564" t="s">
        <v>166</v>
      </c>
      <c r="M564" s="4" t="s">
        <v>34</v>
      </c>
      <c r="N564" t="s">
        <v>333</v>
      </c>
      <c r="P564" s="3" t="s">
        <v>36</v>
      </c>
      <c r="Q564" s="3" t="s">
        <v>45</v>
      </c>
      <c r="R564">
        <v>1</v>
      </c>
      <c r="S564" s="5">
        <v>45832</v>
      </c>
      <c r="T564" t="s">
        <v>38</v>
      </c>
      <c r="U564">
        <f t="shared" ca="1" si="48"/>
        <v>7</v>
      </c>
      <c r="V564" s="6">
        <f t="shared" ca="1" si="49"/>
        <v>46009</v>
      </c>
      <c r="W564" s="6">
        <f t="shared" ca="1" si="50"/>
        <v>46015</v>
      </c>
      <c r="X564" t="str">
        <f t="shared" ca="1" si="51"/>
        <v>Dec 18 to Dec 24</v>
      </c>
      <c r="Y564" t="str">
        <f t="shared" ca="1" si="52"/>
        <v>🟢 THIS WEEK</v>
      </c>
      <c r="Z564" t="str">
        <f t="shared" ca="1" si="53"/>
        <v>Confirm appointment</v>
      </c>
    </row>
    <row r="565" spans="1:26">
      <c r="A565">
        <v>1023904160</v>
      </c>
      <c r="B565" s="3" t="s">
        <v>1754</v>
      </c>
      <c r="C565">
        <v>79</v>
      </c>
      <c r="D565" t="s">
        <v>27</v>
      </c>
      <c r="E565" t="s">
        <v>29</v>
      </c>
      <c r="F565" t="s">
        <v>29</v>
      </c>
      <c r="G565" t="s">
        <v>29</v>
      </c>
      <c r="H565">
        <v>8</v>
      </c>
      <c r="I565" t="s">
        <v>30</v>
      </c>
      <c r="J565" t="s">
        <v>680</v>
      </c>
      <c r="K565" t="s">
        <v>1755</v>
      </c>
      <c r="M565" s="4" t="s">
        <v>34</v>
      </c>
      <c r="N565" t="s">
        <v>44</v>
      </c>
      <c r="P565" s="3" t="s">
        <v>36</v>
      </c>
      <c r="Q565" s="3" t="s">
        <v>123</v>
      </c>
      <c r="R565">
        <v>1</v>
      </c>
      <c r="S565" s="5">
        <v>45665</v>
      </c>
      <c r="T565" t="s">
        <v>38</v>
      </c>
      <c r="U565">
        <f t="shared" ca="1" si="48"/>
        <v>20</v>
      </c>
      <c r="V565" s="6">
        <f t="shared" ca="1" si="49"/>
        <v>46022</v>
      </c>
      <c r="W565" s="6">
        <f t="shared" ca="1" si="50"/>
        <v>46028</v>
      </c>
      <c r="X565" t="str">
        <f t="shared" ca="1" si="51"/>
        <v>Dec 31 to Jan 6</v>
      </c>
      <c r="Y565" t="str">
        <f t="shared" ca="1" si="52"/>
        <v>⚪ SCHEDULED</v>
      </c>
      <c r="Z565" t="str">
        <f t="shared" ca="1" si="53"/>
        <v>No action needed yet</v>
      </c>
    </row>
    <row r="566" spans="1:26">
      <c r="A566">
        <v>1023935321</v>
      </c>
      <c r="B566" s="3" t="s">
        <v>1756</v>
      </c>
      <c r="C566">
        <v>61</v>
      </c>
      <c r="D566" t="s">
        <v>27</v>
      </c>
      <c r="E566" t="s">
        <v>28</v>
      </c>
      <c r="F566" t="s">
        <v>28</v>
      </c>
      <c r="G566" t="s">
        <v>28</v>
      </c>
      <c r="H566">
        <v>4</v>
      </c>
      <c r="I566" t="s">
        <v>66</v>
      </c>
      <c r="J566" t="s">
        <v>1757</v>
      </c>
      <c r="K566" t="s">
        <v>1758</v>
      </c>
      <c r="L566" t="s">
        <v>139</v>
      </c>
      <c r="M566" s="4" t="s">
        <v>34</v>
      </c>
      <c r="N566" t="s">
        <v>59</v>
      </c>
      <c r="P566" s="3" t="s">
        <v>36</v>
      </c>
      <c r="Q566" s="3" t="s">
        <v>90</v>
      </c>
      <c r="R566">
        <v>2</v>
      </c>
      <c r="S566" s="5">
        <v>45479</v>
      </c>
      <c r="T566" t="s">
        <v>38</v>
      </c>
      <c r="U566">
        <f t="shared" ca="1" si="48"/>
        <v>14</v>
      </c>
      <c r="V566" s="6">
        <f t="shared" ca="1" si="49"/>
        <v>46016</v>
      </c>
      <c r="W566" s="6">
        <f t="shared" ca="1" si="50"/>
        <v>46022</v>
      </c>
      <c r="X566" t="str">
        <f t="shared" ca="1" si="51"/>
        <v>Dec 25 to Dec 31</v>
      </c>
      <c r="Y566" t="str">
        <f t="shared" ca="1" si="52"/>
        <v>🔵 NEXT 2 WEEKS</v>
      </c>
      <c r="Z566" t="str">
        <f t="shared" ca="1" si="53"/>
        <v>Send reminder SMS</v>
      </c>
    </row>
    <row r="567" spans="1:26">
      <c r="A567">
        <v>1024092502</v>
      </c>
      <c r="B567" s="3" t="s">
        <v>1759</v>
      </c>
      <c r="C567">
        <v>66</v>
      </c>
      <c r="D567" t="s">
        <v>27</v>
      </c>
      <c r="E567" t="s">
        <v>28</v>
      </c>
      <c r="F567" t="s">
        <v>29</v>
      </c>
      <c r="G567" t="s">
        <v>28</v>
      </c>
      <c r="H567">
        <v>4</v>
      </c>
      <c r="I567" t="s">
        <v>66</v>
      </c>
      <c r="J567" t="s">
        <v>1760</v>
      </c>
      <c r="K567" t="s">
        <v>1761</v>
      </c>
      <c r="L567" t="s">
        <v>1762</v>
      </c>
      <c r="M567" s="4" t="s">
        <v>43</v>
      </c>
      <c r="N567" t="s">
        <v>70</v>
      </c>
      <c r="P567" s="3" t="s">
        <v>36</v>
      </c>
      <c r="Q567" s="3" t="s">
        <v>84</v>
      </c>
      <c r="R567">
        <v>2</v>
      </c>
      <c r="S567" s="5">
        <v>45925</v>
      </c>
      <c r="T567" t="s">
        <v>38</v>
      </c>
      <c r="U567">
        <f t="shared" ca="1" si="48"/>
        <v>10</v>
      </c>
      <c r="V567" s="6">
        <f t="shared" ca="1" si="49"/>
        <v>46012</v>
      </c>
      <c r="W567" s="6">
        <f t="shared" ca="1" si="50"/>
        <v>46018</v>
      </c>
      <c r="X567" t="str">
        <f t="shared" ca="1" si="51"/>
        <v>Dec 21 to Dec 27</v>
      </c>
      <c r="Y567" t="str">
        <f t="shared" ca="1" si="52"/>
        <v>🔵 NEXT 2 WEEKS</v>
      </c>
      <c r="Z567" t="str">
        <f t="shared" ca="1" si="53"/>
        <v>Send reminder SMS</v>
      </c>
    </row>
    <row r="568" spans="1:26">
      <c r="A568">
        <v>1024219709</v>
      </c>
      <c r="B568" s="3" t="s">
        <v>1763</v>
      </c>
      <c r="C568">
        <v>63</v>
      </c>
      <c r="D568" t="s">
        <v>27</v>
      </c>
      <c r="E568" t="s">
        <v>29</v>
      </c>
      <c r="F568" t="s">
        <v>29</v>
      </c>
      <c r="G568" t="s">
        <v>29</v>
      </c>
      <c r="H568">
        <v>7</v>
      </c>
      <c r="I568" t="s">
        <v>30</v>
      </c>
      <c r="J568" t="s">
        <v>1764</v>
      </c>
      <c r="K568" t="s">
        <v>1765</v>
      </c>
      <c r="M568" s="4" t="s">
        <v>94</v>
      </c>
      <c r="N568" t="s">
        <v>44</v>
      </c>
      <c r="P568" s="3" t="s">
        <v>36</v>
      </c>
      <c r="Q568" s="3" t="s">
        <v>84</v>
      </c>
      <c r="R568">
        <v>2</v>
      </c>
      <c r="S568" s="5">
        <v>45941</v>
      </c>
      <c r="T568" t="s">
        <v>38</v>
      </c>
      <c r="U568">
        <f t="shared" ca="1" si="48"/>
        <v>26</v>
      </c>
      <c r="V568" s="6">
        <f t="shared" ca="1" si="49"/>
        <v>46028</v>
      </c>
      <c r="W568" s="6">
        <f t="shared" ca="1" si="50"/>
        <v>46034</v>
      </c>
      <c r="X568" t="str">
        <f t="shared" ca="1" si="51"/>
        <v>Jan 6 to Jan 12</v>
      </c>
      <c r="Y568" t="str">
        <f t="shared" ca="1" si="52"/>
        <v>⚪ SCHEDULED</v>
      </c>
      <c r="Z568" t="str">
        <f t="shared" ca="1" si="53"/>
        <v>No action needed yet</v>
      </c>
    </row>
    <row r="569" spans="1:26">
      <c r="A569">
        <v>1024242081</v>
      </c>
      <c r="B569" s="3" t="s">
        <v>1766</v>
      </c>
      <c r="C569">
        <v>42</v>
      </c>
      <c r="D569" t="s">
        <v>27</v>
      </c>
      <c r="E569" t="s">
        <v>29</v>
      </c>
      <c r="F569" t="s">
        <v>28</v>
      </c>
      <c r="G569" t="s">
        <v>28</v>
      </c>
      <c r="H569">
        <v>3</v>
      </c>
      <c r="I569" t="s">
        <v>66</v>
      </c>
      <c r="J569" t="s">
        <v>1767</v>
      </c>
      <c r="K569" t="s">
        <v>1768</v>
      </c>
      <c r="M569" s="4" t="s">
        <v>94</v>
      </c>
      <c r="N569" t="s">
        <v>148</v>
      </c>
      <c r="P569" s="3" t="s">
        <v>36</v>
      </c>
      <c r="Q569" s="3" t="s">
        <v>45</v>
      </c>
      <c r="R569">
        <v>2</v>
      </c>
      <c r="S569" s="5">
        <v>45948</v>
      </c>
      <c r="T569" t="s">
        <v>38</v>
      </c>
      <c r="U569">
        <f t="shared" ca="1" si="48"/>
        <v>3</v>
      </c>
      <c r="V569" s="6">
        <f t="shared" ca="1" si="49"/>
        <v>46005</v>
      </c>
      <c r="W569" s="6">
        <f t="shared" ca="1" si="50"/>
        <v>46011</v>
      </c>
      <c r="X569" t="str">
        <f t="shared" ca="1" si="51"/>
        <v>Dec 14 to Dec 20</v>
      </c>
      <c r="Y569" t="str">
        <f t="shared" ca="1" si="52"/>
        <v>🟡 IMMINENT (within 3 days)</v>
      </c>
      <c r="Z569" t="str">
        <f t="shared" ca="1" si="53"/>
        <v>Prepare medications TODAY</v>
      </c>
    </row>
    <row r="570" spans="1:26">
      <c r="A570">
        <v>1024311589</v>
      </c>
      <c r="B570" s="3" t="s">
        <v>1769</v>
      </c>
      <c r="C570">
        <v>54</v>
      </c>
      <c r="D570" t="s">
        <v>27</v>
      </c>
      <c r="E570" t="s">
        <v>28</v>
      </c>
      <c r="F570" t="s">
        <v>29</v>
      </c>
      <c r="G570" t="s">
        <v>29</v>
      </c>
      <c r="H570">
        <v>4</v>
      </c>
      <c r="I570" t="s">
        <v>66</v>
      </c>
      <c r="J570" t="s">
        <v>1131</v>
      </c>
      <c r="K570" t="s">
        <v>1523</v>
      </c>
      <c r="L570" t="s">
        <v>33</v>
      </c>
      <c r="M570" s="4" t="s">
        <v>43</v>
      </c>
      <c r="N570" t="s">
        <v>35</v>
      </c>
      <c r="P570" s="3" t="s">
        <v>36</v>
      </c>
      <c r="Q570" s="3" t="s">
        <v>90</v>
      </c>
      <c r="R570">
        <v>2</v>
      </c>
      <c r="S570" s="5">
        <v>45854</v>
      </c>
      <c r="T570" t="s">
        <v>38</v>
      </c>
      <c r="U570">
        <f t="shared" ca="1" si="48"/>
        <v>29</v>
      </c>
      <c r="V570" s="6">
        <f t="shared" ca="1" si="49"/>
        <v>46031</v>
      </c>
      <c r="W570" s="6">
        <f t="shared" ca="1" si="50"/>
        <v>46037</v>
      </c>
      <c r="X570" t="str">
        <f t="shared" ca="1" si="51"/>
        <v>Jan 9 to Jan 15</v>
      </c>
      <c r="Y570" t="str">
        <f t="shared" ca="1" si="52"/>
        <v>⚪ SCHEDULED</v>
      </c>
      <c r="Z570" t="str">
        <f t="shared" ca="1" si="53"/>
        <v>No action needed yet</v>
      </c>
    </row>
    <row r="571" spans="1:26">
      <c r="A571">
        <v>1024424127</v>
      </c>
      <c r="B571" s="3" t="s">
        <v>1770</v>
      </c>
      <c r="C571">
        <v>70</v>
      </c>
      <c r="D571" t="s">
        <v>27</v>
      </c>
      <c r="E571" t="s">
        <v>29</v>
      </c>
      <c r="F571" t="s">
        <v>29</v>
      </c>
      <c r="G571" t="s">
        <v>29</v>
      </c>
      <c r="H571">
        <v>8</v>
      </c>
      <c r="I571" t="s">
        <v>30</v>
      </c>
      <c r="J571" t="s">
        <v>1771</v>
      </c>
      <c r="K571" t="s">
        <v>1772</v>
      </c>
      <c r="M571" s="4" t="s">
        <v>94</v>
      </c>
      <c r="N571" t="s">
        <v>44</v>
      </c>
      <c r="P571" s="3" t="s">
        <v>36</v>
      </c>
      <c r="Q571" s="3" t="s">
        <v>45</v>
      </c>
      <c r="R571">
        <v>1</v>
      </c>
      <c r="S571" s="5">
        <v>45952</v>
      </c>
      <c r="T571" t="s">
        <v>38</v>
      </c>
      <c r="U571">
        <f t="shared" ca="1" si="48"/>
        <v>7</v>
      </c>
      <c r="V571" s="6">
        <f t="shared" ca="1" si="49"/>
        <v>46009</v>
      </c>
      <c r="W571" s="6">
        <f t="shared" ca="1" si="50"/>
        <v>46015</v>
      </c>
      <c r="X571" t="str">
        <f t="shared" ca="1" si="51"/>
        <v>Dec 18 to Dec 24</v>
      </c>
      <c r="Y571" t="str">
        <f t="shared" ca="1" si="52"/>
        <v>🟢 THIS WEEK</v>
      </c>
      <c r="Z571" t="str">
        <f t="shared" ca="1" si="53"/>
        <v>Confirm appointment</v>
      </c>
    </row>
    <row r="572" spans="1:26">
      <c r="A572">
        <v>1024440883</v>
      </c>
      <c r="B572" s="3" t="s">
        <v>1773</v>
      </c>
      <c r="C572">
        <v>43</v>
      </c>
      <c r="D572" t="s">
        <v>27</v>
      </c>
      <c r="E572" t="s">
        <v>28</v>
      </c>
      <c r="F572" t="s">
        <v>29</v>
      </c>
      <c r="G572" t="s">
        <v>28</v>
      </c>
      <c r="H572">
        <v>3</v>
      </c>
      <c r="I572" t="s">
        <v>66</v>
      </c>
      <c r="J572" t="s">
        <v>173</v>
      </c>
      <c r="K572" t="s">
        <v>1774</v>
      </c>
      <c r="M572" s="4" t="s">
        <v>34</v>
      </c>
      <c r="N572" t="s">
        <v>64</v>
      </c>
      <c r="P572" s="3" t="s">
        <v>36</v>
      </c>
      <c r="Q572" s="3" t="s">
        <v>96</v>
      </c>
      <c r="R572">
        <v>1</v>
      </c>
      <c r="S572" s="5">
        <v>45729</v>
      </c>
      <c r="T572" t="s">
        <v>38</v>
      </c>
      <c r="U572">
        <f t="shared" ca="1" si="48"/>
        <v>24</v>
      </c>
      <c r="V572" s="6">
        <f t="shared" ca="1" si="49"/>
        <v>46026</v>
      </c>
      <c r="W572" s="6">
        <f t="shared" ca="1" si="50"/>
        <v>46032</v>
      </c>
      <c r="X572" t="str">
        <f t="shared" ca="1" si="51"/>
        <v>Jan 4 to Jan 10</v>
      </c>
      <c r="Y572" t="str">
        <f t="shared" ca="1" si="52"/>
        <v>⚪ SCHEDULED</v>
      </c>
      <c r="Z572" t="str">
        <f t="shared" ca="1" si="53"/>
        <v>No action needed yet</v>
      </c>
    </row>
    <row r="573" spans="1:26">
      <c r="A573">
        <v>1024489625</v>
      </c>
      <c r="B573" s="3" t="s">
        <v>1775</v>
      </c>
      <c r="C573">
        <v>41</v>
      </c>
      <c r="D573" t="s">
        <v>47</v>
      </c>
      <c r="E573" t="s">
        <v>29</v>
      </c>
      <c r="F573" t="s">
        <v>29</v>
      </c>
      <c r="G573" t="s">
        <v>29</v>
      </c>
      <c r="H573">
        <v>6</v>
      </c>
      <c r="I573" t="s">
        <v>30</v>
      </c>
      <c r="J573" t="s">
        <v>1776</v>
      </c>
      <c r="K573" t="s">
        <v>1777</v>
      </c>
      <c r="L573" t="s">
        <v>234</v>
      </c>
      <c r="M573" s="4" t="s">
        <v>43</v>
      </c>
      <c r="N573" t="s">
        <v>201</v>
      </c>
      <c r="P573" s="3" t="s">
        <v>36</v>
      </c>
      <c r="Q573" s="3" t="s">
        <v>1778</v>
      </c>
      <c r="R573">
        <v>2</v>
      </c>
      <c r="S573" s="5">
        <v>45864</v>
      </c>
      <c r="T573" t="s">
        <v>38</v>
      </c>
      <c r="U573">
        <f t="shared" ca="1" si="48"/>
        <v>9</v>
      </c>
      <c r="V573" s="6">
        <f t="shared" ca="1" si="49"/>
        <v>46011</v>
      </c>
      <c r="W573" s="6">
        <f t="shared" ca="1" si="50"/>
        <v>46017</v>
      </c>
      <c r="X573" t="str">
        <f t="shared" ca="1" si="51"/>
        <v>Dec 20 to Dec 26</v>
      </c>
      <c r="Y573" t="str">
        <f t="shared" ca="1" si="52"/>
        <v>🔵 NEXT 2 WEEKS</v>
      </c>
      <c r="Z573" t="str">
        <f t="shared" ca="1" si="53"/>
        <v>Send reminder SMS</v>
      </c>
    </row>
    <row r="574" spans="1:26">
      <c r="A574">
        <v>1024582692</v>
      </c>
      <c r="B574" s="3" t="s">
        <v>1779</v>
      </c>
      <c r="C574">
        <v>65</v>
      </c>
      <c r="D574" t="s">
        <v>27</v>
      </c>
      <c r="E574" t="s">
        <v>28</v>
      </c>
      <c r="F574" t="s">
        <v>29</v>
      </c>
      <c r="G574" t="s">
        <v>29</v>
      </c>
      <c r="H574">
        <v>5</v>
      </c>
      <c r="I574" t="s">
        <v>30</v>
      </c>
      <c r="J574" t="s">
        <v>1780</v>
      </c>
      <c r="K574" t="s">
        <v>1781</v>
      </c>
      <c r="M574" s="4" t="s">
        <v>34</v>
      </c>
      <c r="N574" t="s">
        <v>35</v>
      </c>
      <c r="P574" s="3" t="s">
        <v>36</v>
      </c>
      <c r="Q574" s="3" t="s">
        <v>77</v>
      </c>
      <c r="R574">
        <v>1</v>
      </c>
      <c r="S574" s="5">
        <v>45668</v>
      </c>
      <c r="T574" t="s">
        <v>38</v>
      </c>
      <c r="U574">
        <f t="shared" ca="1" si="48"/>
        <v>23</v>
      </c>
      <c r="V574" s="6">
        <f t="shared" ca="1" si="49"/>
        <v>46025</v>
      </c>
      <c r="W574" s="6">
        <f t="shared" ca="1" si="50"/>
        <v>46031</v>
      </c>
      <c r="X574" t="str">
        <f t="shared" ca="1" si="51"/>
        <v>Jan 3 to Jan 9</v>
      </c>
      <c r="Y574" t="str">
        <f t="shared" ca="1" si="52"/>
        <v>⚪ SCHEDULED</v>
      </c>
      <c r="Z574" t="str">
        <f t="shared" ca="1" si="53"/>
        <v>No action needed yet</v>
      </c>
    </row>
    <row r="575" spans="1:26">
      <c r="A575">
        <v>1024582700</v>
      </c>
      <c r="B575" s="3" t="s">
        <v>1782</v>
      </c>
      <c r="C575">
        <v>65</v>
      </c>
      <c r="D575" t="s">
        <v>27</v>
      </c>
      <c r="E575" t="s">
        <v>28</v>
      </c>
      <c r="F575" t="s">
        <v>28</v>
      </c>
      <c r="G575" t="s">
        <v>29</v>
      </c>
      <c r="H575">
        <v>5</v>
      </c>
      <c r="I575" t="s">
        <v>30</v>
      </c>
      <c r="J575" t="s">
        <v>1783</v>
      </c>
      <c r="K575" t="s">
        <v>1784</v>
      </c>
      <c r="M575" s="4" t="s">
        <v>43</v>
      </c>
      <c r="N575" t="s">
        <v>794</v>
      </c>
      <c r="P575" s="3" t="s">
        <v>36</v>
      </c>
      <c r="Q575" s="3" t="s">
        <v>84</v>
      </c>
      <c r="R575">
        <v>2</v>
      </c>
      <c r="S575" s="5">
        <v>45877</v>
      </c>
      <c r="T575" t="s">
        <v>38</v>
      </c>
      <c r="U575">
        <f t="shared" ca="1" si="48"/>
        <v>22</v>
      </c>
      <c r="V575" s="6">
        <f t="shared" ca="1" si="49"/>
        <v>46024</v>
      </c>
      <c r="W575" s="6">
        <f t="shared" ca="1" si="50"/>
        <v>46030</v>
      </c>
      <c r="X575" t="str">
        <f t="shared" ca="1" si="51"/>
        <v>Jan 2 to Jan 8</v>
      </c>
      <c r="Y575" t="str">
        <f t="shared" ca="1" si="52"/>
        <v>⚪ SCHEDULED</v>
      </c>
      <c r="Z575" t="str">
        <f t="shared" ca="1" si="53"/>
        <v>No action needed yet</v>
      </c>
    </row>
    <row r="576" spans="1:26">
      <c r="A576">
        <v>1024713842</v>
      </c>
      <c r="B576" s="3" t="s">
        <v>1785</v>
      </c>
      <c r="C576">
        <v>54</v>
      </c>
      <c r="D576" t="s">
        <v>47</v>
      </c>
      <c r="E576" t="s">
        <v>54</v>
      </c>
      <c r="F576" t="s">
        <v>54</v>
      </c>
      <c r="G576" t="s">
        <v>54</v>
      </c>
      <c r="H576">
        <v>2</v>
      </c>
      <c r="I576" t="s">
        <v>55</v>
      </c>
      <c r="J576" t="s">
        <v>173</v>
      </c>
      <c r="K576" t="s">
        <v>1786</v>
      </c>
      <c r="M576" s="4" t="s">
        <v>43</v>
      </c>
      <c r="N576" t="s">
        <v>59</v>
      </c>
      <c r="P576" s="3" t="s">
        <v>36</v>
      </c>
      <c r="Q576" t="s">
        <v>54</v>
      </c>
      <c r="R576">
        <v>1</v>
      </c>
      <c r="S576" s="5">
        <v>45957</v>
      </c>
      <c r="T576" t="s">
        <v>60</v>
      </c>
      <c r="U576">
        <f t="shared" ca="1" si="48"/>
        <v>12</v>
      </c>
      <c r="V576" s="6">
        <f t="shared" ca="1" si="49"/>
        <v>46014</v>
      </c>
      <c r="W576" s="6">
        <f t="shared" ca="1" si="50"/>
        <v>46020</v>
      </c>
      <c r="X576" t="str">
        <f t="shared" ca="1" si="51"/>
        <v>Dec 23 to Dec 29</v>
      </c>
      <c r="Y576" t="str">
        <f t="shared" ca="1" si="52"/>
        <v>🔵 NEXT 2 WEEKS</v>
      </c>
      <c r="Z576" t="str">
        <f t="shared" ca="1" si="53"/>
        <v>Send reminder SMS</v>
      </c>
    </row>
    <row r="577" spans="1:26">
      <c r="A577">
        <v>1024714212</v>
      </c>
      <c r="B577" s="3" t="s">
        <v>1787</v>
      </c>
      <c r="C577">
        <v>64</v>
      </c>
      <c r="D577" t="s">
        <v>47</v>
      </c>
      <c r="E577" t="s">
        <v>29</v>
      </c>
      <c r="F577" t="s">
        <v>29</v>
      </c>
      <c r="G577" t="s">
        <v>29</v>
      </c>
      <c r="H577">
        <v>7</v>
      </c>
      <c r="I577" t="s">
        <v>30</v>
      </c>
      <c r="J577" t="s">
        <v>1788</v>
      </c>
      <c r="K577" t="s">
        <v>1789</v>
      </c>
      <c r="L577" t="s">
        <v>234</v>
      </c>
      <c r="M577" s="4" t="s">
        <v>34</v>
      </c>
      <c r="N577" t="s">
        <v>201</v>
      </c>
      <c r="P577" s="3" t="s">
        <v>36</v>
      </c>
      <c r="Q577" s="3" t="s">
        <v>45</v>
      </c>
      <c r="R577">
        <v>1</v>
      </c>
      <c r="S577" s="5">
        <v>45769</v>
      </c>
      <c r="T577" t="s">
        <v>38</v>
      </c>
      <c r="U577">
        <f t="shared" ca="1" si="48"/>
        <v>4</v>
      </c>
      <c r="V577" s="6">
        <f t="shared" ca="1" si="49"/>
        <v>46006</v>
      </c>
      <c r="W577" s="6">
        <f t="shared" ca="1" si="50"/>
        <v>46012</v>
      </c>
      <c r="X577" t="str">
        <f t="shared" ca="1" si="51"/>
        <v>Dec 15 to Dec 21</v>
      </c>
      <c r="Y577" t="str">
        <f t="shared" ca="1" si="52"/>
        <v>🟢 THIS WEEK</v>
      </c>
      <c r="Z577" t="str">
        <f t="shared" ca="1" si="53"/>
        <v>Confirm appointment</v>
      </c>
    </row>
    <row r="578" spans="1:26">
      <c r="A578">
        <v>1024745273</v>
      </c>
      <c r="B578" s="3" t="s">
        <v>1790</v>
      </c>
      <c r="C578">
        <v>70</v>
      </c>
      <c r="D578" t="s">
        <v>47</v>
      </c>
      <c r="E578" t="s">
        <v>28</v>
      </c>
      <c r="F578" t="s">
        <v>29</v>
      </c>
      <c r="G578" t="s">
        <v>29</v>
      </c>
      <c r="H578">
        <v>6</v>
      </c>
      <c r="I578" t="s">
        <v>30</v>
      </c>
      <c r="J578" t="s">
        <v>40</v>
      </c>
      <c r="K578" t="s">
        <v>41</v>
      </c>
      <c r="L578" t="s">
        <v>42</v>
      </c>
      <c r="M578" s="4" t="s">
        <v>43</v>
      </c>
      <c r="N578" t="s">
        <v>35</v>
      </c>
      <c r="P578" s="3" t="s">
        <v>36</v>
      </c>
      <c r="Q578" s="3" t="s">
        <v>175</v>
      </c>
      <c r="R578">
        <v>1</v>
      </c>
      <c r="S578" s="5">
        <v>45888</v>
      </c>
      <c r="T578" t="s">
        <v>38</v>
      </c>
      <c r="U578">
        <f t="shared" ref="U578:U641" ca="1" si="54">IF(S578&gt;=TODAY(),S578,S578+CEILING((TODAY()-S578)/IF(T578="Monthly",30,IF(T578="Bi-Monthly",60,90)),1)*IF(T578="Monthly",30,IF(T578="Bi-Monthly",60,90)))-TODAY()</f>
        <v>3</v>
      </c>
      <c r="V578" s="6">
        <f t="shared" ref="V578:V641" ca="1" si="55">IF(S578&gt;=TODAY(),S578,S578+CEILING((TODAY()-S578)/IF(T578="Monthly",30,IF(T578="Bi-Monthly",60,90)),1)*IF(T578="Monthly",30,IF(T578="Bi-Monthly",60,90)))-3</f>
        <v>46005</v>
      </c>
      <c r="W578" s="6">
        <f t="shared" ref="W578:W641" ca="1" si="56">IF(S578&gt;=TODAY(),S578,S578+CEILING((TODAY()-S578)/IF(T578="Monthly",30,IF(T578="Bi-Monthly",60,90)),1)*IF(T578="Monthly",30,IF(T578="Bi-Monthly",60,90)))+3</f>
        <v>46011</v>
      </c>
      <c r="X578" t="str">
        <f t="shared" ref="X578:X641" ca="1" si="57">TEXT(V578,"MMM D")&amp;" to "&amp;TEXT(W578,"MMM D")</f>
        <v>Dec 14 to Dec 20</v>
      </c>
      <c r="Y578" t="str">
        <f t="shared" ref="Y578:Y641" ca="1" si="58">IF(U578&lt;=3,"🟡 IMMINENT (within 3 days)",IF(U578&lt;=7,"🟢 THIS WEEK",IF(U578&lt;=14,"🔵 NEXT 2 WEEKS","⚪ SCHEDULED")))</f>
        <v>🟡 IMMINENT (within 3 days)</v>
      </c>
      <c r="Z578" t="str">
        <f t="shared" ref="Z578:Z641" ca="1" si="59">IF(U578&lt;=3,"Prepare medications TODAY",IF(U578&lt;=7,"Confirm appointment",IF(U578&lt;=14,"Send reminder SMS","No action needed yet")))</f>
        <v>Prepare medications TODAY</v>
      </c>
    </row>
    <row r="579" spans="1:26">
      <c r="A579">
        <v>1024807073</v>
      </c>
      <c r="B579" s="3" t="s">
        <v>1791</v>
      </c>
      <c r="C579">
        <v>67</v>
      </c>
      <c r="D579" t="s">
        <v>47</v>
      </c>
      <c r="E579" t="s">
        <v>28</v>
      </c>
      <c r="F579" t="s">
        <v>29</v>
      </c>
      <c r="G579" t="s">
        <v>28</v>
      </c>
      <c r="H579">
        <v>5</v>
      </c>
      <c r="I579" t="s">
        <v>30</v>
      </c>
      <c r="J579" t="s">
        <v>1792</v>
      </c>
      <c r="K579" t="s">
        <v>1793</v>
      </c>
      <c r="L579" t="s">
        <v>69</v>
      </c>
      <c r="M579" s="4" t="s">
        <v>34</v>
      </c>
      <c r="N579" t="s">
        <v>70</v>
      </c>
      <c r="P579" s="3" t="s">
        <v>36</v>
      </c>
      <c r="Q579" s="3" t="s">
        <v>107</v>
      </c>
      <c r="R579">
        <v>2</v>
      </c>
      <c r="S579" s="5">
        <v>45721</v>
      </c>
      <c r="T579" t="s">
        <v>38</v>
      </c>
      <c r="U579">
        <f t="shared" ca="1" si="54"/>
        <v>16</v>
      </c>
      <c r="V579" s="6">
        <f t="shared" ca="1" si="55"/>
        <v>46018</v>
      </c>
      <c r="W579" s="6">
        <f t="shared" ca="1" si="56"/>
        <v>46024</v>
      </c>
      <c r="X579" t="str">
        <f t="shared" ca="1" si="57"/>
        <v>Dec 27 to Jan 2</v>
      </c>
      <c r="Y579" t="str">
        <f t="shared" ca="1" si="58"/>
        <v>⚪ SCHEDULED</v>
      </c>
      <c r="Z579" t="str">
        <f t="shared" ca="1" si="59"/>
        <v>No action needed yet</v>
      </c>
    </row>
    <row r="580" spans="1:26">
      <c r="A580">
        <v>1024808824</v>
      </c>
      <c r="B580" s="3" t="s">
        <v>1794</v>
      </c>
      <c r="C580">
        <v>58</v>
      </c>
      <c r="D580" t="s">
        <v>27</v>
      </c>
      <c r="E580" t="s">
        <v>29</v>
      </c>
      <c r="F580" t="s">
        <v>29</v>
      </c>
      <c r="G580" t="s">
        <v>28</v>
      </c>
      <c r="H580">
        <v>5</v>
      </c>
      <c r="I580" t="s">
        <v>30</v>
      </c>
      <c r="J580" t="s">
        <v>1795</v>
      </c>
      <c r="K580" t="s">
        <v>1796</v>
      </c>
      <c r="L580" t="s">
        <v>1797</v>
      </c>
      <c r="M580" s="4" t="s">
        <v>34</v>
      </c>
      <c r="N580" t="s">
        <v>131</v>
      </c>
      <c r="P580" s="3" t="s">
        <v>36</v>
      </c>
      <c r="Q580" s="3" t="s">
        <v>90</v>
      </c>
      <c r="R580">
        <v>1</v>
      </c>
      <c r="S580" s="5">
        <v>45702</v>
      </c>
      <c r="T580" t="s">
        <v>38</v>
      </c>
      <c r="U580">
        <f t="shared" ca="1" si="54"/>
        <v>27</v>
      </c>
      <c r="V580" s="6">
        <f t="shared" ca="1" si="55"/>
        <v>46029</v>
      </c>
      <c r="W580" s="6">
        <f t="shared" ca="1" si="56"/>
        <v>46035</v>
      </c>
      <c r="X580" t="str">
        <f t="shared" ca="1" si="57"/>
        <v>Jan 7 to Jan 13</v>
      </c>
      <c r="Y580" t="str">
        <f t="shared" ca="1" si="58"/>
        <v>⚪ SCHEDULED</v>
      </c>
      <c r="Z580" t="str">
        <f t="shared" ca="1" si="59"/>
        <v>No action needed yet</v>
      </c>
    </row>
    <row r="581" spans="1:26">
      <c r="A581">
        <v>1024810499</v>
      </c>
      <c r="B581" s="3" t="s">
        <v>1798</v>
      </c>
      <c r="C581">
        <v>40</v>
      </c>
      <c r="D581" t="s">
        <v>47</v>
      </c>
      <c r="E581" t="s">
        <v>28</v>
      </c>
      <c r="F581" t="s">
        <v>29</v>
      </c>
      <c r="G581" t="s">
        <v>28</v>
      </c>
      <c r="H581">
        <v>2</v>
      </c>
      <c r="I581" t="s">
        <v>55</v>
      </c>
      <c r="J581" t="s">
        <v>1799</v>
      </c>
      <c r="K581" t="s">
        <v>1800</v>
      </c>
      <c r="M581" s="4" t="s">
        <v>43</v>
      </c>
      <c r="N581" t="s">
        <v>64</v>
      </c>
      <c r="P581" s="3" t="s">
        <v>36</v>
      </c>
      <c r="Q581" s="3" t="s">
        <v>96</v>
      </c>
      <c r="R581">
        <v>2</v>
      </c>
      <c r="S581" s="5">
        <v>45940</v>
      </c>
      <c r="T581" t="s">
        <v>60</v>
      </c>
      <c r="U581">
        <f t="shared" ca="1" si="54"/>
        <v>55</v>
      </c>
      <c r="V581" s="6">
        <f t="shared" ca="1" si="55"/>
        <v>46057</v>
      </c>
      <c r="W581" s="6">
        <f t="shared" ca="1" si="56"/>
        <v>46063</v>
      </c>
      <c r="X581" t="str">
        <f t="shared" ca="1" si="57"/>
        <v>Feb 4 to Feb 10</v>
      </c>
      <c r="Y581" t="str">
        <f t="shared" ca="1" si="58"/>
        <v>⚪ SCHEDULED</v>
      </c>
      <c r="Z581" t="str">
        <f t="shared" ca="1" si="59"/>
        <v>No action needed yet</v>
      </c>
    </row>
    <row r="582" spans="1:26">
      <c r="A582">
        <v>1024838300</v>
      </c>
      <c r="B582" s="3" t="s">
        <v>1801</v>
      </c>
      <c r="C582">
        <v>53</v>
      </c>
      <c r="D582" t="s">
        <v>27</v>
      </c>
      <c r="E582" t="s">
        <v>28</v>
      </c>
      <c r="F582" t="s">
        <v>29</v>
      </c>
      <c r="G582" t="s">
        <v>29</v>
      </c>
      <c r="H582">
        <v>5</v>
      </c>
      <c r="I582" t="s">
        <v>30</v>
      </c>
      <c r="J582" t="s">
        <v>184</v>
      </c>
      <c r="K582" t="s">
        <v>1802</v>
      </c>
      <c r="L582" t="s">
        <v>186</v>
      </c>
      <c r="M582" s="4" t="s">
        <v>94</v>
      </c>
      <c r="N582" t="s">
        <v>35</v>
      </c>
      <c r="P582" s="3" t="s">
        <v>36</v>
      </c>
      <c r="Q582" s="3" t="s">
        <v>1803</v>
      </c>
      <c r="R582">
        <v>1</v>
      </c>
      <c r="S582" s="5">
        <v>45959</v>
      </c>
      <c r="T582" t="s">
        <v>38</v>
      </c>
      <c r="U582">
        <f t="shared" ca="1" si="54"/>
        <v>14</v>
      </c>
      <c r="V582" s="6">
        <f t="shared" ca="1" si="55"/>
        <v>46016</v>
      </c>
      <c r="W582" s="6">
        <f t="shared" ca="1" si="56"/>
        <v>46022</v>
      </c>
      <c r="X582" t="str">
        <f t="shared" ca="1" si="57"/>
        <v>Dec 25 to Dec 31</v>
      </c>
      <c r="Y582" t="str">
        <f t="shared" ca="1" si="58"/>
        <v>🔵 NEXT 2 WEEKS</v>
      </c>
      <c r="Z582" t="str">
        <f t="shared" ca="1" si="59"/>
        <v>Send reminder SMS</v>
      </c>
    </row>
    <row r="583" spans="1:26">
      <c r="A583">
        <v>1024845370</v>
      </c>
      <c r="B583" s="3" t="s">
        <v>1804</v>
      </c>
      <c r="C583">
        <v>53</v>
      </c>
      <c r="D583" t="s">
        <v>27</v>
      </c>
      <c r="E583" t="s">
        <v>29</v>
      </c>
      <c r="F583" t="s">
        <v>29</v>
      </c>
      <c r="G583" t="s">
        <v>28</v>
      </c>
      <c r="H583">
        <v>5</v>
      </c>
      <c r="I583" t="s">
        <v>30</v>
      </c>
      <c r="J583" t="s">
        <v>1805</v>
      </c>
      <c r="K583" t="s">
        <v>1806</v>
      </c>
      <c r="L583" t="s">
        <v>549</v>
      </c>
      <c r="M583" s="4" t="s">
        <v>34</v>
      </c>
      <c r="N583" t="s">
        <v>119</v>
      </c>
      <c r="P583" s="3" t="s">
        <v>36</v>
      </c>
      <c r="Q583" s="3" t="s">
        <v>77</v>
      </c>
      <c r="R583">
        <v>1</v>
      </c>
      <c r="S583" s="5">
        <v>45745</v>
      </c>
      <c r="T583" t="s">
        <v>38</v>
      </c>
      <c r="U583">
        <f t="shared" ca="1" si="54"/>
        <v>10</v>
      </c>
      <c r="V583" s="6">
        <f t="shared" ca="1" si="55"/>
        <v>46012</v>
      </c>
      <c r="W583" s="6">
        <f t="shared" ca="1" si="56"/>
        <v>46018</v>
      </c>
      <c r="X583" t="str">
        <f t="shared" ca="1" si="57"/>
        <v>Dec 21 to Dec 27</v>
      </c>
      <c r="Y583" t="str">
        <f t="shared" ca="1" si="58"/>
        <v>🔵 NEXT 2 WEEKS</v>
      </c>
      <c r="Z583" t="str">
        <f t="shared" ca="1" si="59"/>
        <v>Send reminder SMS</v>
      </c>
    </row>
    <row r="584" spans="1:26">
      <c r="A584">
        <v>1025103803</v>
      </c>
      <c r="B584" s="3" t="s">
        <v>1807</v>
      </c>
      <c r="C584">
        <v>49</v>
      </c>
      <c r="D584" t="s">
        <v>47</v>
      </c>
      <c r="E584" t="s">
        <v>28</v>
      </c>
      <c r="F584" t="s">
        <v>29</v>
      </c>
      <c r="G584" t="s">
        <v>29</v>
      </c>
      <c r="H584">
        <v>3</v>
      </c>
      <c r="I584" t="s">
        <v>66</v>
      </c>
      <c r="J584" t="s">
        <v>1808</v>
      </c>
      <c r="K584" t="s">
        <v>1809</v>
      </c>
      <c r="L584" t="s">
        <v>166</v>
      </c>
      <c r="M584" s="4" t="s">
        <v>34</v>
      </c>
      <c r="N584" t="s">
        <v>333</v>
      </c>
      <c r="P584" s="3" t="s">
        <v>36</v>
      </c>
      <c r="Q584" s="3" t="s">
        <v>45</v>
      </c>
      <c r="R584">
        <v>2</v>
      </c>
      <c r="S584" s="5">
        <v>45737</v>
      </c>
      <c r="T584" t="s">
        <v>38</v>
      </c>
      <c r="U584">
        <f t="shared" ca="1" si="54"/>
        <v>2</v>
      </c>
      <c r="V584" s="6">
        <f t="shared" ca="1" si="55"/>
        <v>46004</v>
      </c>
      <c r="W584" s="6">
        <f t="shared" ca="1" si="56"/>
        <v>46010</v>
      </c>
      <c r="X584" t="str">
        <f t="shared" ca="1" si="57"/>
        <v>Dec 13 to Dec 19</v>
      </c>
      <c r="Y584" t="str">
        <f t="shared" ca="1" si="58"/>
        <v>🟡 IMMINENT (within 3 days)</v>
      </c>
      <c r="Z584" t="str">
        <f t="shared" ca="1" si="59"/>
        <v>Prepare medications TODAY</v>
      </c>
    </row>
    <row r="585" spans="1:26">
      <c r="A585">
        <v>1025142579</v>
      </c>
      <c r="B585" s="3" t="s">
        <v>1810</v>
      </c>
      <c r="C585">
        <v>69</v>
      </c>
      <c r="D585" t="s">
        <v>47</v>
      </c>
      <c r="E585" t="s">
        <v>29</v>
      </c>
      <c r="F585" t="s">
        <v>28</v>
      </c>
      <c r="G585" t="s">
        <v>28</v>
      </c>
      <c r="H585">
        <v>4</v>
      </c>
      <c r="I585" t="s">
        <v>66</v>
      </c>
      <c r="J585" t="s">
        <v>1811</v>
      </c>
      <c r="K585" t="s">
        <v>1812</v>
      </c>
      <c r="L585" t="s">
        <v>58</v>
      </c>
      <c r="M585" s="4" t="s">
        <v>43</v>
      </c>
      <c r="N585" t="s">
        <v>162</v>
      </c>
      <c r="P585" s="3" t="s">
        <v>36</v>
      </c>
      <c r="Q585" s="3" t="s">
        <v>313</v>
      </c>
      <c r="R585">
        <v>1</v>
      </c>
      <c r="S585" s="5">
        <v>45853</v>
      </c>
      <c r="T585" t="s">
        <v>38</v>
      </c>
      <c r="U585">
        <f t="shared" ca="1" si="54"/>
        <v>28</v>
      </c>
      <c r="V585" s="6">
        <f t="shared" ca="1" si="55"/>
        <v>46030</v>
      </c>
      <c r="W585" s="6">
        <f t="shared" ca="1" si="56"/>
        <v>46036</v>
      </c>
      <c r="X585" t="str">
        <f t="shared" ca="1" si="57"/>
        <v>Jan 8 to Jan 14</v>
      </c>
      <c r="Y585" t="str">
        <f t="shared" ca="1" si="58"/>
        <v>⚪ SCHEDULED</v>
      </c>
      <c r="Z585" t="str">
        <f t="shared" ca="1" si="59"/>
        <v>No action needed yet</v>
      </c>
    </row>
    <row r="586" spans="1:26">
      <c r="A586">
        <v>1025142587</v>
      </c>
      <c r="B586" s="3" t="s">
        <v>1813</v>
      </c>
      <c r="C586">
        <v>68</v>
      </c>
      <c r="D586" t="s">
        <v>27</v>
      </c>
      <c r="E586" t="s">
        <v>29</v>
      </c>
      <c r="F586" t="s">
        <v>29</v>
      </c>
      <c r="G586" t="s">
        <v>29</v>
      </c>
      <c r="H586">
        <v>7</v>
      </c>
      <c r="I586" t="s">
        <v>30</v>
      </c>
      <c r="J586" t="s">
        <v>1814</v>
      </c>
      <c r="K586" t="s">
        <v>1815</v>
      </c>
      <c r="L586" t="s">
        <v>50</v>
      </c>
      <c r="M586" s="4" t="s">
        <v>43</v>
      </c>
      <c r="N586" t="s">
        <v>76</v>
      </c>
      <c r="P586" s="3" t="s">
        <v>36</v>
      </c>
      <c r="Q586" s="3" t="s">
        <v>84</v>
      </c>
      <c r="R586">
        <v>1</v>
      </c>
      <c r="S586" s="5">
        <v>45906</v>
      </c>
      <c r="T586" t="s">
        <v>38</v>
      </c>
      <c r="U586">
        <f t="shared" ca="1" si="54"/>
        <v>21</v>
      </c>
      <c r="V586" s="6">
        <f t="shared" ca="1" si="55"/>
        <v>46023</v>
      </c>
      <c r="W586" s="6">
        <f t="shared" ca="1" si="56"/>
        <v>46029</v>
      </c>
      <c r="X586" t="str">
        <f t="shared" ca="1" si="57"/>
        <v>Jan 1 to Jan 7</v>
      </c>
      <c r="Y586" t="str">
        <f t="shared" ca="1" si="58"/>
        <v>⚪ SCHEDULED</v>
      </c>
      <c r="Z586" t="str">
        <f t="shared" ca="1" si="59"/>
        <v>No action needed yet</v>
      </c>
    </row>
    <row r="587" spans="1:26">
      <c r="A587">
        <v>1025142603</v>
      </c>
      <c r="B587" s="3" t="s">
        <v>1816</v>
      </c>
      <c r="C587">
        <v>47</v>
      </c>
      <c r="D587" t="s">
        <v>47</v>
      </c>
      <c r="E587" t="s">
        <v>29</v>
      </c>
      <c r="F587" t="s">
        <v>28</v>
      </c>
      <c r="G587" t="s">
        <v>28</v>
      </c>
      <c r="H587">
        <v>2</v>
      </c>
      <c r="I587" t="s">
        <v>55</v>
      </c>
      <c r="J587" t="s">
        <v>445</v>
      </c>
      <c r="K587" t="s">
        <v>1817</v>
      </c>
      <c r="L587" t="s">
        <v>170</v>
      </c>
      <c r="M587" s="4" t="s">
        <v>43</v>
      </c>
      <c r="N587" t="s">
        <v>162</v>
      </c>
      <c r="P587" s="3" t="s">
        <v>36</v>
      </c>
      <c r="Q587" s="3" t="s">
        <v>45</v>
      </c>
      <c r="R587">
        <v>1</v>
      </c>
      <c r="S587" s="5">
        <v>45885</v>
      </c>
      <c r="T587" t="s">
        <v>60</v>
      </c>
      <c r="U587">
        <f t="shared" ca="1" si="54"/>
        <v>0</v>
      </c>
      <c r="V587" s="6">
        <f t="shared" ca="1" si="55"/>
        <v>46002</v>
      </c>
      <c r="W587" s="6">
        <f t="shared" ca="1" si="56"/>
        <v>46008</v>
      </c>
      <c r="X587" t="str">
        <f t="shared" ca="1" si="57"/>
        <v>Dec 11 to Dec 17</v>
      </c>
      <c r="Y587" t="str">
        <f t="shared" ca="1" si="58"/>
        <v>🟡 IMMINENT (within 3 days)</v>
      </c>
      <c r="Z587" t="str">
        <f t="shared" ca="1" si="59"/>
        <v>Prepare medications TODAY</v>
      </c>
    </row>
    <row r="588" spans="1:26">
      <c r="A588">
        <v>1025146901</v>
      </c>
      <c r="B588" s="3" t="s">
        <v>1818</v>
      </c>
      <c r="C588">
        <v>54</v>
      </c>
      <c r="D588" t="s">
        <v>47</v>
      </c>
      <c r="E588" t="s">
        <v>29</v>
      </c>
      <c r="F588" t="s">
        <v>28</v>
      </c>
      <c r="G588" t="s">
        <v>28</v>
      </c>
      <c r="H588">
        <v>5</v>
      </c>
      <c r="I588" t="s">
        <v>30</v>
      </c>
      <c r="J588" t="s">
        <v>1819</v>
      </c>
      <c r="K588" t="s">
        <v>1820</v>
      </c>
      <c r="M588" s="4" t="s">
        <v>34</v>
      </c>
      <c r="N588" t="s">
        <v>148</v>
      </c>
      <c r="P588" s="3" t="s">
        <v>36</v>
      </c>
      <c r="Q588" s="3" t="s">
        <v>858</v>
      </c>
      <c r="R588">
        <v>2</v>
      </c>
      <c r="S588" s="5">
        <v>45721</v>
      </c>
      <c r="T588" t="s">
        <v>38</v>
      </c>
      <c r="U588">
        <f t="shared" ca="1" si="54"/>
        <v>16</v>
      </c>
      <c r="V588" s="6">
        <f t="shared" ca="1" si="55"/>
        <v>46018</v>
      </c>
      <c r="W588" s="6">
        <f t="shared" ca="1" si="56"/>
        <v>46024</v>
      </c>
      <c r="X588" t="str">
        <f t="shared" ca="1" si="57"/>
        <v>Dec 27 to Jan 2</v>
      </c>
      <c r="Y588" t="str">
        <f t="shared" ca="1" si="58"/>
        <v>⚪ SCHEDULED</v>
      </c>
      <c r="Z588" t="str">
        <f t="shared" ca="1" si="59"/>
        <v>No action needed yet</v>
      </c>
    </row>
    <row r="589" spans="1:26">
      <c r="A589">
        <v>1025149061</v>
      </c>
      <c r="B589" s="3" t="s">
        <v>1821</v>
      </c>
      <c r="C589">
        <v>73</v>
      </c>
      <c r="D589" t="s">
        <v>27</v>
      </c>
      <c r="E589" t="s">
        <v>28</v>
      </c>
      <c r="F589" t="s">
        <v>29</v>
      </c>
      <c r="G589" t="s">
        <v>28</v>
      </c>
      <c r="H589">
        <v>5</v>
      </c>
      <c r="I589" t="s">
        <v>30</v>
      </c>
      <c r="J589" t="s">
        <v>1822</v>
      </c>
      <c r="K589" t="s">
        <v>1823</v>
      </c>
      <c r="L589" t="s">
        <v>166</v>
      </c>
      <c r="M589" s="4" t="s">
        <v>34</v>
      </c>
      <c r="N589" t="s">
        <v>70</v>
      </c>
      <c r="P589" s="3" t="s">
        <v>36</v>
      </c>
      <c r="Q589" s="3" t="s">
        <v>90</v>
      </c>
      <c r="R589">
        <v>2</v>
      </c>
      <c r="S589" s="5">
        <v>45559</v>
      </c>
      <c r="T589" t="s">
        <v>38</v>
      </c>
      <c r="U589">
        <f t="shared" ca="1" si="54"/>
        <v>4</v>
      </c>
      <c r="V589" s="6">
        <f t="shared" ca="1" si="55"/>
        <v>46006</v>
      </c>
      <c r="W589" s="6">
        <f t="shared" ca="1" si="56"/>
        <v>46012</v>
      </c>
      <c r="X589" t="str">
        <f t="shared" ca="1" si="57"/>
        <v>Dec 15 to Dec 21</v>
      </c>
      <c r="Y589" t="str">
        <f t="shared" ca="1" si="58"/>
        <v>🟢 THIS WEEK</v>
      </c>
      <c r="Z589" t="str">
        <f t="shared" ca="1" si="59"/>
        <v>Confirm appointment</v>
      </c>
    </row>
    <row r="590" spans="1:26">
      <c r="A590">
        <v>1025179415</v>
      </c>
      <c r="B590" s="3" t="s">
        <v>1824</v>
      </c>
      <c r="C590">
        <v>65</v>
      </c>
      <c r="D590" t="s">
        <v>47</v>
      </c>
      <c r="E590" t="s">
        <v>29</v>
      </c>
      <c r="F590" t="s">
        <v>28</v>
      </c>
      <c r="G590" t="s">
        <v>28</v>
      </c>
      <c r="H590">
        <v>4</v>
      </c>
      <c r="I590" t="s">
        <v>66</v>
      </c>
      <c r="J590" t="s">
        <v>253</v>
      </c>
      <c r="K590" t="s">
        <v>1312</v>
      </c>
      <c r="L590" t="s">
        <v>33</v>
      </c>
      <c r="M590" s="4" t="s">
        <v>43</v>
      </c>
      <c r="N590" t="s">
        <v>148</v>
      </c>
      <c r="P590" s="3" t="s">
        <v>36</v>
      </c>
      <c r="Q590" s="3" t="s">
        <v>77</v>
      </c>
      <c r="R590">
        <v>1</v>
      </c>
      <c r="S590" s="5">
        <v>45892</v>
      </c>
      <c r="T590" t="s">
        <v>38</v>
      </c>
      <c r="U590">
        <f t="shared" ca="1" si="54"/>
        <v>7</v>
      </c>
      <c r="V590" s="6">
        <f t="shared" ca="1" si="55"/>
        <v>46009</v>
      </c>
      <c r="W590" s="6">
        <f t="shared" ca="1" si="56"/>
        <v>46015</v>
      </c>
      <c r="X590" t="str">
        <f t="shared" ca="1" si="57"/>
        <v>Dec 18 to Dec 24</v>
      </c>
      <c r="Y590" t="str">
        <f t="shared" ca="1" si="58"/>
        <v>🟢 THIS WEEK</v>
      </c>
      <c r="Z590" t="str">
        <f t="shared" ca="1" si="59"/>
        <v>Confirm appointment</v>
      </c>
    </row>
    <row r="591" spans="1:26">
      <c r="A591">
        <v>1025267418</v>
      </c>
      <c r="B591" s="3" t="s">
        <v>1825</v>
      </c>
      <c r="C591">
        <v>57</v>
      </c>
      <c r="D591" t="s">
        <v>47</v>
      </c>
      <c r="E591" t="s">
        <v>28</v>
      </c>
      <c r="F591" t="s">
        <v>29</v>
      </c>
      <c r="G591" t="s">
        <v>28</v>
      </c>
      <c r="H591">
        <v>3</v>
      </c>
      <c r="I591" t="s">
        <v>66</v>
      </c>
      <c r="J591" t="s">
        <v>1826</v>
      </c>
      <c r="K591" t="s">
        <v>1827</v>
      </c>
      <c r="L591" t="s">
        <v>166</v>
      </c>
      <c r="M591" s="4" t="s">
        <v>43</v>
      </c>
      <c r="N591" t="s">
        <v>70</v>
      </c>
      <c r="P591" s="3" t="s">
        <v>36</v>
      </c>
      <c r="Q591" s="3" t="s">
        <v>90</v>
      </c>
      <c r="R591">
        <v>1</v>
      </c>
      <c r="S591" s="5">
        <v>45874</v>
      </c>
      <c r="T591" t="s">
        <v>38</v>
      </c>
      <c r="U591">
        <f t="shared" ca="1" si="54"/>
        <v>19</v>
      </c>
      <c r="V591" s="6">
        <f t="shared" ca="1" si="55"/>
        <v>46021</v>
      </c>
      <c r="W591" s="6">
        <f t="shared" ca="1" si="56"/>
        <v>46027</v>
      </c>
      <c r="X591" t="str">
        <f t="shared" ca="1" si="57"/>
        <v>Dec 30 to Jan 5</v>
      </c>
      <c r="Y591" t="str">
        <f t="shared" ca="1" si="58"/>
        <v>⚪ SCHEDULED</v>
      </c>
      <c r="Z591" t="str">
        <f t="shared" ca="1" si="59"/>
        <v>No action needed yet</v>
      </c>
    </row>
    <row r="592" spans="1:26">
      <c r="A592">
        <v>1025419688</v>
      </c>
      <c r="B592" s="3" t="s">
        <v>1828</v>
      </c>
      <c r="C592">
        <v>58</v>
      </c>
      <c r="D592" t="s">
        <v>47</v>
      </c>
      <c r="E592" t="s">
        <v>29</v>
      </c>
      <c r="F592" t="s">
        <v>28</v>
      </c>
      <c r="G592" t="s">
        <v>29</v>
      </c>
      <c r="H592">
        <v>5</v>
      </c>
      <c r="I592" t="s">
        <v>30</v>
      </c>
      <c r="J592" t="s">
        <v>1829</v>
      </c>
      <c r="K592" t="s">
        <v>1830</v>
      </c>
      <c r="M592" s="4" t="s">
        <v>34</v>
      </c>
      <c r="N592" t="s">
        <v>95</v>
      </c>
      <c r="P592" s="3" t="s">
        <v>36</v>
      </c>
      <c r="Q592" s="3" t="s">
        <v>84</v>
      </c>
      <c r="R592">
        <v>1</v>
      </c>
      <c r="S592" s="5">
        <v>45680</v>
      </c>
      <c r="T592" t="s">
        <v>38</v>
      </c>
      <c r="U592">
        <f t="shared" ca="1" si="54"/>
        <v>5</v>
      </c>
      <c r="V592" s="6">
        <f t="shared" ca="1" si="55"/>
        <v>46007</v>
      </c>
      <c r="W592" s="6">
        <f t="shared" ca="1" si="56"/>
        <v>46013</v>
      </c>
      <c r="X592" t="str">
        <f t="shared" ca="1" si="57"/>
        <v>Dec 16 to Dec 22</v>
      </c>
      <c r="Y592" t="str">
        <f t="shared" ca="1" si="58"/>
        <v>🟢 THIS WEEK</v>
      </c>
      <c r="Z592" t="str">
        <f t="shared" ca="1" si="59"/>
        <v>Confirm appointment</v>
      </c>
    </row>
    <row r="593" spans="1:26">
      <c r="A593">
        <v>1025482736</v>
      </c>
      <c r="B593" s="3" t="s">
        <v>1831</v>
      </c>
      <c r="C593">
        <v>76</v>
      </c>
      <c r="D593" t="s">
        <v>47</v>
      </c>
      <c r="E593" t="s">
        <v>29</v>
      </c>
      <c r="F593" t="s">
        <v>29</v>
      </c>
      <c r="G593" t="s">
        <v>28</v>
      </c>
      <c r="H593">
        <v>6</v>
      </c>
      <c r="I593" t="s">
        <v>30</v>
      </c>
      <c r="J593" t="s">
        <v>1832</v>
      </c>
      <c r="K593" t="s">
        <v>1833</v>
      </c>
      <c r="L593" t="s">
        <v>170</v>
      </c>
      <c r="M593" s="4" t="s">
        <v>34</v>
      </c>
      <c r="N593" t="s">
        <v>106</v>
      </c>
      <c r="P593" s="3" t="s">
        <v>36</v>
      </c>
      <c r="Q593" s="3" t="s">
        <v>123</v>
      </c>
      <c r="R593">
        <v>1</v>
      </c>
      <c r="S593" s="5">
        <v>45707</v>
      </c>
      <c r="T593" t="s">
        <v>38</v>
      </c>
      <c r="U593">
        <f t="shared" ca="1" si="54"/>
        <v>2</v>
      </c>
      <c r="V593" s="6">
        <f t="shared" ca="1" si="55"/>
        <v>46004</v>
      </c>
      <c r="W593" s="6">
        <f t="shared" ca="1" si="56"/>
        <v>46010</v>
      </c>
      <c r="X593" t="str">
        <f t="shared" ca="1" si="57"/>
        <v>Dec 13 to Dec 19</v>
      </c>
      <c r="Y593" t="str">
        <f t="shared" ca="1" si="58"/>
        <v>🟡 IMMINENT (within 3 days)</v>
      </c>
      <c r="Z593" t="str">
        <f t="shared" ca="1" si="59"/>
        <v>Prepare medications TODAY</v>
      </c>
    </row>
    <row r="594" spans="1:26">
      <c r="A594">
        <v>1025482751</v>
      </c>
      <c r="B594" s="3" t="s">
        <v>1834</v>
      </c>
      <c r="C594">
        <v>58</v>
      </c>
      <c r="D594" t="s">
        <v>27</v>
      </c>
      <c r="E594" t="s">
        <v>29</v>
      </c>
      <c r="F594" t="s">
        <v>29</v>
      </c>
      <c r="G594" t="s">
        <v>28</v>
      </c>
      <c r="H594">
        <v>5</v>
      </c>
      <c r="I594" t="s">
        <v>30</v>
      </c>
      <c r="J594" t="s">
        <v>1014</v>
      </c>
      <c r="K594" t="s">
        <v>1835</v>
      </c>
      <c r="M594" s="4" t="s">
        <v>43</v>
      </c>
      <c r="N594" t="s">
        <v>144</v>
      </c>
      <c r="P594" s="3" t="s">
        <v>36</v>
      </c>
      <c r="Q594" s="3" t="s">
        <v>45</v>
      </c>
      <c r="R594">
        <v>1</v>
      </c>
      <c r="S594" s="5">
        <v>45889</v>
      </c>
      <c r="T594" t="s">
        <v>38</v>
      </c>
      <c r="U594">
        <f t="shared" ca="1" si="54"/>
        <v>4</v>
      </c>
      <c r="V594" s="6">
        <f t="shared" ca="1" si="55"/>
        <v>46006</v>
      </c>
      <c r="W594" s="6">
        <f t="shared" ca="1" si="56"/>
        <v>46012</v>
      </c>
      <c r="X594" t="str">
        <f t="shared" ca="1" si="57"/>
        <v>Dec 15 to Dec 21</v>
      </c>
      <c r="Y594" t="str">
        <f t="shared" ca="1" si="58"/>
        <v>🟢 THIS WEEK</v>
      </c>
      <c r="Z594" t="str">
        <f t="shared" ca="1" si="59"/>
        <v>Confirm appointment</v>
      </c>
    </row>
    <row r="595" spans="1:26">
      <c r="A595">
        <v>1025598051</v>
      </c>
      <c r="B595" s="3" t="s">
        <v>1836</v>
      </c>
      <c r="C595">
        <v>57</v>
      </c>
      <c r="D595" t="s">
        <v>27</v>
      </c>
      <c r="E595" t="s">
        <v>29</v>
      </c>
      <c r="F595" t="s">
        <v>28</v>
      </c>
      <c r="G595" t="s">
        <v>29</v>
      </c>
      <c r="H595">
        <v>5</v>
      </c>
      <c r="I595" t="s">
        <v>30</v>
      </c>
      <c r="J595" t="s">
        <v>1837</v>
      </c>
      <c r="K595" t="s">
        <v>1838</v>
      </c>
      <c r="M595" s="4" t="s">
        <v>43</v>
      </c>
      <c r="N595" t="s">
        <v>95</v>
      </c>
      <c r="P595" s="3" t="s">
        <v>36</v>
      </c>
      <c r="Q595" s="3" t="s">
        <v>90</v>
      </c>
      <c r="R595">
        <v>1</v>
      </c>
      <c r="S595" s="5">
        <v>45904</v>
      </c>
      <c r="T595" t="s">
        <v>38</v>
      </c>
      <c r="U595">
        <f t="shared" ca="1" si="54"/>
        <v>19</v>
      </c>
      <c r="V595" s="6">
        <f t="shared" ca="1" si="55"/>
        <v>46021</v>
      </c>
      <c r="W595" s="6">
        <f t="shared" ca="1" si="56"/>
        <v>46027</v>
      </c>
      <c r="X595" t="str">
        <f t="shared" ca="1" si="57"/>
        <v>Dec 30 to Jan 5</v>
      </c>
      <c r="Y595" t="str">
        <f t="shared" ca="1" si="58"/>
        <v>⚪ SCHEDULED</v>
      </c>
      <c r="Z595" t="str">
        <f t="shared" ca="1" si="59"/>
        <v>No action needed yet</v>
      </c>
    </row>
    <row r="596" spans="1:26">
      <c r="A596">
        <v>1025624386</v>
      </c>
      <c r="B596" s="3" t="s">
        <v>1839</v>
      </c>
      <c r="C596">
        <v>66</v>
      </c>
      <c r="D596" t="s">
        <v>27</v>
      </c>
      <c r="E596" t="s">
        <v>29</v>
      </c>
      <c r="F596" t="s">
        <v>29</v>
      </c>
      <c r="G596" t="s">
        <v>29</v>
      </c>
      <c r="H596">
        <v>7</v>
      </c>
      <c r="I596" t="s">
        <v>30</v>
      </c>
      <c r="J596" t="s">
        <v>1840</v>
      </c>
      <c r="K596" t="s">
        <v>1841</v>
      </c>
      <c r="L596" t="s">
        <v>968</v>
      </c>
      <c r="M596" s="4" t="s">
        <v>34</v>
      </c>
      <c r="N596" t="s">
        <v>201</v>
      </c>
      <c r="P596" s="3" t="s">
        <v>36</v>
      </c>
      <c r="Q596" s="3" t="s">
        <v>45</v>
      </c>
      <c r="R596">
        <v>2</v>
      </c>
      <c r="S596" s="5">
        <v>45798</v>
      </c>
      <c r="T596" t="s">
        <v>38</v>
      </c>
      <c r="U596">
        <f t="shared" ca="1" si="54"/>
        <v>3</v>
      </c>
      <c r="V596" s="6">
        <f t="shared" ca="1" si="55"/>
        <v>46005</v>
      </c>
      <c r="W596" s="6">
        <f t="shared" ca="1" si="56"/>
        <v>46011</v>
      </c>
      <c r="X596" t="str">
        <f t="shared" ca="1" si="57"/>
        <v>Dec 14 to Dec 20</v>
      </c>
      <c r="Y596" t="str">
        <f t="shared" ca="1" si="58"/>
        <v>🟡 IMMINENT (within 3 days)</v>
      </c>
      <c r="Z596" t="str">
        <f t="shared" ca="1" si="59"/>
        <v>Prepare medications TODAY</v>
      </c>
    </row>
    <row r="597" spans="1:26">
      <c r="A597">
        <v>1025763291</v>
      </c>
      <c r="B597" s="3" t="s">
        <v>1842</v>
      </c>
      <c r="C597">
        <v>66</v>
      </c>
      <c r="D597" t="s">
        <v>27</v>
      </c>
      <c r="E597" t="s">
        <v>29</v>
      </c>
      <c r="F597" t="s">
        <v>28</v>
      </c>
      <c r="G597" t="s">
        <v>28</v>
      </c>
      <c r="H597">
        <v>5</v>
      </c>
      <c r="I597" t="s">
        <v>30</v>
      </c>
      <c r="J597" t="s">
        <v>1843</v>
      </c>
      <c r="K597" t="s">
        <v>1844</v>
      </c>
      <c r="L597" t="s">
        <v>170</v>
      </c>
      <c r="M597" s="4" t="s">
        <v>34</v>
      </c>
      <c r="N597" t="s">
        <v>162</v>
      </c>
      <c r="P597" s="3" t="s">
        <v>36</v>
      </c>
      <c r="Q597" s="3" t="s">
        <v>1266</v>
      </c>
      <c r="R597">
        <v>1</v>
      </c>
      <c r="S597" s="5">
        <v>45433</v>
      </c>
      <c r="T597" t="s">
        <v>38</v>
      </c>
      <c r="U597">
        <f t="shared" ca="1" si="54"/>
        <v>28</v>
      </c>
      <c r="V597" s="6">
        <f t="shared" ca="1" si="55"/>
        <v>46030</v>
      </c>
      <c r="W597" s="6">
        <f t="shared" ca="1" si="56"/>
        <v>46036</v>
      </c>
      <c r="X597" t="str">
        <f t="shared" ca="1" si="57"/>
        <v>Jan 8 to Jan 14</v>
      </c>
      <c r="Y597" t="str">
        <f t="shared" ca="1" si="58"/>
        <v>⚪ SCHEDULED</v>
      </c>
      <c r="Z597" t="str">
        <f t="shared" ca="1" si="59"/>
        <v>No action needed yet</v>
      </c>
    </row>
    <row r="598" spans="1:26">
      <c r="A598">
        <v>1025930411</v>
      </c>
      <c r="B598" s="3" t="s">
        <v>1845</v>
      </c>
      <c r="C598">
        <v>61</v>
      </c>
      <c r="D598" t="s">
        <v>47</v>
      </c>
      <c r="E598" t="s">
        <v>29</v>
      </c>
      <c r="F598" t="s">
        <v>29</v>
      </c>
      <c r="G598" t="s">
        <v>28</v>
      </c>
      <c r="H598">
        <v>5</v>
      </c>
      <c r="I598" t="s">
        <v>30</v>
      </c>
      <c r="J598" t="s">
        <v>1846</v>
      </c>
      <c r="K598" t="s">
        <v>1847</v>
      </c>
      <c r="L598" t="s">
        <v>941</v>
      </c>
      <c r="M598" s="4" t="s">
        <v>34</v>
      </c>
      <c r="N598" t="s">
        <v>106</v>
      </c>
      <c r="P598" s="3" t="s">
        <v>36</v>
      </c>
      <c r="Q598" s="3" t="s">
        <v>1848</v>
      </c>
      <c r="R598">
        <v>2</v>
      </c>
      <c r="S598" s="5">
        <v>45682</v>
      </c>
      <c r="T598" t="s">
        <v>38</v>
      </c>
      <c r="U598">
        <f t="shared" ca="1" si="54"/>
        <v>7</v>
      </c>
      <c r="V598" s="6">
        <f t="shared" ca="1" si="55"/>
        <v>46009</v>
      </c>
      <c r="W598" s="6">
        <f t="shared" ca="1" si="56"/>
        <v>46015</v>
      </c>
      <c r="X598" t="str">
        <f t="shared" ca="1" si="57"/>
        <v>Dec 18 to Dec 24</v>
      </c>
      <c r="Y598" t="str">
        <f t="shared" ca="1" si="58"/>
        <v>🟢 THIS WEEK</v>
      </c>
      <c r="Z598" t="str">
        <f t="shared" ca="1" si="59"/>
        <v>Confirm appointment</v>
      </c>
    </row>
    <row r="599" spans="1:26">
      <c r="A599">
        <v>1025978816</v>
      </c>
      <c r="B599" s="3" t="s">
        <v>1849</v>
      </c>
      <c r="C599">
        <v>77</v>
      </c>
      <c r="D599" t="s">
        <v>47</v>
      </c>
      <c r="E599" t="s">
        <v>54</v>
      </c>
      <c r="F599" t="s">
        <v>54</v>
      </c>
      <c r="G599" t="s">
        <v>54</v>
      </c>
      <c r="H599">
        <v>4</v>
      </c>
      <c r="I599" t="s">
        <v>66</v>
      </c>
      <c r="J599" t="s">
        <v>1850</v>
      </c>
      <c r="K599" t="s">
        <v>1851</v>
      </c>
      <c r="L599" t="s">
        <v>33</v>
      </c>
      <c r="M599" s="4" t="s">
        <v>94</v>
      </c>
      <c r="N599" t="s">
        <v>59</v>
      </c>
      <c r="P599" s="3" t="s">
        <v>36</v>
      </c>
      <c r="Q599" s="3" t="s">
        <v>84</v>
      </c>
      <c r="R599">
        <v>1</v>
      </c>
      <c r="S599" s="5">
        <v>45958</v>
      </c>
      <c r="T599" t="s">
        <v>38</v>
      </c>
      <c r="U599">
        <f t="shared" ca="1" si="54"/>
        <v>13</v>
      </c>
      <c r="V599" s="6">
        <f t="shared" ca="1" si="55"/>
        <v>46015</v>
      </c>
      <c r="W599" s="6">
        <f t="shared" ca="1" si="56"/>
        <v>46021</v>
      </c>
      <c r="X599" t="str">
        <f t="shared" ca="1" si="57"/>
        <v>Dec 24 to Dec 30</v>
      </c>
      <c r="Y599" t="str">
        <f t="shared" ca="1" si="58"/>
        <v>🔵 NEXT 2 WEEKS</v>
      </c>
      <c r="Z599" t="str">
        <f t="shared" ca="1" si="59"/>
        <v>Send reminder SMS</v>
      </c>
    </row>
    <row r="600" spans="1:26">
      <c r="A600">
        <v>1025991777</v>
      </c>
      <c r="B600" s="3" t="s">
        <v>1852</v>
      </c>
      <c r="C600">
        <v>50</v>
      </c>
      <c r="D600" t="s">
        <v>47</v>
      </c>
      <c r="E600" t="s">
        <v>29</v>
      </c>
      <c r="F600" t="s">
        <v>28</v>
      </c>
      <c r="G600" t="s">
        <v>29</v>
      </c>
      <c r="H600">
        <v>4</v>
      </c>
      <c r="I600" t="s">
        <v>66</v>
      </c>
      <c r="J600" t="s">
        <v>1853</v>
      </c>
      <c r="K600" t="s">
        <v>1854</v>
      </c>
      <c r="L600" t="s">
        <v>208</v>
      </c>
      <c r="M600" s="4" t="s">
        <v>34</v>
      </c>
      <c r="N600" t="s">
        <v>51</v>
      </c>
      <c r="P600" s="3" t="s">
        <v>36</v>
      </c>
      <c r="Q600" s="3" t="s">
        <v>230</v>
      </c>
      <c r="R600">
        <v>1</v>
      </c>
      <c r="S600" s="5">
        <v>45807</v>
      </c>
      <c r="T600" t="s">
        <v>38</v>
      </c>
      <c r="U600">
        <f t="shared" ca="1" si="54"/>
        <v>12</v>
      </c>
      <c r="V600" s="6">
        <f t="shared" ca="1" si="55"/>
        <v>46014</v>
      </c>
      <c r="W600" s="6">
        <f t="shared" ca="1" si="56"/>
        <v>46020</v>
      </c>
      <c r="X600" t="str">
        <f t="shared" ca="1" si="57"/>
        <v>Dec 23 to Dec 29</v>
      </c>
      <c r="Y600" t="str">
        <f t="shared" ca="1" si="58"/>
        <v>🔵 NEXT 2 WEEKS</v>
      </c>
      <c r="Z600" t="str">
        <f t="shared" ca="1" si="59"/>
        <v>Send reminder SMS</v>
      </c>
    </row>
    <row r="601" spans="1:26">
      <c r="A601">
        <v>1026069433</v>
      </c>
      <c r="B601" s="3" t="s">
        <v>1855</v>
      </c>
      <c r="C601">
        <v>62</v>
      </c>
      <c r="D601" t="s">
        <v>27</v>
      </c>
      <c r="E601" t="s">
        <v>29</v>
      </c>
      <c r="F601" t="s">
        <v>29</v>
      </c>
      <c r="G601" t="s">
        <v>29</v>
      </c>
      <c r="H601">
        <v>7</v>
      </c>
      <c r="I601" t="s">
        <v>30</v>
      </c>
      <c r="J601" t="s">
        <v>1856</v>
      </c>
      <c r="K601" t="s">
        <v>1857</v>
      </c>
      <c r="L601" t="s">
        <v>33</v>
      </c>
      <c r="M601" s="4" t="s">
        <v>94</v>
      </c>
      <c r="N601" t="s">
        <v>44</v>
      </c>
      <c r="P601" s="3" t="s">
        <v>36</v>
      </c>
      <c r="Q601" s="3" t="s">
        <v>45</v>
      </c>
      <c r="R601">
        <v>2</v>
      </c>
      <c r="S601" s="5">
        <v>45954</v>
      </c>
      <c r="T601" t="s">
        <v>38</v>
      </c>
      <c r="U601">
        <f t="shared" ca="1" si="54"/>
        <v>9</v>
      </c>
      <c r="V601" s="6">
        <f t="shared" ca="1" si="55"/>
        <v>46011</v>
      </c>
      <c r="W601" s="6">
        <f t="shared" ca="1" si="56"/>
        <v>46017</v>
      </c>
      <c r="X601" t="str">
        <f t="shared" ca="1" si="57"/>
        <v>Dec 20 to Dec 26</v>
      </c>
      <c r="Y601" t="str">
        <f t="shared" ca="1" si="58"/>
        <v>🔵 NEXT 2 WEEKS</v>
      </c>
      <c r="Z601" t="str">
        <f t="shared" ca="1" si="59"/>
        <v>Send reminder SMS</v>
      </c>
    </row>
    <row r="602" spans="1:26">
      <c r="A602">
        <v>1026138501</v>
      </c>
      <c r="B602" s="3" t="s">
        <v>1858</v>
      </c>
      <c r="C602">
        <v>70</v>
      </c>
      <c r="D602" t="s">
        <v>27</v>
      </c>
      <c r="E602" t="s">
        <v>29</v>
      </c>
      <c r="F602" t="s">
        <v>29</v>
      </c>
      <c r="G602" t="s">
        <v>29</v>
      </c>
      <c r="H602">
        <v>8</v>
      </c>
      <c r="I602" t="s">
        <v>30</v>
      </c>
      <c r="J602" t="s">
        <v>1859</v>
      </c>
      <c r="K602" t="s">
        <v>1860</v>
      </c>
      <c r="L602" t="s">
        <v>50</v>
      </c>
      <c r="M602" s="4" t="s">
        <v>43</v>
      </c>
      <c r="N602" t="s">
        <v>76</v>
      </c>
      <c r="P602" s="3" t="s">
        <v>36</v>
      </c>
      <c r="Q602" s="3" t="s">
        <v>1636</v>
      </c>
      <c r="R602">
        <v>1</v>
      </c>
      <c r="S602" s="5">
        <v>45896</v>
      </c>
      <c r="T602" t="s">
        <v>38</v>
      </c>
      <c r="U602">
        <f t="shared" ca="1" si="54"/>
        <v>11</v>
      </c>
      <c r="V602" s="6">
        <f t="shared" ca="1" si="55"/>
        <v>46013</v>
      </c>
      <c r="W602" s="6">
        <f t="shared" ca="1" si="56"/>
        <v>46019</v>
      </c>
      <c r="X602" t="str">
        <f t="shared" ca="1" si="57"/>
        <v>Dec 22 to Dec 28</v>
      </c>
      <c r="Y602" t="str">
        <f t="shared" ca="1" si="58"/>
        <v>🔵 NEXT 2 WEEKS</v>
      </c>
      <c r="Z602" t="str">
        <f t="shared" ca="1" si="59"/>
        <v>Send reminder SMS</v>
      </c>
    </row>
    <row r="603" spans="1:26">
      <c r="A603">
        <v>1026272896</v>
      </c>
      <c r="B603" s="3" t="s">
        <v>1861</v>
      </c>
      <c r="C603">
        <v>45</v>
      </c>
      <c r="D603" t="s">
        <v>47</v>
      </c>
      <c r="E603" t="s">
        <v>29</v>
      </c>
      <c r="F603" t="s">
        <v>28</v>
      </c>
      <c r="G603" t="s">
        <v>28</v>
      </c>
      <c r="H603">
        <v>2</v>
      </c>
      <c r="I603" t="s">
        <v>55</v>
      </c>
      <c r="J603" t="s">
        <v>1862</v>
      </c>
      <c r="K603" t="s">
        <v>1863</v>
      </c>
      <c r="L603" t="s">
        <v>1864</v>
      </c>
      <c r="M603" s="4" t="s">
        <v>34</v>
      </c>
      <c r="N603" t="s">
        <v>148</v>
      </c>
      <c r="P603" s="3" t="s">
        <v>36</v>
      </c>
      <c r="Q603" s="3" t="s">
        <v>84</v>
      </c>
      <c r="R603">
        <v>2</v>
      </c>
      <c r="S603" s="5">
        <v>45836</v>
      </c>
      <c r="T603" t="s">
        <v>60</v>
      </c>
      <c r="U603">
        <f t="shared" ca="1" si="54"/>
        <v>11</v>
      </c>
      <c r="V603" s="6">
        <f t="shared" ca="1" si="55"/>
        <v>46013</v>
      </c>
      <c r="W603" s="6">
        <f t="shared" ca="1" si="56"/>
        <v>46019</v>
      </c>
      <c r="X603" t="str">
        <f t="shared" ca="1" si="57"/>
        <v>Dec 22 to Dec 28</v>
      </c>
      <c r="Y603" t="str">
        <f t="shared" ca="1" si="58"/>
        <v>🔵 NEXT 2 WEEKS</v>
      </c>
      <c r="Z603" t="str">
        <f t="shared" ca="1" si="59"/>
        <v>Send reminder SMS</v>
      </c>
    </row>
    <row r="604" spans="1:26">
      <c r="A604">
        <v>1026401727</v>
      </c>
      <c r="B604" s="3" t="s">
        <v>1865</v>
      </c>
      <c r="C604">
        <v>58</v>
      </c>
      <c r="D604" t="s">
        <v>27</v>
      </c>
      <c r="E604" t="s">
        <v>29</v>
      </c>
      <c r="F604" t="s">
        <v>29</v>
      </c>
      <c r="G604" t="s">
        <v>29</v>
      </c>
      <c r="H604">
        <v>6</v>
      </c>
      <c r="I604" t="s">
        <v>30</v>
      </c>
      <c r="J604" t="s">
        <v>1866</v>
      </c>
      <c r="K604" t="s">
        <v>1867</v>
      </c>
      <c r="L604" t="s">
        <v>1105</v>
      </c>
      <c r="M604" s="4" t="s">
        <v>94</v>
      </c>
      <c r="N604" t="s">
        <v>201</v>
      </c>
      <c r="P604" s="3" t="s">
        <v>36</v>
      </c>
      <c r="Q604" s="3" t="s">
        <v>77</v>
      </c>
      <c r="R604">
        <v>1</v>
      </c>
      <c r="S604" s="5">
        <v>45959</v>
      </c>
      <c r="T604" t="s">
        <v>38</v>
      </c>
      <c r="U604">
        <f t="shared" ca="1" si="54"/>
        <v>14</v>
      </c>
      <c r="V604" s="6">
        <f t="shared" ca="1" si="55"/>
        <v>46016</v>
      </c>
      <c r="W604" s="6">
        <f t="shared" ca="1" si="56"/>
        <v>46022</v>
      </c>
      <c r="X604" t="str">
        <f t="shared" ca="1" si="57"/>
        <v>Dec 25 to Dec 31</v>
      </c>
      <c r="Y604" t="str">
        <f t="shared" ca="1" si="58"/>
        <v>🔵 NEXT 2 WEEKS</v>
      </c>
      <c r="Z604" t="str">
        <f t="shared" ca="1" si="59"/>
        <v>Send reminder SMS</v>
      </c>
    </row>
    <row r="605" spans="1:26">
      <c r="A605">
        <v>1026583623</v>
      </c>
      <c r="B605" s="3" t="s">
        <v>1868</v>
      </c>
      <c r="C605">
        <v>81</v>
      </c>
      <c r="D605" t="s">
        <v>47</v>
      </c>
      <c r="E605" t="s">
        <v>29</v>
      </c>
      <c r="F605" t="s">
        <v>28</v>
      </c>
      <c r="G605" t="s">
        <v>28</v>
      </c>
      <c r="H605">
        <v>5</v>
      </c>
      <c r="I605" t="s">
        <v>30</v>
      </c>
      <c r="J605" t="s">
        <v>1869</v>
      </c>
      <c r="K605" t="s">
        <v>1870</v>
      </c>
      <c r="L605" t="s">
        <v>105</v>
      </c>
      <c r="M605" s="4" t="s">
        <v>34</v>
      </c>
      <c r="N605" t="s">
        <v>162</v>
      </c>
      <c r="P605" s="3" t="s">
        <v>36</v>
      </c>
      <c r="Q605" s="3" t="s">
        <v>107</v>
      </c>
      <c r="R605">
        <v>1</v>
      </c>
      <c r="S605" s="5">
        <v>45449</v>
      </c>
      <c r="T605" t="s">
        <v>38</v>
      </c>
      <c r="U605">
        <f t="shared" ca="1" si="54"/>
        <v>14</v>
      </c>
      <c r="V605" s="6">
        <f t="shared" ca="1" si="55"/>
        <v>46016</v>
      </c>
      <c r="W605" s="6">
        <f t="shared" ca="1" si="56"/>
        <v>46022</v>
      </c>
      <c r="X605" t="str">
        <f t="shared" ca="1" si="57"/>
        <v>Dec 25 to Dec 31</v>
      </c>
      <c r="Y605" t="str">
        <f t="shared" ca="1" si="58"/>
        <v>🔵 NEXT 2 WEEKS</v>
      </c>
      <c r="Z605" t="str">
        <f t="shared" ca="1" si="59"/>
        <v>Send reminder SMS</v>
      </c>
    </row>
    <row r="606" spans="1:26">
      <c r="A606">
        <v>1026628584</v>
      </c>
      <c r="B606" s="3" t="s">
        <v>1871</v>
      </c>
      <c r="C606">
        <v>55</v>
      </c>
      <c r="D606" t="s">
        <v>47</v>
      </c>
      <c r="E606" t="s">
        <v>28</v>
      </c>
      <c r="F606" t="s">
        <v>29</v>
      </c>
      <c r="G606" t="s">
        <v>29</v>
      </c>
      <c r="H606">
        <v>5</v>
      </c>
      <c r="I606" t="s">
        <v>30</v>
      </c>
      <c r="J606" t="s">
        <v>1872</v>
      </c>
      <c r="K606" t="s">
        <v>1873</v>
      </c>
      <c r="L606" t="s">
        <v>808</v>
      </c>
      <c r="M606" s="4" t="s">
        <v>34</v>
      </c>
      <c r="N606" t="s">
        <v>333</v>
      </c>
      <c r="P606" s="3" t="s">
        <v>36</v>
      </c>
      <c r="Q606" s="3" t="s">
        <v>45</v>
      </c>
      <c r="R606">
        <v>2</v>
      </c>
      <c r="S606" s="5">
        <v>45826</v>
      </c>
      <c r="T606" t="s">
        <v>38</v>
      </c>
      <c r="U606">
        <f t="shared" ca="1" si="54"/>
        <v>1</v>
      </c>
      <c r="V606" s="6">
        <f t="shared" ca="1" si="55"/>
        <v>46003</v>
      </c>
      <c r="W606" s="6">
        <f t="shared" ca="1" si="56"/>
        <v>46009</v>
      </c>
      <c r="X606" t="str">
        <f t="shared" ca="1" si="57"/>
        <v>Dec 12 to Dec 18</v>
      </c>
      <c r="Y606" t="str">
        <f t="shared" ca="1" si="58"/>
        <v>🟡 IMMINENT (within 3 days)</v>
      </c>
      <c r="Z606" t="str">
        <f t="shared" ca="1" si="59"/>
        <v>Prepare medications TODAY</v>
      </c>
    </row>
    <row r="607" spans="1:26">
      <c r="A607">
        <v>1026865814</v>
      </c>
      <c r="B607" s="3" t="s">
        <v>1874</v>
      </c>
      <c r="C607">
        <v>47</v>
      </c>
      <c r="D607" t="s">
        <v>27</v>
      </c>
      <c r="E607" t="s">
        <v>29</v>
      </c>
      <c r="F607" t="s">
        <v>28</v>
      </c>
      <c r="G607" t="s">
        <v>29</v>
      </c>
      <c r="H607">
        <v>4</v>
      </c>
      <c r="I607" t="s">
        <v>66</v>
      </c>
      <c r="J607" t="s">
        <v>544</v>
      </c>
      <c r="K607" t="s">
        <v>1875</v>
      </c>
      <c r="M607" s="4" t="s">
        <v>43</v>
      </c>
      <c r="N607" t="s">
        <v>95</v>
      </c>
      <c r="P607" s="3" t="s">
        <v>36</v>
      </c>
      <c r="Q607" s="3" t="s">
        <v>45</v>
      </c>
      <c r="R607">
        <v>2</v>
      </c>
      <c r="S607" s="5">
        <v>45883</v>
      </c>
      <c r="T607" t="s">
        <v>38</v>
      </c>
      <c r="U607">
        <f t="shared" ca="1" si="54"/>
        <v>28</v>
      </c>
      <c r="V607" s="6">
        <f t="shared" ca="1" si="55"/>
        <v>46030</v>
      </c>
      <c r="W607" s="6">
        <f t="shared" ca="1" si="56"/>
        <v>46036</v>
      </c>
      <c r="X607" t="str">
        <f t="shared" ca="1" si="57"/>
        <v>Jan 8 to Jan 14</v>
      </c>
      <c r="Y607" t="str">
        <f t="shared" ca="1" si="58"/>
        <v>⚪ SCHEDULED</v>
      </c>
      <c r="Z607" t="str">
        <f t="shared" ca="1" si="59"/>
        <v>No action needed yet</v>
      </c>
    </row>
    <row r="608" spans="1:26">
      <c r="A608">
        <v>1027102100</v>
      </c>
      <c r="B608" s="3" t="s">
        <v>1876</v>
      </c>
      <c r="C608">
        <v>59</v>
      </c>
      <c r="D608" t="s">
        <v>47</v>
      </c>
      <c r="E608" t="s">
        <v>29</v>
      </c>
      <c r="F608" t="s">
        <v>29</v>
      </c>
      <c r="G608" t="s">
        <v>28</v>
      </c>
      <c r="H608">
        <v>4</v>
      </c>
      <c r="I608" t="s">
        <v>66</v>
      </c>
      <c r="J608" t="s">
        <v>1877</v>
      </c>
      <c r="K608" t="s">
        <v>1878</v>
      </c>
      <c r="M608" s="4" t="s">
        <v>34</v>
      </c>
      <c r="N608" t="s">
        <v>144</v>
      </c>
      <c r="P608" s="3" t="s">
        <v>36</v>
      </c>
      <c r="Q608" s="3" t="s">
        <v>84</v>
      </c>
      <c r="R608">
        <v>1</v>
      </c>
      <c r="S608" s="5">
        <v>45756</v>
      </c>
      <c r="T608" t="s">
        <v>38</v>
      </c>
      <c r="U608">
        <f t="shared" ca="1" si="54"/>
        <v>21</v>
      </c>
      <c r="V608" s="6">
        <f t="shared" ca="1" si="55"/>
        <v>46023</v>
      </c>
      <c r="W608" s="6">
        <f t="shared" ca="1" si="56"/>
        <v>46029</v>
      </c>
      <c r="X608" t="str">
        <f t="shared" ca="1" si="57"/>
        <v>Jan 1 to Jan 7</v>
      </c>
      <c r="Y608" t="str">
        <f t="shared" ca="1" si="58"/>
        <v>⚪ SCHEDULED</v>
      </c>
      <c r="Z608" t="str">
        <f t="shared" ca="1" si="59"/>
        <v>No action needed yet</v>
      </c>
    </row>
    <row r="609" spans="1:26">
      <c r="A609">
        <v>1027196615</v>
      </c>
      <c r="B609" s="3" t="s">
        <v>1879</v>
      </c>
      <c r="C609">
        <v>60</v>
      </c>
      <c r="D609" t="s">
        <v>27</v>
      </c>
      <c r="E609" t="s">
        <v>29</v>
      </c>
      <c r="F609" t="s">
        <v>29</v>
      </c>
      <c r="G609" t="s">
        <v>29</v>
      </c>
      <c r="H609">
        <v>7</v>
      </c>
      <c r="I609" t="s">
        <v>30</v>
      </c>
      <c r="J609" t="s">
        <v>1880</v>
      </c>
      <c r="K609" t="s">
        <v>1881</v>
      </c>
      <c r="M609" s="4" t="s">
        <v>43</v>
      </c>
      <c r="N609" t="s">
        <v>44</v>
      </c>
      <c r="P609" s="3" t="s">
        <v>36</v>
      </c>
      <c r="Q609" s="3" t="s">
        <v>175</v>
      </c>
      <c r="R609">
        <v>2</v>
      </c>
      <c r="S609" s="5">
        <v>45897</v>
      </c>
      <c r="T609" t="s">
        <v>38</v>
      </c>
      <c r="U609">
        <f t="shared" ca="1" si="54"/>
        <v>12</v>
      </c>
      <c r="V609" s="6">
        <f t="shared" ca="1" si="55"/>
        <v>46014</v>
      </c>
      <c r="W609" s="6">
        <f t="shared" ca="1" si="56"/>
        <v>46020</v>
      </c>
      <c r="X609" t="str">
        <f t="shared" ca="1" si="57"/>
        <v>Dec 23 to Dec 29</v>
      </c>
      <c r="Y609" t="str">
        <f t="shared" ca="1" si="58"/>
        <v>🔵 NEXT 2 WEEKS</v>
      </c>
      <c r="Z609" t="str">
        <f t="shared" ca="1" si="59"/>
        <v>Send reminder SMS</v>
      </c>
    </row>
    <row r="610" spans="1:26">
      <c r="A610">
        <v>1027305547</v>
      </c>
      <c r="B610" s="3" t="s">
        <v>1882</v>
      </c>
      <c r="C610">
        <v>60</v>
      </c>
      <c r="D610" t="s">
        <v>27</v>
      </c>
      <c r="E610" t="s">
        <v>29</v>
      </c>
      <c r="F610" t="s">
        <v>29</v>
      </c>
      <c r="G610" t="s">
        <v>29</v>
      </c>
      <c r="H610">
        <v>7</v>
      </c>
      <c r="I610" t="s">
        <v>30</v>
      </c>
      <c r="J610" t="s">
        <v>1883</v>
      </c>
      <c r="K610" t="s">
        <v>1884</v>
      </c>
      <c r="L610" t="s">
        <v>33</v>
      </c>
      <c r="M610" s="4" t="s">
        <v>43</v>
      </c>
      <c r="N610" t="s">
        <v>44</v>
      </c>
      <c r="P610" s="3" t="s">
        <v>36</v>
      </c>
      <c r="Q610" s="3" t="s">
        <v>90</v>
      </c>
      <c r="R610">
        <v>2</v>
      </c>
      <c r="S610" s="5">
        <v>45877</v>
      </c>
      <c r="T610" t="s">
        <v>38</v>
      </c>
      <c r="U610">
        <f t="shared" ca="1" si="54"/>
        <v>22</v>
      </c>
      <c r="V610" s="6">
        <f t="shared" ca="1" si="55"/>
        <v>46024</v>
      </c>
      <c r="W610" s="6">
        <f t="shared" ca="1" si="56"/>
        <v>46030</v>
      </c>
      <c r="X610" t="str">
        <f t="shared" ca="1" si="57"/>
        <v>Jan 2 to Jan 8</v>
      </c>
      <c r="Y610" t="str">
        <f t="shared" ca="1" si="58"/>
        <v>⚪ SCHEDULED</v>
      </c>
      <c r="Z610" t="str">
        <f t="shared" ca="1" si="59"/>
        <v>No action needed yet</v>
      </c>
    </row>
    <row r="611" spans="1:26">
      <c r="A611">
        <v>1027305943</v>
      </c>
      <c r="B611" s="3" t="s">
        <v>1885</v>
      </c>
      <c r="C611">
        <v>61</v>
      </c>
      <c r="D611" t="s">
        <v>27</v>
      </c>
      <c r="E611" t="s">
        <v>29</v>
      </c>
      <c r="F611" t="s">
        <v>28</v>
      </c>
      <c r="G611" t="s">
        <v>29</v>
      </c>
      <c r="H611">
        <v>7</v>
      </c>
      <c r="I611" t="s">
        <v>30</v>
      </c>
      <c r="J611" t="s">
        <v>1771</v>
      </c>
      <c r="K611" t="s">
        <v>1886</v>
      </c>
      <c r="M611" s="4" t="s">
        <v>34</v>
      </c>
      <c r="N611" t="s">
        <v>95</v>
      </c>
      <c r="P611" s="3" t="s">
        <v>36</v>
      </c>
      <c r="Q611" s="3" t="s">
        <v>90</v>
      </c>
      <c r="R611">
        <v>1</v>
      </c>
      <c r="S611" s="5">
        <v>45808</v>
      </c>
      <c r="T611" t="s">
        <v>38</v>
      </c>
      <c r="U611">
        <f t="shared" ca="1" si="54"/>
        <v>13</v>
      </c>
      <c r="V611" s="6">
        <f t="shared" ca="1" si="55"/>
        <v>46015</v>
      </c>
      <c r="W611" s="6">
        <f t="shared" ca="1" si="56"/>
        <v>46021</v>
      </c>
      <c r="X611" t="str">
        <f t="shared" ca="1" si="57"/>
        <v>Dec 24 to Dec 30</v>
      </c>
      <c r="Y611" t="str">
        <f t="shared" ca="1" si="58"/>
        <v>🔵 NEXT 2 WEEKS</v>
      </c>
      <c r="Z611" t="str">
        <f t="shared" ca="1" si="59"/>
        <v>Send reminder SMS</v>
      </c>
    </row>
    <row r="612" spans="1:26">
      <c r="A612">
        <v>1027306693</v>
      </c>
      <c r="B612" s="3" t="s">
        <v>1887</v>
      </c>
      <c r="C612">
        <v>59</v>
      </c>
      <c r="D612" t="s">
        <v>27</v>
      </c>
      <c r="E612" t="s">
        <v>28</v>
      </c>
      <c r="F612" t="s">
        <v>29</v>
      </c>
      <c r="G612" t="s">
        <v>28</v>
      </c>
      <c r="H612">
        <v>3</v>
      </c>
      <c r="I612" t="s">
        <v>66</v>
      </c>
      <c r="J612" t="s">
        <v>1888</v>
      </c>
      <c r="K612" t="s">
        <v>1889</v>
      </c>
      <c r="L612" t="s">
        <v>380</v>
      </c>
      <c r="M612" s="4" t="s">
        <v>34</v>
      </c>
      <c r="N612" t="s">
        <v>70</v>
      </c>
      <c r="P612" s="3" t="s">
        <v>36</v>
      </c>
      <c r="Q612" s="3" t="s">
        <v>1636</v>
      </c>
      <c r="R612">
        <v>1</v>
      </c>
      <c r="S612" s="5">
        <v>45667</v>
      </c>
      <c r="T612" t="s">
        <v>38</v>
      </c>
      <c r="U612">
        <f t="shared" ca="1" si="54"/>
        <v>22</v>
      </c>
      <c r="V612" s="6">
        <f t="shared" ca="1" si="55"/>
        <v>46024</v>
      </c>
      <c r="W612" s="6">
        <f t="shared" ca="1" si="56"/>
        <v>46030</v>
      </c>
      <c r="X612" t="str">
        <f t="shared" ca="1" si="57"/>
        <v>Jan 2 to Jan 8</v>
      </c>
      <c r="Y612" t="str">
        <f t="shared" ca="1" si="58"/>
        <v>⚪ SCHEDULED</v>
      </c>
      <c r="Z612" t="str">
        <f t="shared" ca="1" si="59"/>
        <v>No action needed yet</v>
      </c>
    </row>
    <row r="613" spans="1:26">
      <c r="A613">
        <v>1027309762</v>
      </c>
      <c r="B613" s="3" t="s">
        <v>1890</v>
      </c>
      <c r="C613">
        <v>53</v>
      </c>
      <c r="D613" t="s">
        <v>47</v>
      </c>
      <c r="E613" t="s">
        <v>29</v>
      </c>
      <c r="F613" t="s">
        <v>28</v>
      </c>
      <c r="G613" t="s">
        <v>28</v>
      </c>
      <c r="H613">
        <v>3</v>
      </c>
      <c r="I613" t="s">
        <v>66</v>
      </c>
      <c r="J613" t="s">
        <v>1891</v>
      </c>
      <c r="K613" t="s">
        <v>1892</v>
      </c>
      <c r="L613" t="s">
        <v>208</v>
      </c>
      <c r="M613" s="4" t="s">
        <v>34</v>
      </c>
      <c r="N613" t="s">
        <v>162</v>
      </c>
      <c r="P613" s="3" t="s">
        <v>36</v>
      </c>
      <c r="Q613" s="3" t="s">
        <v>90</v>
      </c>
      <c r="R613">
        <v>1</v>
      </c>
      <c r="S613" s="5">
        <v>45371</v>
      </c>
      <c r="T613" t="s">
        <v>38</v>
      </c>
      <c r="U613">
        <f t="shared" ca="1" si="54"/>
        <v>26</v>
      </c>
      <c r="V613" s="6">
        <f t="shared" ca="1" si="55"/>
        <v>46028</v>
      </c>
      <c r="W613" s="6">
        <f t="shared" ca="1" si="56"/>
        <v>46034</v>
      </c>
      <c r="X613" t="str">
        <f t="shared" ca="1" si="57"/>
        <v>Jan 6 to Jan 12</v>
      </c>
      <c r="Y613" t="str">
        <f t="shared" ca="1" si="58"/>
        <v>⚪ SCHEDULED</v>
      </c>
      <c r="Z613" t="str">
        <f t="shared" ca="1" si="59"/>
        <v>No action needed yet</v>
      </c>
    </row>
    <row r="614" spans="1:26">
      <c r="A614">
        <v>1027396892</v>
      </c>
      <c r="B614" s="3" t="s">
        <v>1893</v>
      </c>
      <c r="C614">
        <v>80</v>
      </c>
      <c r="D614" t="s">
        <v>27</v>
      </c>
      <c r="E614" t="s">
        <v>29</v>
      </c>
      <c r="F614" t="s">
        <v>28</v>
      </c>
      <c r="G614" t="s">
        <v>28</v>
      </c>
      <c r="H614">
        <v>5</v>
      </c>
      <c r="I614" t="s">
        <v>30</v>
      </c>
      <c r="J614" t="s">
        <v>1894</v>
      </c>
      <c r="K614" t="s">
        <v>1895</v>
      </c>
      <c r="M614" s="4" t="s">
        <v>34</v>
      </c>
      <c r="N614" t="s">
        <v>148</v>
      </c>
      <c r="P614" s="3" t="s">
        <v>36</v>
      </c>
      <c r="Q614" s="3" t="s">
        <v>107</v>
      </c>
      <c r="R614">
        <v>2</v>
      </c>
      <c r="S614" s="5">
        <v>45713</v>
      </c>
      <c r="T614" t="s">
        <v>38</v>
      </c>
      <c r="U614">
        <f t="shared" ca="1" si="54"/>
        <v>8</v>
      </c>
      <c r="V614" s="6">
        <f t="shared" ca="1" si="55"/>
        <v>46010</v>
      </c>
      <c r="W614" s="6">
        <f t="shared" ca="1" si="56"/>
        <v>46016</v>
      </c>
      <c r="X614" t="str">
        <f t="shared" ca="1" si="57"/>
        <v>Dec 19 to Dec 25</v>
      </c>
      <c r="Y614" t="str">
        <f t="shared" ca="1" si="58"/>
        <v>🔵 NEXT 2 WEEKS</v>
      </c>
      <c r="Z614" t="str">
        <f t="shared" ca="1" si="59"/>
        <v>Send reminder SMS</v>
      </c>
    </row>
    <row r="615" spans="1:26">
      <c r="A615">
        <v>1027544194</v>
      </c>
      <c r="B615" s="3" t="s">
        <v>1896</v>
      </c>
      <c r="C615">
        <v>54</v>
      </c>
      <c r="D615" t="s">
        <v>27</v>
      </c>
      <c r="E615" t="s">
        <v>28</v>
      </c>
      <c r="F615" t="s">
        <v>29</v>
      </c>
      <c r="G615" t="s">
        <v>28</v>
      </c>
      <c r="H615">
        <v>3</v>
      </c>
      <c r="I615" t="s">
        <v>66</v>
      </c>
      <c r="J615" t="s">
        <v>1897</v>
      </c>
      <c r="K615" t="s">
        <v>1898</v>
      </c>
      <c r="L615" t="s">
        <v>33</v>
      </c>
      <c r="M615" s="4" t="s">
        <v>94</v>
      </c>
      <c r="N615" t="s">
        <v>64</v>
      </c>
      <c r="P615" s="3" t="s">
        <v>36</v>
      </c>
      <c r="Q615" s="3" t="s">
        <v>90</v>
      </c>
      <c r="R615">
        <v>2</v>
      </c>
      <c r="S615" s="5">
        <v>45937</v>
      </c>
      <c r="T615" t="s">
        <v>38</v>
      </c>
      <c r="U615">
        <f t="shared" ca="1" si="54"/>
        <v>22</v>
      </c>
      <c r="V615" s="6">
        <f t="shared" ca="1" si="55"/>
        <v>46024</v>
      </c>
      <c r="W615" s="6">
        <f t="shared" ca="1" si="56"/>
        <v>46030</v>
      </c>
      <c r="X615" t="str">
        <f t="shared" ca="1" si="57"/>
        <v>Jan 2 to Jan 8</v>
      </c>
      <c r="Y615" t="str">
        <f t="shared" ca="1" si="58"/>
        <v>⚪ SCHEDULED</v>
      </c>
      <c r="Z615" t="str">
        <f t="shared" ca="1" si="59"/>
        <v>No action needed yet</v>
      </c>
    </row>
    <row r="616" spans="1:26">
      <c r="A616">
        <v>1027544210</v>
      </c>
      <c r="B616" s="3" t="s">
        <v>1899</v>
      </c>
      <c r="C616">
        <v>51</v>
      </c>
      <c r="D616" t="s">
        <v>47</v>
      </c>
      <c r="E616" t="s">
        <v>29</v>
      </c>
      <c r="F616" t="s">
        <v>29</v>
      </c>
      <c r="G616" t="s">
        <v>28</v>
      </c>
      <c r="H616">
        <v>4</v>
      </c>
      <c r="I616" t="s">
        <v>66</v>
      </c>
      <c r="J616" t="s">
        <v>1900</v>
      </c>
      <c r="K616" t="s">
        <v>1901</v>
      </c>
      <c r="M616" s="4" t="s">
        <v>43</v>
      </c>
      <c r="N616" t="s">
        <v>144</v>
      </c>
      <c r="P616" s="3" t="s">
        <v>36</v>
      </c>
      <c r="Q616" s="3" t="s">
        <v>230</v>
      </c>
      <c r="R616">
        <v>2</v>
      </c>
      <c r="S616" s="5">
        <v>45919</v>
      </c>
      <c r="T616" t="s">
        <v>38</v>
      </c>
      <c r="U616">
        <f t="shared" ca="1" si="54"/>
        <v>4</v>
      </c>
      <c r="V616" s="6">
        <f t="shared" ca="1" si="55"/>
        <v>46006</v>
      </c>
      <c r="W616" s="6">
        <f t="shared" ca="1" si="56"/>
        <v>46012</v>
      </c>
      <c r="X616" t="str">
        <f t="shared" ca="1" si="57"/>
        <v>Dec 15 to Dec 21</v>
      </c>
      <c r="Y616" t="str">
        <f t="shared" ca="1" si="58"/>
        <v>🟢 THIS WEEK</v>
      </c>
      <c r="Z616" t="str">
        <f t="shared" ca="1" si="59"/>
        <v>Confirm appointment</v>
      </c>
    </row>
    <row r="617" spans="1:26">
      <c r="A617">
        <v>1027548724</v>
      </c>
      <c r="B617" s="3" t="s">
        <v>1902</v>
      </c>
      <c r="C617">
        <v>56</v>
      </c>
      <c r="D617" t="s">
        <v>47</v>
      </c>
      <c r="E617" t="s">
        <v>29</v>
      </c>
      <c r="F617" t="s">
        <v>29</v>
      </c>
      <c r="G617" t="s">
        <v>29</v>
      </c>
      <c r="H617">
        <v>5</v>
      </c>
      <c r="I617" t="s">
        <v>30</v>
      </c>
      <c r="J617" t="s">
        <v>1903</v>
      </c>
      <c r="K617" t="s">
        <v>1904</v>
      </c>
      <c r="L617" t="s">
        <v>317</v>
      </c>
      <c r="M617" s="4" t="s">
        <v>94</v>
      </c>
      <c r="N617" t="s">
        <v>76</v>
      </c>
      <c r="P617" s="3" t="s">
        <v>36</v>
      </c>
      <c r="Q617" s="3" t="s">
        <v>90</v>
      </c>
      <c r="R617">
        <v>1</v>
      </c>
      <c r="S617" s="5">
        <v>45958</v>
      </c>
      <c r="T617" t="s">
        <v>38</v>
      </c>
      <c r="U617">
        <f t="shared" ca="1" si="54"/>
        <v>13</v>
      </c>
      <c r="V617" s="6">
        <f t="shared" ca="1" si="55"/>
        <v>46015</v>
      </c>
      <c r="W617" s="6">
        <f t="shared" ca="1" si="56"/>
        <v>46021</v>
      </c>
      <c r="X617" t="str">
        <f t="shared" ca="1" si="57"/>
        <v>Dec 24 to Dec 30</v>
      </c>
      <c r="Y617" t="str">
        <f t="shared" ca="1" si="58"/>
        <v>🔵 NEXT 2 WEEKS</v>
      </c>
      <c r="Z617" t="str">
        <f t="shared" ca="1" si="59"/>
        <v>Send reminder SMS</v>
      </c>
    </row>
    <row r="618" spans="1:26">
      <c r="A618">
        <v>1027604139</v>
      </c>
      <c r="B618" s="3" t="s">
        <v>1905</v>
      </c>
      <c r="C618">
        <v>45</v>
      </c>
      <c r="D618" t="s">
        <v>27</v>
      </c>
      <c r="E618" t="s">
        <v>29</v>
      </c>
      <c r="F618" t="s">
        <v>28</v>
      </c>
      <c r="G618" t="s">
        <v>29</v>
      </c>
      <c r="H618">
        <v>4</v>
      </c>
      <c r="I618" t="s">
        <v>66</v>
      </c>
      <c r="J618" t="s">
        <v>157</v>
      </c>
      <c r="K618" t="s">
        <v>1906</v>
      </c>
      <c r="M618" s="4" t="s">
        <v>94</v>
      </c>
      <c r="N618" t="s">
        <v>95</v>
      </c>
      <c r="P618" s="3" t="s">
        <v>36</v>
      </c>
      <c r="Q618" s="3" t="s">
        <v>90</v>
      </c>
      <c r="R618">
        <v>2</v>
      </c>
      <c r="S618" s="5">
        <v>45950</v>
      </c>
      <c r="T618" t="s">
        <v>38</v>
      </c>
      <c r="U618">
        <f t="shared" ca="1" si="54"/>
        <v>5</v>
      </c>
      <c r="V618" s="6">
        <f t="shared" ca="1" si="55"/>
        <v>46007</v>
      </c>
      <c r="W618" s="6">
        <f t="shared" ca="1" si="56"/>
        <v>46013</v>
      </c>
      <c r="X618" t="str">
        <f t="shared" ca="1" si="57"/>
        <v>Dec 16 to Dec 22</v>
      </c>
      <c r="Y618" t="str">
        <f t="shared" ca="1" si="58"/>
        <v>🟢 THIS WEEK</v>
      </c>
      <c r="Z618" t="str">
        <f t="shared" ca="1" si="59"/>
        <v>Confirm appointment</v>
      </c>
    </row>
    <row r="619" spans="1:26">
      <c r="A619">
        <v>1027637899</v>
      </c>
      <c r="B619" s="3" t="s">
        <v>1907</v>
      </c>
      <c r="C619">
        <v>50</v>
      </c>
      <c r="D619" t="s">
        <v>27</v>
      </c>
      <c r="E619" t="s">
        <v>29</v>
      </c>
      <c r="F619" t="s">
        <v>28</v>
      </c>
      <c r="G619" t="s">
        <v>29</v>
      </c>
      <c r="H619">
        <v>4</v>
      </c>
      <c r="I619" t="s">
        <v>66</v>
      </c>
      <c r="J619" t="s">
        <v>762</v>
      </c>
      <c r="K619" t="s">
        <v>1908</v>
      </c>
      <c r="L619" t="s">
        <v>208</v>
      </c>
      <c r="M619" s="4" t="s">
        <v>43</v>
      </c>
      <c r="N619" t="s">
        <v>51</v>
      </c>
      <c r="P619" s="3" t="s">
        <v>36</v>
      </c>
      <c r="Q619" s="3" t="s">
        <v>45</v>
      </c>
      <c r="R619">
        <v>1</v>
      </c>
      <c r="S619" s="5">
        <v>45871</v>
      </c>
      <c r="T619" t="s">
        <v>38</v>
      </c>
      <c r="U619">
        <f t="shared" ca="1" si="54"/>
        <v>16</v>
      </c>
      <c r="V619" s="6">
        <f t="shared" ca="1" si="55"/>
        <v>46018</v>
      </c>
      <c r="W619" s="6">
        <f t="shared" ca="1" si="56"/>
        <v>46024</v>
      </c>
      <c r="X619" t="str">
        <f t="shared" ca="1" si="57"/>
        <v>Dec 27 to Jan 2</v>
      </c>
      <c r="Y619" t="str">
        <f t="shared" ca="1" si="58"/>
        <v>⚪ SCHEDULED</v>
      </c>
      <c r="Z619" t="str">
        <f t="shared" ca="1" si="59"/>
        <v>No action needed yet</v>
      </c>
    </row>
    <row r="620" spans="1:26">
      <c r="A620">
        <v>1027709326</v>
      </c>
      <c r="B620" s="3" t="s">
        <v>1909</v>
      </c>
      <c r="C620">
        <v>72</v>
      </c>
      <c r="D620" t="s">
        <v>47</v>
      </c>
      <c r="E620" t="s">
        <v>29</v>
      </c>
      <c r="F620" t="s">
        <v>29</v>
      </c>
      <c r="G620" t="s">
        <v>29</v>
      </c>
      <c r="H620">
        <v>7</v>
      </c>
      <c r="I620" t="s">
        <v>30</v>
      </c>
      <c r="J620" t="s">
        <v>1910</v>
      </c>
      <c r="K620" t="s">
        <v>1911</v>
      </c>
      <c r="L620" t="s">
        <v>217</v>
      </c>
      <c r="M620" s="4" t="s">
        <v>43</v>
      </c>
      <c r="N620" t="s">
        <v>76</v>
      </c>
      <c r="P620" s="3" t="s">
        <v>36</v>
      </c>
      <c r="Q620" s="3" t="s">
        <v>84</v>
      </c>
      <c r="R620">
        <v>2</v>
      </c>
      <c r="S620" s="5">
        <v>45867</v>
      </c>
      <c r="T620" t="s">
        <v>38</v>
      </c>
      <c r="U620">
        <f t="shared" ca="1" si="54"/>
        <v>12</v>
      </c>
      <c r="V620" s="6">
        <f t="shared" ca="1" si="55"/>
        <v>46014</v>
      </c>
      <c r="W620" s="6">
        <f t="shared" ca="1" si="56"/>
        <v>46020</v>
      </c>
      <c r="X620" t="str">
        <f t="shared" ca="1" si="57"/>
        <v>Dec 23 to Dec 29</v>
      </c>
      <c r="Y620" t="str">
        <f t="shared" ca="1" si="58"/>
        <v>🔵 NEXT 2 WEEKS</v>
      </c>
      <c r="Z620" t="str">
        <f t="shared" ca="1" si="59"/>
        <v>Send reminder SMS</v>
      </c>
    </row>
    <row r="621" spans="1:26">
      <c r="A621">
        <v>1027740883</v>
      </c>
      <c r="B621" s="3" t="s">
        <v>1912</v>
      </c>
      <c r="C621">
        <v>79</v>
      </c>
      <c r="D621" t="s">
        <v>27</v>
      </c>
      <c r="E621" t="s">
        <v>29</v>
      </c>
      <c r="F621" t="s">
        <v>29</v>
      </c>
      <c r="G621" t="s">
        <v>29</v>
      </c>
      <c r="H621">
        <v>7</v>
      </c>
      <c r="I621" t="s">
        <v>30</v>
      </c>
      <c r="J621" t="s">
        <v>1913</v>
      </c>
      <c r="K621" t="s">
        <v>1914</v>
      </c>
      <c r="L621" t="s">
        <v>58</v>
      </c>
      <c r="M621" s="4" t="s">
        <v>43</v>
      </c>
      <c r="N621" t="s">
        <v>89</v>
      </c>
      <c r="P621" s="3" t="s">
        <v>36</v>
      </c>
      <c r="Q621" s="3" t="s">
        <v>84</v>
      </c>
      <c r="R621">
        <v>1</v>
      </c>
      <c r="S621" s="5">
        <v>45862</v>
      </c>
      <c r="T621" t="s">
        <v>38</v>
      </c>
      <c r="U621">
        <f t="shared" ca="1" si="54"/>
        <v>7</v>
      </c>
      <c r="V621" s="6">
        <f t="shared" ca="1" si="55"/>
        <v>46009</v>
      </c>
      <c r="W621" s="6">
        <f t="shared" ca="1" si="56"/>
        <v>46015</v>
      </c>
      <c r="X621" t="str">
        <f t="shared" ca="1" si="57"/>
        <v>Dec 18 to Dec 24</v>
      </c>
      <c r="Y621" t="str">
        <f t="shared" ca="1" si="58"/>
        <v>🟢 THIS WEEK</v>
      </c>
      <c r="Z621" t="str">
        <f t="shared" ca="1" si="59"/>
        <v>Confirm appointment</v>
      </c>
    </row>
    <row r="622" spans="1:26">
      <c r="A622">
        <v>1027816097</v>
      </c>
      <c r="B622" s="3" t="s">
        <v>1915</v>
      </c>
      <c r="C622">
        <v>71</v>
      </c>
      <c r="D622" t="s">
        <v>27</v>
      </c>
      <c r="E622" t="s">
        <v>28</v>
      </c>
      <c r="F622" t="s">
        <v>29</v>
      </c>
      <c r="G622" t="s">
        <v>29</v>
      </c>
      <c r="H622">
        <v>7</v>
      </c>
      <c r="I622" t="s">
        <v>30</v>
      </c>
      <c r="J622" t="s">
        <v>1916</v>
      </c>
      <c r="K622" t="s">
        <v>1917</v>
      </c>
      <c r="L622" t="s">
        <v>114</v>
      </c>
      <c r="M622" s="4" t="s">
        <v>34</v>
      </c>
      <c r="N622" t="s">
        <v>209</v>
      </c>
      <c r="P622" s="3" t="s">
        <v>36</v>
      </c>
      <c r="Q622" s="3" t="s">
        <v>45</v>
      </c>
      <c r="R622">
        <v>2</v>
      </c>
      <c r="S622" s="5">
        <v>45478</v>
      </c>
      <c r="T622" t="s">
        <v>38</v>
      </c>
      <c r="U622">
        <f t="shared" ca="1" si="54"/>
        <v>13</v>
      </c>
      <c r="V622" s="6">
        <f t="shared" ca="1" si="55"/>
        <v>46015</v>
      </c>
      <c r="W622" s="6">
        <f t="shared" ca="1" si="56"/>
        <v>46021</v>
      </c>
      <c r="X622" t="str">
        <f t="shared" ca="1" si="57"/>
        <v>Dec 24 to Dec 30</v>
      </c>
      <c r="Y622" t="str">
        <f t="shared" ca="1" si="58"/>
        <v>🔵 NEXT 2 WEEKS</v>
      </c>
      <c r="Z622" t="str">
        <f t="shared" ca="1" si="59"/>
        <v>Send reminder SMS</v>
      </c>
    </row>
    <row r="623" spans="1:26">
      <c r="A623">
        <v>1027838000</v>
      </c>
      <c r="B623" s="3" t="s">
        <v>1918</v>
      </c>
      <c r="C623">
        <v>78</v>
      </c>
      <c r="D623" t="s">
        <v>27</v>
      </c>
      <c r="E623" t="s">
        <v>29</v>
      </c>
      <c r="F623" t="s">
        <v>29</v>
      </c>
      <c r="G623" t="s">
        <v>29</v>
      </c>
      <c r="H623">
        <v>8</v>
      </c>
      <c r="I623" t="s">
        <v>30</v>
      </c>
      <c r="J623" t="s">
        <v>260</v>
      </c>
      <c r="K623" t="s">
        <v>1919</v>
      </c>
      <c r="M623" s="4" t="s">
        <v>94</v>
      </c>
      <c r="N623" t="s">
        <v>44</v>
      </c>
      <c r="P623" s="3" t="s">
        <v>36</v>
      </c>
      <c r="Q623" s="3" t="s">
        <v>175</v>
      </c>
      <c r="R623">
        <v>1</v>
      </c>
      <c r="S623" s="5">
        <v>45937</v>
      </c>
      <c r="T623" t="s">
        <v>38</v>
      </c>
      <c r="U623">
        <f t="shared" ca="1" si="54"/>
        <v>22</v>
      </c>
      <c r="V623" s="6">
        <f t="shared" ca="1" si="55"/>
        <v>46024</v>
      </c>
      <c r="W623" s="6">
        <f t="shared" ca="1" si="56"/>
        <v>46030</v>
      </c>
      <c r="X623" t="str">
        <f t="shared" ca="1" si="57"/>
        <v>Jan 2 to Jan 8</v>
      </c>
      <c r="Y623" t="str">
        <f t="shared" ca="1" si="58"/>
        <v>⚪ SCHEDULED</v>
      </c>
      <c r="Z623" t="str">
        <f t="shared" ca="1" si="59"/>
        <v>No action needed yet</v>
      </c>
    </row>
    <row r="624" spans="1:26">
      <c r="A624">
        <v>1027861424</v>
      </c>
      <c r="B624" s="3" t="s">
        <v>1920</v>
      </c>
      <c r="C624">
        <v>49</v>
      </c>
      <c r="D624" t="s">
        <v>47</v>
      </c>
      <c r="E624" t="s">
        <v>29</v>
      </c>
      <c r="F624" t="s">
        <v>28</v>
      </c>
      <c r="G624" t="s">
        <v>28</v>
      </c>
      <c r="H624">
        <v>4</v>
      </c>
      <c r="I624" t="s">
        <v>66</v>
      </c>
      <c r="J624" t="s">
        <v>1921</v>
      </c>
      <c r="K624" t="s">
        <v>1922</v>
      </c>
      <c r="M624" s="4" t="s">
        <v>34</v>
      </c>
      <c r="N624" t="s">
        <v>148</v>
      </c>
      <c r="P624" s="3" t="s">
        <v>36</v>
      </c>
      <c r="Q624" s="3" t="s">
        <v>84</v>
      </c>
      <c r="R624">
        <v>2</v>
      </c>
      <c r="S624" s="5">
        <v>45653</v>
      </c>
      <c r="T624" t="s">
        <v>38</v>
      </c>
      <c r="U624">
        <f t="shared" ca="1" si="54"/>
        <v>8</v>
      </c>
      <c r="V624" s="6">
        <f t="shared" ca="1" si="55"/>
        <v>46010</v>
      </c>
      <c r="W624" s="6">
        <f t="shared" ca="1" si="56"/>
        <v>46016</v>
      </c>
      <c r="X624" t="str">
        <f t="shared" ca="1" si="57"/>
        <v>Dec 19 to Dec 25</v>
      </c>
      <c r="Y624" t="str">
        <f t="shared" ca="1" si="58"/>
        <v>🔵 NEXT 2 WEEKS</v>
      </c>
      <c r="Z624" t="str">
        <f t="shared" ca="1" si="59"/>
        <v>Send reminder SMS</v>
      </c>
    </row>
    <row r="625" spans="1:26">
      <c r="A625">
        <v>1027913381</v>
      </c>
      <c r="B625" s="3" t="s">
        <v>1923</v>
      </c>
      <c r="C625">
        <v>53</v>
      </c>
      <c r="D625" t="s">
        <v>27</v>
      </c>
      <c r="E625" t="s">
        <v>28</v>
      </c>
      <c r="F625" t="s">
        <v>29</v>
      </c>
      <c r="G625" t="s">
        <v>28</v>
      </c>
      <c r="H625">
        <v>4</v>
      </c>
      <c r="I625" t="s">
        <v>66</v>
      </c>
      <c r="J625" t="s">
        <v>1924</v>
      </c>
      <c r="K625" t="s">
        <v>1925</v>
      </c>
      <c r="L625" t="s">
        <v>557</v>
      </c>
      <c r="M625" s="4" t="s">
        <v>94</v>
      </c>
      <c r="N625" t="s">
        <v>70</v>
      </c>
      <c r="P625" s="3" t="s">
        <v>36</v>
      </c>
      <c r="Q625" s="3" t="s">
        <v>230</v>
      </c>
      <c r="R625">
        <v>1</v>
      </c>
      <c r="S625" s="5">
        <v>45952</v>
      </c>
      <c r="T625" t="s">
        <v>38</v>
      </c>
      <c r="U625">
        <f t="shared" ca="1" si="54"/>
        <v>7</v>
      </c>
      <c r="V625" s="6">
        <f t="shared" ca="1" si="55"/>
        <v>46009</v>
      </c>
      <c r="W625" s="6">
        <f t="shared" ca="1" si="56"/>
        <v>46015</v>
      </c>
      <c r="X625" t="str">
        <f t="shared" ca="1" si="57"/>
        <v>Dec 18 to Dec 24</v>
      </c>
      <c r="Y625" t="str">
        <f t="shared" ca="1" si="58"/>
        <v>🟢 THIS WEEK</v>
      </c>
      <c r="Z625" t="str">
        <f t="shared" ca="1" si="59"/>
        <v>Confirm appointment</v>
      </c>
    </row>
    <row r="626" spans="1:26">
      <c r="A626">
        <v>1028035358</v>
      </c>
      <c r="B626" s="3" t="s">
        <v>1926</v>
      </c>
      <c r="C626">
        <v>66</v>
      </c>
      <c r="D626" t="s">
        <v>47</v>
      </c>
      <c r="E626" t="s">
        <v>28</v>
      </c>
      <c r="F626" t="s">
        <v>29</v>
      </c>
      <c r="G626" t="s">
        <v>29</v>
      </c>
      <c r="H626">
        <v>5</v>
      </c>
      <c r="I626" t="s">
        <v>30</v>
      </c>
      <c r="J626" t="s">
        <v>146</v>
      </c>
      <c r="K626" t="s">
        <v>1927</v>
      </c>
      <c r="M626" s="4" t="s">
        <v>43</v>
      </c>
      <c r="N626" t="s">
        <v>35</v>
      </c>
      <c r="P626" s="3" t="s">
        <v>36</v>
      </c>
      <c r="Q626" s="3" t="s">
        <v>84</v>
      </c>
      <c r="R626">
        <v>2</v>
      </c>
      <c r="S626" s="5">
        <v>45868</v>
      </c>
      <c r="T626" t="s">
        <v>38</v>
      </c>
      <c r="U626">
        <f t="shared" ca="1" si="54"/>
        <v>13</v>
      </c>
      <c r="V626" s="6">
        <f t="shared" ca="1" si="55"/>
        <v>46015</v>
      </c>
      <c r="W626" s="6">
        <f t="shared" ca="1" si="56"/>
        <v>46021</v>
      </c>
      <c r="X626" t="str">
        <f t="shared" ca="1" si="57"/>
        <v>Dec 24 to Dec 30</v>
      </c>
      <c r="Y626" t="str">
        <f t="shared" ca="1" si="58"/>
        <v>🔵 NEXT 2 WEEKS</v>
      </c>
      <c r="Z626" t="str">
        <f t="shared" ca="1" si="59"/>
        <v>Send reminder SMS</v>
      </c>
    </row>
    <row r="627" spans="1:26">
      <c r="A627">
        <v>1028035382</v>
      </c>
      <c r="B627" s="3" t="s">
        <v>1928</v>
      </c>
      <c r="C627">
        <v>43</v>
      </c>
      <c r="D627" t="s">
        <v>47</v>
      </c>
      <c r="E627" t="s">
        <v>28</v>
      </c>
      <c r="F627" t="s">
        <v>28</v>
      </c>
      <c r="G627" t="s">
        <v>28</v>
      </c>
      <c r="H627">
        <v>2</v>
      </c>
      <c r="I627" t="s">
        <v>55</v>
      </c>
      <c r="J627" t="s">
        <v>792</v>
      </c>
      <c r="K627" t="s">
        <v>1929</v>
      </c>
      <c r="M627" s="4" t="s">
        <v>34</v>
      </c>
      <c r="N627" t="s">
        <v>59</v>
      </c>
      <c r="P627" s="3" t="s">
        <v>36</v>
      </c>
      <c r="Q627" s="3" t="s">
        <v>230</v>
      </c>
      <c r="R627">
        <v>1</v>
      </c>
      <c r="S627" s="5">
        <v>45842</v>
      </c>
      <c r="T627" t="s">
        <v>60</v>
      </c>
      <c r="U627">
        <f t="shared" ca="1" si="54"/>
        <v>17</v>
      </c>
      <c r="V627" s="6">
        <f t="shared" ca="1" si="55"/>
        <v>46019</v>
      </c>
      <c r="W627" s="6">
        <f t="shared" ca="1" si="56"/>
        <v>46025</v>
      </c>
      <c r="X627" t="str">
        <f t="shared" ca="1" si="57"/>
        <v>Dec 28 to Jan 3</v>
      </c>
      <c r="Y627" t="str">
        <f t="shared" ca="1" si="58"/>
        <v>⚪ SCHEDULED</v>
      </c>
      <c r="Z627" t="str">
        <f t="shared" ca="1" si="59"/>
        <v>No action needed yet</v>
      </c>
    </row>
    <row r="628" spans="1:26">
      <c r="A628">
        <v>1028068839</v>
      </c>
      <c r="B628" s="3" t="s">
        <v>1930</v>
      </c>
      <c r="C628">
        <v>70</v>
      </c>
      <c r="D628" t="s">
        <v>47</v>
      </c>
      <c r="E628" t="s">
        <v>29</v>
      </c>
      <c r="F628" t="s">
        <v>29</v>
      </c>
      <c r="G628" t="s">
        <v>29</v>
      </c>
      <c r="H628">
        <v>8</v>
      </c>
      <c r="I628" t="s">
        <v>30</v>
      </c>
      <c r="J628" t="s">
        <v>1931</v>
      </c>
      <c r="K628" t="s">
        <v>1932</v>
      </c>
      <c r="L628" t="s">
        <v>170</v>
      </c>
      <c r="M628" s="4" t="s">
        <v>34</v>
      </c>
      <c r="N628" t="s">
        <v>171</v>
      </c>
      <c r="P628" s="3" t="s">
        <v>36</v>
      </c>
      <c r="Q628" s="3" t="s">
        <v>90</v>
      </c>
      <c r="R628">
        <v>1</v>
      </c>
      <c r="S628" s="5">
        <v>45392</v>
      </c>
      <c r="T628" t="s">
        <v>38</v>
      </c>
      <c r="U628">
        <f t="shared" ca="1" si="54"/>
        <v>17</v>
      </c>
      <c r="V628" s="6">
        <f t="shared" ca="1" si="55"/>
        <v>46019</v>
      </c>
      <c r="W628" s="6">
        <f t="shared" ca="1" si="56"/>
        <v>46025</v>
      </c>
      <c r="X628" t="str">
        <f t="shared" ca="1" si="57"/>
        <v>Dec 28 to Jan 3</v>
      </c>
      <c r="Y628" t="str">
        <f t="shared" ca="1" si="58"/>
        <v>⚪ SCHEDULED</v>
      </c>
      <c r="Z628" t="str">
        <f t="shared" ca="1" si="59"/>
        <v>No action needed yet</v>
      </c>
    </row>
    <row r="629" spans="1:26">
      <c r="A629">
        <v>1028306031</v>
      </c>
      <c r="B629" s="3" t="s">
        <v>1933</v>
      </c>
      <c r="C629">
        <v>56</v>
      </c>
      <c r="D629" t="s">
        <v>27</v>
      </c>
      <c r="E629" t="s">
        <v>29</v>
      </c>
      <c r="F629" t="s">
        <v>29</v>
      </c>
      <c r="G629" t="s">
        <v>28</v>
      </c>
      <c r="H629">
        <v>5</v>
      </c>
      <c r="I629" t="s">
        <v>30</v>
      </c>
      <c r="J629" t="s">
        <v>1934</v>
      </c>
      <c r="K629" t="s">
        <v>1935</v>
      </c>
      <c r="L629" t="s">
        <v>33</v>
      </c>
      <c r="M629" s="4" t="s">
        <v>34</v>
      </c>
      <c r="N629" t="s">
        <v>144</v>
      </c>
      <c r="P629" s="3" t="s">
        <v>36</v>
      </c>
      <c r="Q629" s="3" t="s">
        <v>1208</v>
      </c>
      <c r="R629">
        <v>2</v>
      </c>
      <c r="S629" s="5">
        <v>45833</v>
      </c>
      <c r="T629" t="s">
        <v>38</v>
      </c>
      <c r="U629">
        <f t="shared" ca="1" si="54"/>
        <v>8</v>
      </c>
      <c r="V629" s="6">
        <f t="shared" ca="1" si="55"/>
        <v>46010</v>
      </c>
      <c r="W629" s="6">
        <f t="shared" ca="1" si="56"/>
        <v>46016</v>
      </c>
      <c r="X629" t="str">
        <f t="shared" ca="1" si="57"/>
        <v>Dec 19 to Dec 25</v>
      </c>
      <c r="Y629" t="str">
        <f t="shared" ca="1" si="58"/>
        <v>🔵 NEXT 2 WEEKS</v>
      </c>
      <c r="Z629" t="str">
        <f t="shared" ca="1" si="59"/>
        <v>Send reminder SMS</v>
      </c>
    </row>
    <row r="630" spans="1:26">
      <c r="A630">
        <v>1028324596</v>
      </c>
      <c r="B630" s="3" t="s">
        <v>1936</v>
      </c>
      <c r="C630">
        <v>67</v>
      </c>
      <c r="D630" t="s">
        <v>47</v>
      </c>
      <c r="E630" t="s">
        <v>29</v>
      </c>
      <c r="F630" t="s">
        <v>28</v>
      </c>
      <c r="G630" t="s">
        <v>28</v>
      </c>
      <c r="H630">
        <v>4</v>
      </c>
      <c r="I630" t="s">
        <v>66</v>
      </c>
      <c r="J630" t="s">
        <v>1937</v>
      </c>
      <c r="K630" t="s">
        <v>1938</v>
      </c>
      <c r="L630" t="s">
        <v>114</v>
      </c>
      <c r="M630" s="4" t="s">
        <v>34</v>
      </c>
      <c r="N630" t="s">
        <v>148</v>
      </c>
      <c r="P630" s="3" t="s">
        <v>36</v>
      </c>
      <c r="Q630" s="3" t="s">
        <v>96</v>
      </c>
      <c r="R630">
        <v>2</v>
      </c>
      <c r="S630" s="5">
        <v>45721</v>
      </c>
      <c r="T630" t="s">
        <v>38</v>
      </c>
      <c r="U630">
        <f t="shared" ca="1" si="54"/>
        <v>16</v>
      </c>
      <c r="V630" s="6">
        <f t="shared" ca="1" si="55"/>
        <v>46018</v>
      </c>
      <c r="W630" s="6">
        <f t="shared" ca="1" si="56"/>
        <v>46024</v>
      </c>
      <c r="X630" t="str">
        <f t="shared" ca="1" si="57"/>
        <v>Dec 27 to Jan 2</v>
      </c>
      <c r="Y630" t="str">
        <f t="shared" ca="1" si="58"/>
        <v>⚪ SCHEDULED</v>
      </c>
      <c r="Z630" t="str">
        <f t="shared" ca="1" si="59"/>
        <v>No action needed yet</v>
      </c>
    </row>
    <row r="631" spans="1:26">
      <c r="A631">
        <v>1028354437</v>
      </c>
      <c r="B631" s="3" t="s">
        <v>1939</v>
      </c>
      <c r="C631">
        <v>63</v>
      </c>
      <c r="D631" t="s">
        <v>47</v>
      </c>
      <c r="E631" t="s">
        <v>29</v>
      </c>
      <c r="F631" t="s">
        <v>28</v>
      </c>
      <c r="G631" t="s">
        <v>28</v>
      </c>
      <c r="H631">
        <v>4</v>
      </c>
      <c r="I631" t="s">
        <v>66</v>
      </c>
      <c r="J631" t="s">
        <v>1940</v>
      </c>
      <c r="K631" t="s">
        <v>1941</v>
      </c>
      <c r="M631" s="4" t="s">
        <v>43</v>
      </c>
      <c r="N631" t="s">
        <v>148</v>
      </c>
      <c r="P631" s="3" t="s">
        <v>36</v>
      </c>
      <c r="Q631" s="3" t="s">
        <v>84</v>
      </c>
      <c r="R631">
        <v>2</v>
      </c>
      <c r="S631" s="5">
        <v>45911</v>
      </c>
      <c r="T631" t="s">
        <v>38</v>
      </c>
      <c r="U631">
        <f t="shared" ca="1" si="54"/>
        <v>26</v>
      </c>
      <c r="V631" s="6">
        <f t="shared" ca="1" si="55"/>
        <v>46028</v>
      </c>
      <c r="W631" s="6">
        <f t="shared" ca="1" si="56"/>
        <v>46034</v>
      </c>
      <c r="X631" t="str">
        <f t="shared" ca="1" si="57"/>
        <v>Jan 6 to Jan 12</v>
      </c>
      <c r="Y631" t="str">
        <f t="shared" ca="1" si="58"/>
        <v>⚪ SCHEDULED</v>
      </c>
      <c r="Z631" t="str">
        <f t="shared" ca="1" si="59"/>
        <v>No action needed yet</v>
      </c>
    </row>
    <row r="632" spans="1:26">
      <c r="A632">
        <v>1028410049</v>
      </c>
      <c r="B632" s="3" t="s">
        <v>1942</v>
      </c>
      <c r="C632">
        <v>77</v>
      </c>
      <c r="D632" t="s">
        <v>27</v>
      </c>
      <c r="E632" t="s">
        <v>28</v>
      </c>
      <c r="F632" t="s">
        <v>29</v>
      </c>
      <c r="G632" t="s">
        <v>28</v>
      </c>
      <c r="H632">
        <v>6</v>
      </c>
      <c r="I632" t="s">
        <v>30</v>
      </c>
      <c r="J632" t="s">
        <v>1943</v>
      </c>
      <c r="K632" t="s">
        <v>1944</v>
      </c>
      <c r="L632" t="s">
        <v>744</v>
      </c>
      <c r="M632" s="4" t="s">
        <v>34</v>
      </c>
      <c r="N632" t="s">
        <v>70</v>
      </c>
      <c r="P632" s="3" t="s">
        <v>36</v>
      </c>
      <c r="Q632" s="3" t="s">
        <v>90</v>
      </c>
      <c r="R632">
        <v>2</v>
      </c>
      <c r="S632" s="5">
        <v>45665</v>
      </c>
      <c r="T632" t="s">
        <v>38</v>
      </c>
      <c r="U632">
        <f t="shared" ca="1" si="54"/>
        <v>20</v>
      </c>
      <c r="V632" s="6">
        <f t="shared" ca="1" si="55"/>
        <v>46022</v>
      </c>
      <c r="W632" s="6">
        <f t="shared" ca="1" si="56"/>
        <v>46028</v>
      </c>
      <c r="X632" t="str">
        <f t="shared" ca="1" si="57"/>
        <v>Dec 31 to Jan 6</v>
      </c>
      <c r="Y632" t="str">
        <f t="shared" ca="1" si="58"/>
        <v>⚪ SCHEDULED</v>
      </c>
      <c r="Z632" t="str">
        <f t="shared" ca="1" si="59"/>
        <v>No action needed yet</v>
      </c>
    </row>
    <row r="633" spans="1:26">
      <c r="A633">
        <v>1028410056</v>
      </c>
      <c r="B633" s="3" t="s">
        <v>1945</v>
      </c>
      <c r="C633">
        <v>50</v>
      </c>
      <c r="D633" t="s">
        <v>47</v>
      </c>
      <c r="E633" t="s">
        <v>28</v>
      </c>
      <c r="F633" t="s">
        <v>29</v>
      </c>
      <c r="G633" t="s">
        <v>28</v>
      </c>
      <c r="H633">
        <v>4</v>
      </c>
      <c r="I633" t="s">
        <v>66</v>
      </c>
      <c r="J633" t="s">
        <v>1946</v>
      </c>
      <c r="K633" t="s">
        <v>1947</v>
      </c>
      <c r="L633" t="s">
        <v>166</v>
      </c>
      <c r="M633" s="4" t="s">
        <v>34</v>
      </c>
      <c r="N633" t="s">
        <v>70</v>
      </c>
      <c r="P633" s="3" t="s">
        <v>36</v>
      </c>
      <c r="Q633" s="3" t="s">
        <v>90</v>
      </c>
      <c r="R633">
        <v>2</v>
      </c>
      <c r="S633" s="5">
        <v>45402</v>
      </c>
      <c r="T633" t="s">
        <v>38</v>
      </c>
      <c r="U633">
        <f t="shared" ca="1" si="54"/>
        <v>27</v>
      </c>
      <c r="V633" s="6">
        <f t="shared" ca="1" si="55"/>
        <v>46029</v>
      </c>
      <c r="W633" s="6">
        <f t="shared" ca="1" si="56"/>
        <v>46035</v>
      </c>
      <c r="X633" t="str">
        <f t="shared" ca="1" si="57"/>
        <v>Jan 7 to Jan 13</v>
      </c>
      <c r="Y633" t="str">
        <f t="shared" ca="1" si="58"/>
        <v>⚪ SCHEDULED</v>
      </c>
      <c r="Z633" t="str">
        <f t="shared" ca="1" si="59"/>
        <v>No action needed yet</v>
      </c>
    </row>
    <row r="634" spans="1:26">
      <c r="A634">
        <v>1028471884</v>
      </c>
      <c r="B634" s="3" t="s">
        <v>1948</v>
      </c>
      <c r="C634">
        <v>55</v>
      </c>
      <c r="D634" t="s">
        <v>27</v>
      </c>
      <c r="E634" t="s">
        <v>29</v>
      </c>
      <c r="F634" t="s">
        <v>29</v>
      </c>
      <c r="G634" t="s">
        <v>29</v>
      </c>
      <c r="H634">
        <v>5</v>
      </c>
      <c r="I634" t="s">
        <v>30</v>
      </c>
      <c r="J634" t="s">
        <v>1949</v>
      </c>
      <c r="K634" t="s">
        <v>1950</v>
      </c>
      <c r="L634" t="s">
        <v>269</v>
      </c>
      <c r="M634" s="4" t="s">
        <v>43</v>
      </c>
      <c r="N634" t="s">
        <v>201</v>
      </c>
      <c r="P634" s="3" t="s">
        <v>36</v>
      </c>
      <c r="Q634" s="3" t="s">
        <v>90</v>
      </c>
      <c r="R634">
        <v>1</v>
      </c>
      <c r="S634" s="5">
        <v>45892</v>
      </c>
      <c r="T634" t="s">
        <v>38</v>
      </c>
      <c r="U634">
        <f t="shared" ca="1" si="54"/>
        <v>7</v>
      </c>
      <c r="V634" s="6">
        <f t="shared" ca="1" si="55"/>
        <v>46009</v>
      </c>
      <c r="W634" s="6">
        <f t="shared" ca="1" si="56"/>
        <v>46015</v>
      </c>
      <c r="X634" t="str">
        <f t="shared" ca="1" si="57"/>
        <v>Dec 18 to Dec 24</v>
      </c>
      <c r="Y634" t="str">
        <f t="shared" ca="1" si="58"/>
        <v>🟢 THIS WEEK</v>
      </c>
      <c r="Z634" t="str">
        <f t="shared" ca="1" si="59"/>
        <v>Confirm appointment</v>
      </c>
    </row>
    <row r="635" spans="1:26">
      <c r="A635">
        <v>1028613592</v>
      </c>
      <c r="B635" s="3" t="s">
        <v>1951</v>
      </c>
      <c r="C635">
        <v>58</v>
      </c>
      <c r="D635" t="s">
        <v>47</v>
      </c>
      <c r="E635" t="s">
        <v>29</v>
      </c>
      <c r="F635" t="s">
        <v>28</v>
      </c>
      <c r="G635" t="s">
        <v>29</v>
      </c>
      <c r="H635">
        <v>5</v>
      </c>
      <c r="I635" t="s">
        <v>30</v>
      </c>
      <c r="J635" t="s">
        <v>1952</v>
      </c>
      <c r="K635" t="s">
        <v>1953</v>
      </c>
      <c r="L635" t="s">
        <v>234</v>
      </c>
      <c r="M635" s="4" t="s">
        <v>94</v>
      </c>
      <c r="N635" t="s">
        <v>51</v>
      </c>
      <c r="P635" s="3" t="s">
        <v>36</v>
      </c>
      <c r="Q635" s="3" t="s">
        <v>84</v>
      </c>
      <c r="R635">
        <v>1</v>
      </c>
      <c r="S635" s="5">
        <v>45947</v>
      </c>
      <c r="T635" t="s">
        <v>38</v>
      </c>
      <c r="U635">
        <f t="shared" ca="1" si="54"/>
        <v>2</v>
      </c>
      <c r="V635" s="6">
        <f t="shared" ca="1" si="55"/>
        <v>46004</v>
      </c>
      <c r="W635" s="6">
        <f t="shared" ca="1" si="56"/>
        <v>46010</v>
      </c>
      <c r="X635" t="str">
        <f t="shared" ca="1" si="57"/>
        <v>Dec 13 to Dec 19</v>
      </c>
      <c r="Y635" t="str">
        <f t="shared" ca="1" si="58"/>
        <v>🟡 IMMINENT (within 3 days)</v>
      </c>
      <c r="Z635" t="str">
        <f t="shared" ca="1" si="59"/>
        <v>Prepare medications TODAY</v>
      </c>
    </row>
    <row r="636" spans="1:26">
      <c r="A636">
        <v>1028653614</v>
      </c>
      <c r="B636" s="3" t="s">
        <v>1954</v>
      </c>
      <c r="C636">
        <v>60</v>
      </c>
      <c r="D636" t="s">
        <v>27</v>
      </c>
      <c r="E636" t="s">
        <v>29</v>
      </c>
      <c r="F636" t="s">
        <v>28</v>
      </c>
      <c r="G636" t="s">
        <v>28</v>
      </c>
      <c r="H636">
        <v>5</v>
      </c>
      <c r="I636" t="s">
        <v>30</v>
      </c>
      <c r="J636" t="s">
        <v>1955</v>
      </c>
      <c r="K636" t="s">
        <v>1956</v>
      </c>
      <c r="L636" t="s">
        <v>200</v>
      </c>
      <c r="M636" s="4" t="s">
        <v>43</v>
      </c>
      <c r="N636" t="s">
        <v>162</v>
      </c>
      <c r="P636" s="3" t="s">
        <v>36</v>
      </c>
      <c r="Q636" s="3" t="s">
        <v>1957</v>
      </c>
      <c r="R636">
        <v>2</v>
      </c>
      <c r="S636" s="5">
        <v>45903</v>
      </c>
      <c r="T636" t="s">
        <v>38</v>
      </c>
      <c r="U636">
        <f t="shared" ca="1" si="54"/>
        <v>18</v>
      </c>
      <c r="V636" s="6">
        <f t="shared" ca="1" si="55"/>
        <v>46020</v>
      </c>
      <c r="W636" s="6">
        <f t="shared" ca="1" si="56"/>
        <v>46026</v>
      </c>
      <c r="X636" t="str">
        <f t="shared" ca="1" si="57"/>
        <v>Dec 29 to Jan 4</v>
      </c>
      <c r="Y636" t="str">
        <f t="shared" ca="1" si="58"/>
        <v>⚪ SCHEDULED</v>
      </c>
      <c r="Z636" t="str">
        <f t="shared" ca="1" si="59"/>
        <v>No action needed yet</v>
      </c>
    </row>
    <row r="637" spans="1:26">
      <c r="A637">
        <v>1028680955</v>
      </c>
      <c r="B637" s="3" t="s">
        <v>1958</v>
      </c>
      <c r="C637">
        <v>64</v>
      </c>
      <c r="D637" t="s">
        <v>47</v>
      </c>
      <c r="E637" t="s">
        <v>29</v>
      </c>
      <c r="F637" t="s">
        <v>28</v>
      </c>
      <c r="G637" t="s">
        <v>28</v>
      </c>
      <c r="H637">
        <v>5</v>
      </c>
      <c r="I637" t="s">
        <v>30</v>
      </c>
      <c r="J637" t="s">
        <v>1959</v>
      </c>
      <c r="K637" t="s">
        <v>1960</v>
      </c>
      <c r="M637" s="4" t="s">
        <v>34</v>
      </c>
      <c r="N637" t="s">
        <v>148</v>
      </c>
      <c r="P637" s="3" t="s">
        <v>36</v>
      </c>
      <c r="Q637" s="3" t="s">
        <v>107</v>
      </c>
      <c r="R637">
        <v>1</v>
      </c>
      <c r="S637" s="5">
        <v>45814</v>
      </c>
      <c r="T637" t="s">
        <v>38</v>
      </c>
      <c r="U637">
        <f t="shared" ca="1" si="54"/>
        <v>19</v>
      </c>
      <c r="V637" s="6">
        <f t="shared" ca="1" si="55"/>
        <v>46021</v>
      </c>
      <c r="W637" s="6">
        <f t="shared" ca="1" si="56"/>
        <v>46027</v>
      </c>
      <c r="X637" t="str">
        <f t="shared" ca="1" si="57"/>
        <v>Dec 30 to Jan 5</v>
      </c>
      <c r="Y637" t="str">
        <f t="shared" ca="1" si="58"/>
        <v>⚪ SCHEDULED</v>
      </c>
      <c r="Z637" t="str">
        <f t="shared" ca="1" si="59"/>
        <v>No action needed yet</v>
      </c>
    </row>
    <row r="638" spans="1:26">
      <c r="A638">
        <v>1028694121</v>
      </c>
      <c r="B638" s="3" t="s">
        <v>1961</v>
      </c>
      <c r="C638">
        <v>65</v>
      </c>
      <c r="D638" t="s">
        <v>47</v>
      </c>
      <c r="E638" t="s">
        <v>29</v>
      </c>
      <c r="F638" t="s">
        <v>28</v>
      </c>
      <c r="G638" t="s">
        <v>29</v>
      </c>
      <c r="H638">
        <v>5</v>
      </c>
      <c r="I638" t="s">
        <v>30</v>
      </c>
      <c r="J638" t="s">
        <v>841</v>
      </c>
      <c r="K638" t="s">
        <v>1962</v>
      </c>
      <c r="M638" s="4" t="s">
        <v>94</v>
      </c>
      <c r="N638" t="s">
        <v>95</v>
      </c>
      <c r="P638" s="3" t="s">
        <v>36</v>
      </c>
      <c r="Q638" s="3" t="s">
        <v>84</v>
      </c>
      <c r="R638">
        <v>1</v>
      </c>
      <c r="S638" s="5">
        <v>45940</v>
      </c>
      <c r="T638" t="s">
        <v>38</v>
      </c>
      <c r="U638">
        <f t="shared" ca="1" si="54"/>
        <v>25</v>
      </c>
      <c r="V638" s="6">
        <f t="shared" ca="1" si="55"/>
        <v>46027</v>
      </c>
      <c r="W638" s="6">
        <f t="shared" ca="1" si="56"/>
        <v>46033</v>
      </c>
      <c r="X638" t="str">
        <f t="shared" ca="1" si="57"/>
        <v>Jan 5 to Jan 11</v>
      </c>
      <c r="Y638" t="str">
        <f t="shared" ca="1" si="58"/>
        <v>⚪ SCHEDULED</v>
      </c>
      <c r="Z638" t="str">
        <f t="shared" ca="1" si="59"/>
        <v>No action needed yet</v>
      </c>
    </row>
    <row r="639" spans="1:26">
      <c r="A639">
        <v>1028704649</v>
      </c>
      <c r="B639" s="3" t="s">
        <v>1963</v>
      </c>
      <c r="C639">
        <v>76</v>
      </c>
      <c r="D639" t="s">
        <v>27</v>
      </c>
      <c r="E639" t="s">
        <v>29</v>
      </c>
      <c r="F639" t="s">
        <v>28</v>
      </c>
      <c r="G639" t="s">
        <v>29</v>
      </c>
      <c r="H639">
        <v>6</v>
      </c>
      <c r="I639" t="s">
        <v>30</v>
      </c>
      <c r="J639" t="s">
        <v>1964</v>
      </c>
      <c r="K639" t="s">
        <v>1965</v>
      </c>
      <c r="L639" t="s">
        <v>234</v>
      </c>
      <c r="M639" s="4" t="s">
        <v>43</v>
      </c>
      <c r="N639" t="s">
        <v>51</v>
      </c>
      <c r="P639" s="3" t="s">
        <v>36</v>
      </c>
      <c r="Q639" s="3" t="s">
        <v>84</v>
      </c>
      <c r="R639">
        <v>1</v>
      </c>
      <c r="S639" s="5">
        <v>45856</v>
      </c>
      <c r="T639" t="s">
        <v>38</v>
      </c>
      <c r="U639">
        <f t="shared" ca="1" si="54"/>
        <v>1</v>
      </c>
      <c r="V639" s="6">
        <f t="shared" ca="1" si="55"/>
        <v>46003</v>
      </c>
      <c r="W639" s="6">
        <f t="shared" ca="1" si="56"/>
        <v>46009</v>
      </c>
      <c r="X639" t="str">
        <f t="shared" ca="1" si="57"/>
        <v>Dec 12 to Dec 18</v>
      </c>
      <c r="Y639" t="str">
        <f t="shared" ca="1" si="58"/>
        <v>🟡 IMMINENT (within 3 days)</v>
      </c>
      <c r="Z639" t="str">
        <f t="shared" ca="1" si="59"/>
        <v>Prepare medications TODAY</v>
      </c>
    </row>
    <row r="640" spans="1:26">
      <c r="A640">
        <v>1028750246</v>
      </c>
      <c r="B640" s="3" t="s">
        <v>1966</v>
      </c>
      <c r="C640">
        <v>74</v>
      </c>
      <c r="D640" t="s">
        <v>47</v>
      </c>
      <c r="E640" t="s">
        <v>29</v>
      </c>
      <c r="F640" t="s">
        <v>29</v>
      </c>
      <c r="G640" t="s">
        <v>29</v>
      </c>
      <c r="H640">
        <v>7</v>
      </c>
      <c r="I640" t="s">
        <v>30</v>
      </c>
      <c r="J640" t="s">
        <v>1967</v>
      </c>
      <c r="K640" t="s">
        <v>1968</v>
      </c>
      <c r="L640" t="s">
        <v>968</v>
      </c>
      <c r="M640" s="4" t="s">
        <v>94</v>
      </c>
      <c r="N640" t="s">
        <v>201</v>
      </c>
      <c r="P640" s="3" t="s">
        <v>36</v>
      </c>
      <c r="Q640" s="3" t="s">
        <v>573</v>
      </c>
      <c r="R640">
        <v>2</v>
      </c>
      <c r="S640" s="5">
        <v>45958</v>
      </c>
      <c r="T640" t="s">
        <v>38</v>
      </c>
      <c r="U640">
        <f t="shared" ca="1" si="54"/>
        <v>13</v>
      </c>
      <c r="V640" s="6">
        <f t="shared" ca="1" si="55"/>
        <v>46015</v>
      </c>
      <c r="W640" s="6">
        <f t="shared" ca="1" si="56"/>
        <v>46021</v>
      </c>
      <c r="X640" t="str">
        <f t="shared" ca="1" si="57"/>
        <v>Dec 24 to Dec 30</v>
      </c>
      <c r="Y640" t="str">
        <f t="shared" ca="1" si="58"/>
        <v>🔵 NEXT 2 WEEKS</v>
      </c>
      <c r="Z640" t="str">
        <f t="shared" ca="1" si="59"/>
        <v>Send reminder SMS</v>
      </c>
    </row>
    <row r="641" spans="1:26">
      <c r="A641">
        <v>1028765061</v>
      </c>
      <c r="B641" s="3" t="s">
        <v>1969</v>
      </c>
      <c r="C641">
        <v>55</v>
      </c>
      <c r="D641" t="s">
        <v>27</v>
      </c>
      <c r="E641" t="s">
        <v>54</v>
      </c>
      <c r="F641" t="s">
        <v>54</v>
      </c>
      <c r="G641" t="s">
        <v>54</v>
      </c>
      <c r="H641">
        <v>2</v>
      </c>
      <c r="I641" t="s">
        <v>55</v>
      </c>
      <c r="J641" t="s">
        <v>1970</v>
      </c>
      <c r="K641" t="s">
        <v>1971</v>
      </c>
      <c r="L641" t="s">
        <v>234</v>
      </c>
      <c r="M641" s="4" t="s">
        <v>34</v>
      </c>
      <c r="N641" t="s">
        <v>59</v>
      </c>
      <c r="P641" s="3" t="s">
        <v>36</v>
      </c>
      <c r="Q641" s="3" t="s">
        <v>77</v>
      </c>
      <c r="R641">
        <v>2</v>
      </c>
      <c r="S641" s="5">
        <v>45703</v>
      </c>
      <c r="T641" t="s">
        <v>60</v>
      </c>
      <c r="U641">
        <f t="shared" ca="1" si="54"/>
        <v>58</v>
      </c>
      <c r="V641" s="6">
        <f t="shared" ca="1" si="55"/>
        <v>46060</v>
      </c>
      <c r="W641" s="6">
        <f t="shared" ca="1" si="56"/>
        <v>46066</v>
      </c>
      <c r="X641" t="str">
        <f t="shared" ca="1" si="57"/>
        <v>Feb 7 to Feb 13</v>
      </c>
      <c r="Y641" t="str">
        <f t="shared" ca="1" si="58"/>
        <v>⚪ SCHEDULED</v>
      </c>
      <c r="Z641" t="str">
        <f t="shared" ca="1" si="59"/>
        <v>No action needed yet</v>
      </c>
    </row>
    <row r="642" spans="1:26">
      <c r="A642">
        <v>1028959987</v>
      </c>
      <c r="B642" s="3" t="s">
        <v>1972</v>
      </c>
      <c r="C642">
        <v>48</v>
      </c>
      <c r="D642" t="s">
        <v>47</v>
      </c>
      <c r="E642" t="s">
        <v>28</v>
      </c>
      <c r="F642" t="s">
        <v>28</v>
      </c>
      <c r="G642" t="s">
        <v>28</v>
      </c>
      <c r="H642">
        <v>1</v>
      </c>
      <c r="I642" t="s">
        <v>55</v>
      </c>
      <c r="J642" t="s">
        <v>1973</v>
      </c>
      <c r="K642" t="s">
        <v>1974</v>
      </c>
      <c r="M642" s="4" t="s">
        <v>34</v>
      </c>
      <c r="N642" t="s">
        <v>59</v>
      </c>
      <c r="P642" s="3" t="s">
        <v>36</v>
      </c>
      <c r="Q642" s="3" t="s">
        <v>1566</v>
      </c>
      <c r="R642">
        <v>2</v>
      </c>
      <c r="S642" s="5">
        <v>45843</v>
      </c>
      <c r="T642" t="s">
        <v>393</v>
      </c>
      <c r="U642">
        <f t="shared" ref="U642:U705" ca="1" si="60">IF(S642&gt;=TODAY(),S642,S642+CEILING((TODAY()-S642)/IF(T642="Monthly",30,IF(T642="Bi-Monthly",60,90)),1)*IF(T642="Monthly",30,IF(T642="Bi-Monthly",60,90)))-TODAY()</f>
        <v>18</v>
      </c>
      <c r="V642" s="6">
        <f t="shared" ref="V642:V705" ca="1" si="61">IF(S642&gt;=TODAY(),S642,S642+CEILING((TODAY()-S642)/IF(T642="Monthly",30,IF(T642="Bi-Monthly",60,90)),1)*IF(T642="Monthly",30,IF(T642="Bi-Monthly",60,90)))-3</f>
        <v>46020</v>
      </c>
      <c r="W642" s="6">
        <f t="shared" ref="W642:W705" ca="1" si="62">IF(S642&gt;=TODAY(),S642,S642+CEILING((TODAY()-S642)/IF(T642="Monthly",30,IF(T642="Bi-Monthly",60,90)),1)*IF(T642="Monthly",30,IF(T642="Bi-Monthly",60,90)))+3</f>
        <v>46026</v>
      </c>
      <c r="X642" t="str">
        <f t="shared" ref="X642:X705" ca="1" si="63">TEXT(V642,"MMM D")&amp;" to "&amp;TEXT(W642,"MMM D")</f>
        <v>Dec 29 to Jan 4</v>
      </c>
      <c r="Y642" t="str">
        <f t="shared" ref="Y642:Y705" ca="1" si="64">IF(U642&lt;=3,"🟡 IMMINENT (within 3 days)",IF(U642&lt;=7,"🟢 THIS WEEK",IF(U642&lt;=14,"🔵 NEXT 2 WEEKS","⚪ SCHEDULED")))</f>
        <v>⚪ SCHEDULED</v>
      </c>
      <c r="Z642" t="str">
        <f t="shared" ref="Z642:Z705" ca="1" si="65">IF(U642&lt;=3,"Prepare medications TODAY",IF(U642&lt;=7,"Confirm appointment",IF(U642&lt;=14,"Send reminder SMS","No action needed yet")))</f>
        <v>No action needed yet</v>
      </c>
    </row>
    <row r="643" spans="1:26">
      <c r="A643">
        <v>1029196365</v>
      </c>
      <c r="B643" s="3" t="s">
        <v>1975</v>
      </c>
      <c r="C643">
        <v>65</v>
      </c>
      <c r="D643" t="s">
        <v>47</v>
      </c>
      <c r="E643" t="s">
        <v>28</v>
      </c>
      <c r="F643" t="s">
        <v>29</v>
      </c>
      <c r="G643" t="s">
        <v>28</v>
      </c>
      <c r="H643">
        <v>4</v>
      </c>
      <c r="I643" t="s">
        <v>66</v>
      </c>
      <c r="J643" t="s">
        <v>1976</v>
      </c>
      <c r="K643" t="s">
        <v>1977</v>
      </c>
      <c r="L643" t="s">
        <v>1762</v>
      </c>
      <c r="M643" s="4" t="s">
        <v>94</v>
      </c>
      <c r="N643" t="s">
        <v>70</v>
      </c>
      <c r="P643" s="3" t="s">
        <v>36</v>
      </c>
      <c r="Q643" s="3" t="s">
        <v>1978</v>
      </c>
      <c r="R643">
        <v>2</v>
      </c>
      <c r="S643" s="5">
        <v>45959</v>
      </c>
      <c r="T643" t="s">
        <v>38</v>
      </c>
      <c r="U643">
        <f t="shared" ca="1" si="60"/>
        <v>14</v>
      </c>
      <c r="V643" s="6">
        <f t="shared" ca="1" si="61"/>
        <v>46016</v>
      </c>
      <c r="W643" s="6">
        <f t="shared" ca="1" si="62"/>
        <v>46022</v>
      </c>
      <c r="X643" t="str">
        <f t="shared" ca="1" si="63"/>
        <v>Dec 25 to Dec 31</v>
      </c>
      <c r="Y643" t="str">
        <f t="shared" ca="1" si="64"/>
        <v>🔵 NEXT 2 WEEKS</v>
      </c>
      <c r="Z643" t="str">
        <f t="shared" ca="1" si="65"/>
        <v>Send reminder SMS</v>
      </c>
    </row>
    <row r="644" spans="1:26">
      <c r="A644">
        <v>1029220355</v>
      </c>
      <c r="B644" s="3" t="s">
        <v>1979</v>
      </c>
      <c r="C644">
        <v>66</v>
      </c>
      <c r="D644" t="s">
        <v>47</v>
      </c>
      <c r="E644" t="s">
        <v>54</v>
      </c>
      <c r="F644" t="s">
        <v>54</v>
      </c>
      <c r="G644" t="s">
        <v>54</v>
      </c>
      <c r="H644">
        <v>3</v>
      </c>
      <c r="I644" t="s">
        <v>66</v>
      </c>
      <c r="J644" t="s">
        <v>1980</v>
      </c>
      <c r="K644" t="s">
        <v>1981</v>
      </c>
      <c r="L644" t="s">
        <v>269</v>
      </c>
      <c r="M644" s="4" t="s">
        <v>43</v>
      </c>
      <c r="N644" t="s">
        <v>59</v>
      </c>
      <c r="P644" s="3" t="s">
        <v>36</v>
      </c>
      <c r="Q644" s="3" t="s">
        <v>107</v>
      </c>
      <c r="R644">
        <v>1</v>
      </c>
      <c r="S644" s="5">
        <v>45854</v>
      </c>
      <c r="T644" t="s">
        <v>38</v>
      </c>
      <c r="U644">
        <f t="shared" ca="1" si="60"/>
        <v>29</v>
      </c>
      <c r="V644" s="6">
        <f t="shared" ca="1" si="61"/>
        <v>46031</v>
      </c>
      <c r="W644" s="6">
        <f t="shared" ca="1" si="62"/>
        <v>46037</v>
      </c>
      <c r="X644" t="str">
        <f t="shared" ca="1" si="63"/>
        <v>Jan 9 to Jan 15</v>
      </c>
      <c r="Y644" t="str">
        <f t="shared" ca="1" si="64"/>
        <v>⚪ SCHEDULED</v>
      </c>
      <c r="Z644" t="str">
        <f t="shared" ca="1" si="65"/>
        <v>No action needed yet</v>
      </c>
    </row>
    <row r="645" spans="1:26">
      <c r="A645">
        <v>1029387816</v>
      </c>
      <c r="B645" s="3" t="s">
        <v>1982</v>
      </c>
      <c r="C645">
        <v>49</v>
      </c>
      <c r="D645" t="s">
        <v>27</v>
      </c>
      <c r="E645" t="s">
        <v>28</v>
      </c>
      <c r="F645" t="s">
        <v>28</v>
      </c>
      <c r="G645" t="s">
        <v>28</v>
      </c>
      <c r="H645">
        <v>2</v>
      </c>
      <c r="I645" t="s">
        <v>55</v>
      </c>
      <c r="J645" t="s">
        <v>367</v>
      </c>
      <c r="K645" t="s">
        <v>1983</v>
      </c>
      <c r="M645" s="4" t="s">
        <v>94</v>
      </c>
      <c r="N645" t="s">
        <v>59</v>
      </c>
      <c r="P645" s="3" t="s">
        <v>36</v>
      </c>
      <c r="Q645" s="3" t="s">
        <v>175</v>
      </c>
      <c r="R645">
        <v>2</v>
      </c>
      <c r="S645" s="5">
        <v>45971</v>
      </c>
      <c r="T645" t="s">
        <v>60</v>
      </c>
      <c r="U645">
        <f t="shared" ca="1" si="60"/>
        <v>26</v>
      </c>
      <c r="V645" s="6">
        <f t="shared" ca="1" si="61"/>
        <v>46028</v>
      </c>
      <c r="W645" s="6">
        <f t="shared" ca="1" si="62"/>
        <v>46034</v>
      </c>
      <c r="X645" t="str">
        <f t="shared" ca="1" si="63"/>
        <v>Jan 6 to Jan 12</v>
      </c>
      <c r="Y645" t="str">
        <f t="shared" ca="1" si="64"/>
        <v>⚪ SCHEDULED</v>
      </c>
      <c r="Z645" t="str">
        <f t="shared" ca="1" si="65"/>
        <v>No action needed yet</v>
      </c>
    </row>
    <row r="646" spans="1:26">
      <c r="A646">
        <v>1029440193</v>
      </c>
      <c r="B646" s="3" t="s">
        <v>1984</v>
      </c>
      <c r="C646">
        <v>64</v>
      </c>
      <c r="D646" t="s">
        <v>47</v>
      </c>
      <c r="E646" t="s">
        <v>29</v>
      </c>
      <c r="F646" t="s">
        <v>28</v>
      </c>
      <c r="G646" t="s">
        <v>28</v>
      </c>
      <c r="H646">
        <v>5</v>
      </c>
      <c r="I646" t="s">
        <v>30</v>
      </c>
      <c r="J646" t="s">
        <v>1985</v>
      </c>
      <c r="K646" t="s">
        <v>1986</v>
      </c>
      <c r="M646" s="4" t="s">
        <v>34</v>
      </c>
      <c r="N646" t="s">
        <v>148</v>
      </c>
      <c r="P646" s="3" t="s">
        <v>36</v>
      </c>
      <c r="Q646" s="3" t="s">
        <v>90</v>
      </c>
      <c r="R646">
        <v>2</v>
      </c>
      <c r="S646" s="5">
        <v>45675</v>
      </c>
      <c r="T646" t="s">
        <v>38</v>
      </c>
      <c r="U646">
        <f t="shared" ca="1" si="60"/>
        <v>0</v>
      </c>
      <c r="V646" s="6">
        <f t="shared" ca="1" si="61"/>
        <v>46002</v>
      </c>
      <c r="W646" s="6">
        <f t="shared" ca="1" si="62"/>
        <v>46008</v>
      </c>
      <c r="X646" t="str">
        <f t="shared" ca="1" si="63"/>
        <v>Dec 11 to Dec 17</v>
      </c>
      <c r="Y646" t="str">
        <f t="shared" ca="1" si="64"/>
        <v>🟡 IMMINENT (within 3 days)</v>
      </c>
      <c r="Z646" t="str">
        <f t="shared" ca="1" si="65"/>
        <v>Prepare medications TODAY</v>
      </c>
    </row>
    <row r="647" spans="1:26">
      <c r="A647">
        <v>1029521950</v>
      </c>
      <c r="B647" s="3" t="s">
        <v>1987</v>
      </c>
      <c r="C647">
        <v>61</v>
      </c>
      <c r="D647" t="s">
        <v>47</v>
      </c>
      <c r="E647" t="s">
        <v>29</v>
      </c>
      <c r="F647" t="s">
        <v>29</v>
      </c>
      <c r="G647" t="s">
        <v>29</v>
      </c>
      <c r="H647">
        <v>7</v>
      </c>
      <c r="I647" t="s">
        <v>30</v>
      </c>
      <c r="J647" t="s">
        <v>1988</v>
      </c>
      <c r="K647" t="s">
        <v>1989</v>
      </c>
      <c r="L647" t="s">
        <v>105</v>
      </c>
      <c r="M647" s="4" t="s">
        <v>94</v>
      </c>
      <c r="N647" t="s">
        <v>171</v>
      </c>
      <c r="P647" s="3" t="s">
        <v>36</v>
      </c>
      <c r="Q647" s="3" t="s">
        <v>96</v>
      </c>
      <c r="R647">
        <v>2</v>
      </c>
      <c r="S647" s="5">
        <v>45959</v>
      </c>
      <c r="T647" t="s">
        <v>38</v>
      </c>
      <c r="U647">
        <f t="shared" ca="1" si="60"/>
        <v>14</v>
      </c>
      <c r="V647" s="6">
        <f t="shared" ca="1" si="61"/>
        <v>46016</v>
      </c>
      <c r="W647" s="6">
        <f t="shared" ca="1" si="62"/>
        <v>46022</v>
      </c>
      <c r="X647" t="str">
        <f t="shared" ca="1" si="63"/>
        <v>Dec 25 to Dec 31</v>
      </c>
      <c r="Y647" t="str">
        <f t="shared" ca="1" si="64"/>
        <v>🔵 NEXT 2 WEEKS</v>
      </c>
      <c r="Z647" t="str">
        <f t="shared" ca="1" si="65"/>
        <v>Send reminder SMS</v>
      </c>
    </row>
    <row r="648" spans="1:26">
      <c r="A648">
        <v>1029603287</v>
      </c>
      <c r="B648" s="3" t="s">
        <v>1990</v>
      </c>
      <c r="C648">
        <v>68</v>
      </c>
      <c r="D648" t="s">
        <v>47</v>
      </c>
      <c r="E648" t="s">
        <v>29</v>
      </c>
      <c r="F648" t="s">
        <v>29</v>
      </c>
      <c r="G648" t="s">
        <v>29</v>
      </c>
      <c r="H648">
        <v>6</v>
      </c>
      <c r="I648" t="s">
        <v>30</v>
      </c>
      <c r="J648" t="s">
        <v>253</v>
      </c>
      <c r="K648" t="s">
        <v>1991</v>
      </c>
      <c r="L648" t="s">
        <v>33</v>
      </c>
      <c r="M648" s="4" t="s">
        <v>94</v>
      </c>
      <c r="N648" t="s">
        <v>44</v>
      </c>
      <c r="P648" s="3" t="s">
        <v>36</v>
      </c>
      <c r="Q648" t="s">
        <v>54</v>
      </c>
      <c r="R648">
        <v>2</v>
      </c>
      <c r="S648" s="5">
        <v>45960</v>
      </c>
      <c r="T648" t="s">
        <v>38</v>
      </c>
      <c r="U648">
        <f t="shared" ca="1" si="60"/>
        <v>15</v>
      </c>
      <c r="V648" s="6">
        <f t="shared" ca="1" si="61"/>
        <v>46017</v>
      </c>
      <c r="W648" s="6">
        <f t="shared" ca="1" si="62"/>
        <v>46023</v>
      </c>
      <c r="X648" t="str">
        <f t="shared" ca="1" si="63"/>
        <v>Dec 26 to Jan 1</v>
      </c>
      <c r="Y648" t="str">
        <f t="shared" ca="1" si="64"/>
        <v>⚪ SCHEDULED</v>
      </c>
      <c r="Z648" t="str">
        <f t="shared" ca="1" si="65"/>
        <v>No action needed yet</v>
      </c>
    </row>
    <row r="649" spans="1:26">
      <c r="A649">
        <v>1029753611</v>
      </c>
      <c r="B649" s="3" t="s">
        <v>1992</v>
      </c>
      <c r="C649">
        <v>68</v>
      </c>
      <c r="D649" t="s">
        <v>27</v>
      </c>
      <c r="E649" t="s">
        <v>28</v>
      </c>
      <c r="F649" t="s">
        <v>28</v>
      </c>
      <c r="G649" t="s">
        <v>29</v>
      </c>
      <c r="H649">
        <v>4</v>
      </c>
      <c r="I649" t="s">
        <v>66</v>
      </c>
      <c r="J649" t="s">
        <v>686</v>
      </c>
      <c r="K649" t="s">
        <v>1993</v>
      </c>
      <c r="L649" t="s">
        <v>33</v>
      </c>
      <c r="M649" s="4" t="s">
        <v>94</v>
      </c>
      <c r="N649" t="s">
        <v>794</v>
      </c>
      <c r="P649" s="3" t="s">
        <v>36</v>
      </c>
      <c r="Q649" s="3" t="s">
        <v>84</v>
      </c>
      <c r="R649">
        <v>2</v>
      </c>
      <c r="S649" s="5">
        <v>45952</v>
      </c>
      <c r="T649" t="s">
        <v>38</v>
      </c>
      <c r="U649">
        <f t="shared" ca="1" si="60"/>
        <v>7</v>
      </c>
      <c r="V649" s="6">
        <f t="shared" ca="1" si="61"/>
        <v>46009</v>
      </c>
      <c r="W649" s="6">
        <f t="shared" ca="1" si="62"/>
        <v>46015</v>
      </c>
      <c r="X649" t="str">
        <f t="shared" ca="1" si="63"/>
        <v>Dec 18 to Dec 24</v>
      </c>
      <c r="Y649" t="str">
        <f t="shared" ca="1" si="64"/>
        <v>🟢 THIS WEEK</v>
      </c>
      <c r="Z649" t="str">
        <f t="shared" ca="1" si="65"/>
        <v>Confirm appointment</v>
      </c>
    </row>
    <row r="650" spans="1:26">
      <c r="A650">
        <v>1029841598</v>
      </c>
      <c r="B650" s="3" t="s">
        <v>1994</v>
      </c>
      <c r="C650">
        <v>66</v>
      </c>
      <c r="D650" t="s">
        <v>47</v>
      </c>
      <c r="E650" t="s">
        <v>29</v>
      </c>
      <c r="F650" t="s">
        <v>28</v>
      </c>
      <c r="G650" t="s">
        <v>28</v>
      </c>
      <c r="H650">
        <v>4</v>
      </c>
      <c r="I650" t="s">
        <v>66</v>
      </c>
      <c r="J650" t="s">
        <v>168</v>
      </c>
      <c r="K650" t="s">
        <v>1536</v>
      </c>
      <c r="L650" t="s">
        <v>170</v>
      </c>
      <c r="M650" s="4" t="s">
        <v>94</v>
      </c>
      <c r="N650" t="s">
        <v>162</v>
      </c>
      <c r="P650" s="3" t="s">
        <v>36</v>
      </c>
      <c r="Q650" s="3" t="s">
        <v>175</v>
      </c>
      <c r="R650">
        <v>2</v>
      </c>
      <c r="S650" s="5">
        <v>45941</v>
      </c>
      <c r="T650" t="s">
        <v>38</v>
      </c>
      <c r="U650">
        <f t="shared" ca="1" si="60"/>
        <v>26</v>
      </c>
      <c r="V650" s="6">
        <f t="shared" ca="1" si="61"/>
        <v>46028</v>
      </c>
      <c r="W650" s="6">
        <f t="shared" ca="1" si="62"/>
        <v>46034</v>
      </c>
      <c r="X650" t="str">
        <f t="shared" ca="1" si="63"/>
        <v>Jan 6 to Jan 12</v>
      </c>
      <c r="Y650" t="str">
        <f t="shared" ca="1" si="64"/>
        <v>⚪ SCHEDULED</v>
      </c>
      <c r="Z650" t="str">
        <f t="shared" ca="1" si="65"/>
        <v>No action needed yet</v>
      </c>
    </row>
    <row r="651" spans="1:26">
      <c r="A651">
        <v>1029914635</v>
      </c>
      <c r="B651" s="3" t="s">
        <v>1995</v>
      </c>
      <c r="C651">
        <v>58</v>
      </c>
      <c r="D651" t="s">
        <v>27</v>
      </c>
      <c r="E651" t="s">
        <v>29</v>
      </c>
      <c r="F651" t="s">
        <v>28</v>
      </c>
      <c r="G651" t="s">
        <v>29</v>
      </c>
      <c r="H651">
        <v>5</v>
      </c>
      <c r="I651" t="s">
        <v>30</v>
      </c>
      <c r="J651" t="s">
        <v>1996</v>
      </c>
      <c r="K651" t="s">
        <v>1997</v>
      </c>
      <c r="L651" t="s">
        <v>170</v>
      </c>
      <c r="M651" s="4" t="s">
        <v>43</v>
      </c>
      <c r="N651" t="s">
        <v>182</v>
      </c>
      <c r="P651" s="3" t="s">
        <v>36</v>
      </c>
      <c r="Q651" s="3" t="s">
        <v>107</v>
      </c>
      <c r="R651">
        <v>2</v>
      </c>
      <c r="S651" s="5">
        <v>45884</v>
      </c>
      <c r="T651" t="s">
        <v>38</v>
      </c>
      <c r="U651">
        <f t="shared" ca="1" si="60"/>
        <v>29</v>
      </c>
      <c r="V651" s="6">
        <f t="shared" ca="1" si="61"/>
        <v>46031</v>
      </c>
      <c r="W651" s="6">
        <f t="shared" ca="1" si="62"/>
        <v>46037</v>
      </c>
      <c r="X651" t="str">
        <f t="shared" ca="1" si="63"/>
        <v>Jan 9 to Jan 15</v>
      </c>
      <c r="Y651" t="str">
        <f t="shared" ca="1" si="64"/>
        <v>⚪ SCHEDULED</v>
      </c>
      <c r="Z651" t="str">
        <f t="shared" ca="1" si="65"/>
        <v>No action needed yet</v>
      </c>
    </row>
    <row r="652" spans="1:26">
      <c r="A652">
        <v>1029984620</v>
      </c>
      <c r="B652" s="3" t="s">
        <v>1998</v>
      </c>
      <c r="C652">
        <v>57</v>
      </c>
      <c r="D652" t="s">
        <v>47</v>
      </c>
      <c r="E652" t="s">
        <v>29</v>
      </c>
      <c r="F652" t="s">
        <v>29</v>
      </c>
      <c r="G652" t="s">
        <v>29</v>
      </c>
      <c r="H652">
        <v>6</v>
      </c>
      <c r="I652" t="s">
        <v>30</v>
      </c>
      <c r="J652" t="s">
        <v>1999</v>
      </c>
      <c r="K652" t="s">
        <v>2000</v>
      </c>
      <c r="L652" t="s">
        <v>234</v>
      </c>
      <c r="M652" s="4" t="s">
        <v>34</v>
      </c>
      <c r="N652" t="s">
        <v>201</v>
      </c>
      <c r="P652" s="3" t="s">
        <v>36</v>
      </c>
      <c r="Q652" s="3" t="s">
        <v>45</v>
      </c>
      <c r="R652">
        <v>1</v>
      </c>
      <c r="S652" s="5">
        <v>45794</v>
      </c>
      <c r="T652" t="s">
        <v>38</v>
      </c>
      <c r="U652">
        <f t="shared" ca="1" si="60"/>
        <v>29</v>
      </c>
      <c r="V652" s="6">
        <f t="shared" ca="1" si="61"/>
        <v>46031</v>
      </c>
      <c r="W652" s="6">
        <f t="shared" ca="1" si="62"/>
        <v>46037</v>
      </c>
      <c r="X652" t="str">
        <f t="shared" ca="1" si="63"/>
        <v>Jan 9 to Jan 15</v>
      </c>
      <c r="Y652" t="str">
        <f t="shared" ca="1" si="64"/>
        <v>⚪ SCHEDULED</v>
      </c>
      <c r="Z652" t="str">
        <f t="shared" ca="1" si="65"/>
        <v>No action needed yet</v>
      </c>
    </row>
    <row r="653" spans="1:26">
      <c r="A653">
        <v>1030430720</v>
      </c>
      <c r="B653" s="3" t="s">
        <v>2001</v>
      </c>
      <c r="C653">
        <v>39</v>
      </c>
      <c r="D653" t="s">
        <v>27</v>
      </c>
      <c r="E653" t="s">
        <v>28</v>
      </c>
      <c r="F653" t="s">
        <v>28</v>
      </c>
      <c r="G653" t="s">
        <v>28</v>
      </c>
      <c r="H653">
        <v>0</v>
      </c>
      <c r="I653" t="s">
        <v>55</v>
      </c>
      <c r="J653" t="s">
        <v>2002</v>
      </c>
      <c r="K653" t="s">
        <v>2003</v>
      </c>
      <c r="L653" t="s">
        <v>170</v>
      </c>
      <c r="M653" s="4" t="s">
        <v>34</v>
      </c>
      <c r="N653" t="s">
        <v>59</v>
      </c>
      <c r="P653" s="3" t="s">
        <v>36</v>
      </c>
      <c r="Q653" s="3" t="s">
        <v>2004</v>
      </c>
      <c r="R653">
        <v>1</v>
      </c>
      <c r="S653" s="5">
        <v>45578</v>
      </c>
      <c r="T653" t="s">
        <v>393</v>
      </c>
      <c r="U653">
        <f t="shared" ca="1" si="60"/>
        <v>23</v>
      </c>
      <c r="V653" s="6">
        <f t="shared" ca="1" si="61"/>
        <v>46025</v>
      </c>
      <c r="W653" s="6">
        <f t="shared" ca="1" si="62"/>
        <v>46031</v>
      </c>
      <c r="X653" t="str">
        <f t="shared" ca="1" si="63"/>
        <v>Jan 3 to Jan 9</v>
      </c>
      <c r="Y653" t="str">
        <f t="shared" ca="1" si="64"/>
        <v>⚪ SCHEDULED</v>
      </c>
      <c r="Z653" t="str">
        <f t="shared" ca="1" si="65"/>
        <v>No action needed yet</v>
      </c>
    </row>
    <row r="654" spans="1:26">
      <c r="A654">
        <v>1030527806</v>
      </c>
      <c r="B654" s="3" t="s">
        <v>2005</v>
      </c>
      <c r="C654">
        <v>84</v>
      </c>
      <c r="D654" t="s">
        <v>27</v>
      </c>
      <c r="E654" t="s">
        <v>29</v>
      </c>
      <c r="F654" t="s">
        <v>28</v>
      </c>
      <c r="G654" t="s">
        <v>28</v>
      </c>
      <c r="H654">
        <v>5</v>
      </c>
      <c r="I654" t="s">
        <v>30</v>
      </c>
      <c r="J654" t="s">
        <v>2006</v>
      </c>
      <c r="K654" t="s">
        <v>2007</v>
      </c>
      <c r="L654" t="s">
        <v>170</v>
      </c>
      <c r="M654" s="4" t="s">
        <v>43</v>
      </c>
      <c r="N654" t="s">
        <v>162</v>
      </c>
      <c r="P654" s="3" t="s">
        <v>36</v>
      </c>
      <c r="Q654" s="3" t="s">
        <v>45</v>
      </c>
      <c r="R654">
        <v>1</v>
      </c>
      <c r="S654" s="5">
        <v>45888</v>
      </c>
      <c r="T654" t="s">
        <v>38</v>
      </c>
      <c r="U654">
        <f t="shared" ca="1" si="60"/>
        <v>3</v>
      </c>
      <c r="V654" s="6">
        <f t="shared" ca="1" si="61"/>
        <v>46005</v>
      </c>
      <c r="W654" s="6">
        <f t="shared" ca="1" si="62"/>
        <v>46011</v>
      </c>
      <c r="X654" t="str">
        <f t="shared" ca="1" si="63"/>
        <v>Dec 14 to Dec 20</v>
      </c>
      <c r="Y654" t="str">
        <f t="shared" ca="1" si="64"/>
        <v>🟡 IMMINENT (within 3 days)</v>
      </c>
      <c r="Z654" t="str">
        <f t="shared" ca="1" si="65"/>
        <v>Prepare medications TODAY</v>
      </c>
    </row>
    <row r="655" spans="1:26">
      <c r="A655">
        <v>1030655136</v>
      </c>
      <c r="B655" s="3" t="s">
        <v>2008</v>
      </c>
      <c r="C655">
        <v>54</v>
      </c>
      <c r="D655" t="s">
        <v>47</v>
      </c>
      <c r="E655" t="s">
        <v>29</v>
      </c>
      <c r="F655" t="s">
        <v>28</v>
      </c>
      <c r="G655" t="s">
        <v>29</v>
      </c>
      <c r="H655">
        <v>5</v>
      </c>
      <c r="I655" t="s">
        <v>30</v>
      </c>
      <c r="J655" t="s">
        <v>2009</v>
      </c>
      <c r="K655" t="s">
        <v>2010</v>
      </c>
      <c r="L655" t="s">
        <v>100</v>
      </c>
      <c r="M655" s="4" t="s">
        <v>34</v>
      </c>
      <c r="N655" t="s">
        <v>51</v>
      </c>
      <c r="P655" s="3" t="s">
        <v>36</v>
      </c>
      <c r="Q655" s="3" t="s">
        <v>84</v>
      </c>
      <c r="R655">
        <v>2</v>
      </c>
      <c r="S655" s="5">
        <v>45784</v>
      </c>
      <c r="T655" t="s">
        <v>38</v>
      </c>
      <c r="U655">
        <f t="shared" ca="1" si="60"/>
        <v>19</v>
      </c>
      <c r="V655" s="6">
        <f t="shared" ca="1" si="61"/>
        <v>46021</v>
      </c>
      <c r="W655" s="6">
        <f t="shared" ca="1" si="62"/>
        <v>46027</v>
      </c>
      <c r="X655" t="str">
        <f t="shared" ca="1" si="63"/>
        <v>Dec 30 to Jan 5</v>
      </c>
      <c r="Y655" t="str">
        <f t="shared" ca="1" si="64"/>
        <v>⚪ SCHEDULED</v>
      </c>
      <c r="Z655" t="str">
        <f t="shared" ca="1" si="65"/>
        <v>No action needed yet</v>
      </c>
    </row>
    <row r="656" spans="1:26">
      <c r="A656">
        <v>1030746851</v>
      </c>
      <c r="B656" s="3" t="s">
        <v>2011</v>
      </c>
      <c r="C656">
        <v>63</v>
      </c>
      <c r="D656" t="s">
        <v>47</v>
      </c>
      <c r="E656" t="s">
        <v>28</v>
      </c>
      <c r="F656" t="s">
        <v>29</v>
      </c>
      <c r="G656" t="s">
        <v>28</v>
      </c>
      <c r="H656">
        <v>5</v>
      </c>
      <c r="I656" t="s">
        <v>30</v>
      </c>
      <c r="J656" t="s">
        <v>398</v>
      </c>
      <c r="K656" t="s">
        <v>1274</v>
      </c>
      <c r="L656" t="s">
        <v>69</v>
      </c>
      <c r="M656" s="4" t="s">
        <v>34</v>
      </c>
      <c r="N656" t="s">
        <v>70</v>
      </c>
      <c r="P656" s="3" t="s">
        <v>36</v>
      </c>
      <c r="Q656" s="3" t="s">
        <v>77</v>
      </c>
      <c r="R656">
        <v>1</v>
      </c>
      <c r="S656" s="5">
        <v>45372</v>
      </c>
      <c r="T656" t="s">
        <v>38</v>
      </c>
      <c r="U656">
        <f t="shared" ca="1" si="60"/>
        <v>27</v>
      </c>
      <c r="V656" s="6">
        <f t="shared" ca="1" si="61"/>
        <v>46029</v>
      </c>
      <c r="W656" s="6">
        <f t="shared" ca="1" si="62"/>
        <v>46035</v>
      </c>
      <c r="X656" t="str">
        <f t="shared" ca="1" si="63"/>
        <v>Jan 7 to Jan 13</v>
      </c>
      <c r="Y656" t="str">
        <f t="shared" ca="1" si="64"/>
        <v>⚪ SCHEDULED</v>
      </c>
      <c r="Z656" t="str">
        <f t="shared" ca="1" si="65"/>
        <v>No action needed yet</v>
      </c>
    </row>
    <row r="657" spans="1:26">
      <c r="A657">
        <v>1030771727</v>
      </c>
      <c r="B657" s="3" t="s">
        <v>2012</v>
      </c>
      <c r="C657">
        <v>60</v>
      </c>
      <c r="D657" t="s">
        <v>47</v>
      </c>
      <c r="E657" t="s">
        <v>28</v>
      </c>
      <c r="F657" t="s">
        <v>29</v>
      </c>
      <c r="G657" t="s">
        <v>29</v>
      </c>
      <c r="H657">
        <v>6</v>
      </c>
      <c r="I657" t="s">
        <v>30</v>
      </c>
      <c r="J657" t="s">
        <v>2013</v>
      </c>
      <c r="K657" t="s">
        <v>2014</v>
      </c>
      <c r="L657" t="s">
        <v>166</v>
      </c>
      <c r="M657" s="4" t="s">
        <v>34</v>
      </c>
      <c r="N657" t="s">
        <v>333</v>
      </c>
      <c r="P657" s="3" t="s">
        <v>36</v>
      </c>
      <c r="Q657" s="3" t="s">
        <v>45</v>
      </c>
      <c r="R657">
        <v>2</v>
      </c>
      <c r="S657" s="5">
        <v>45833</v>
      </c>
      <c r="T657" t="s">
        <v>38</v>
      </c>
      <c r="U657">
        <f t="shared" ca="1" si="60"/>
        <v>8</v>
      </c>
      <c r="V657" s="6">
        <f t="shared" ca="1" si="61"/>
        <v>46010</v>
      </c>
      <c r="W657" s="6">
        <f t="shared" ca="1" si="62"/>
        <v>46016</v>
      </c>
      <c r="X657" t="str">
        <f t="shared" ca="1" si="63"/>
        <v>Dec 19 to Dec 25</v>
      </c>
      <c r="Y657" t="str">
        <f t="shared" ca="1" si="64"/>
        <v>🔵 NEXT 2 WEEKS</v>
      </c>
      <c r="Z657" t="str">
        <f t="shared" ca="1" si="65"/>
        <v>Send reminder SMS</v>
      </c>
    </row>
    <row r="658" spans="1:26">
      <c r="A658">
        <v>1030866253</v>
      </c>
      <c r="B658" s="3" t="s">
        <v>2015</v>
      </c>
      <c r="C658">
        <v>62</v>
      </c>
      <c r="D658" t="s">
        <v>47</v>
      </c>
      <c r="E658" t="s">
        <v>54</v>
      </c>
      <c r="F658" t="s">
        <v>54</v>
      </c>
      <c r="G658" t="s">
        <v>54</v>
      </c>
      <c r="H658">
        <v>3</v>
      </c>
      <c r="I658" t="s">
        <v>66</v>
      </c>
      <c r="J658" t="s">
        <v>112</v>
      </c>
      <c r="K658" t="s">
        <v>2016</v>
      </c>
      <c r="L658" t="s">
        <v>114</v>
      </c>
      <c r="M658" s="4" t="s">
        <v>34</v>
      </c>
      <c r="N658" t="s">
        <v>59</v>
      </c>
      <c r="P658" s="3" t="s">
        <v>36</v>
      </c>
      <c r="Q658" s="3" t="s">
        <v>84</v>
      </c>
      <c r="R658">
        <v>2</v>
      </c>
      <c r="S658" s="5">
        <v>45820</v>
      </c>
      <c r="T658" t="s">
        <v>38</v>
      </c>
      <c r="U658">
        <f t="shared" ca="1" si="60"/>
        <v>25</v>
      </c>
      <c r="V658" s="6">
        <f t="shared" ca="1" si="61"/>
        <v>46027</v>
      </c>
      <c r="W658" s="6">
        <f t="shared" ca="1" si="62"/>
        <v>46033</v>
      </c>
      <c r="X658" t="str">
        <f t="shared" ca="1" si="63"/>
        <v>Jan 5 to Jan 11</v>
      </c>
      <c r="Y658" t="str">
        <f t="shared" ca="1" si="64"/>
        <v>⚪ SCHEDULED</v>
      </c>
      <c r="Z658" t="str">
        <f t="shared" ca="1" si="65"/>
        <v>No action needed yet</v>
      </c>
    </row>
    <row r="659" spans="1:26">
      <c r="A659">
        <v>1030891434</v>
      </c>
      <c r="B659" s="3" t="s">
        <v>2017</v>
      </c>
      <c r="C659">
        <v>55</v>
      </c>
      <c r="D659" t="s">
        <v>47</v>
      </c>
      <c r="E659" t="s">
        <v>29</v>
      </c>
      <c r="F659" t="s">
        <v>29</v>
      </c>
      <c r="G659" t="s">
        <v>28</v>
      </c>
      <c r="H659">
        <v>5</v>
      </c>
      <c r="I659" t="s">
        <v>30</v>
      </c>
      <c r="J659" t="s">
        <v>2018</v>
      </c>
      <c r="K659" t="s">
        <v>2019</v>
      </c>
      <c r="L659" t="s">
        <v>170</v>
      </c>
      <c r="M659" s="4" t="s">
        <v>34</v>
      </c>
      <c r="N659" t="s">
        <v>106</v>
      </c>
      <c r="P659" s="3" t="s">
        <v>36</v>
      </c>
      <c r="Q659" s="3" t="s">
        <v>858</v>
      </c>
      <c r="R659">
        <v>1</v>
      </c>
      <c r="S659" s="5">
        <v>45353</v>
      </c>
      <c r="T659" t="s">
        <v>38</v>
      </c>
      <c r="U659">
        <f t="shared" ca="1" si="60"/>
        <v>8</v>
      </c>
      <c r="V659" s="6">
        <f t="shared" ca="1" si="61"/>
        <v>46010</v>
      </c>
      <c r="W659" s="6">
        <f t="shared" ca="1" si="62"/>
        <v>46016</v>
      </c>
      <c r="X659" t="str">
        <f t="shared" ca="1" si="63"/>
        <v>Dec 19 to Dec 25</v>
      </c>
      <c r="Y659" t="str">
        <f t="shared" ca="1" si="64"/>
        <v>🔵 NEXT 2 WEEKS</v>
      </c>
      <c r="Z659" t="str">
        <f t="shared" ca="1" si="65"/>
        <v>Send reminder SMS</v>
      </c>
    </row>
    <row r="660" spans="1:26">
      <c r="A660">
        <v>1030898207</v>
      </c>
      <c r="B660" s="3" t="s">
        <v>2020</v>
      </c>
      <c r="C660">
        <v>66</v>
      </c>
      <c r="D660" t="s">
        <v>47</v>
      </c>
      <c r="E660" t="s">
        <v>29</v>
      </c>
      <c r="F660" t="s">
        <v>29</v>
      </c>
      <c r="G660" t="s">
        <v>29</v>
      </c>
      <c r="H660">
        <v>6</v>
      </c>
      <c r="I660" t="s">
        <v>30</v>
      </c>
      <c r="J660" t="s">
        <v>2021</v>
      </c>
      <c r="K660" t="s">
        <v>2022</v>
      </c>
      <c r="L660" t="s">
        <v>208</v>
      </c>
      <c r="M660" s="4" t="s">
        <v>34</v>
      </c>
      <c r="N660" t="s">
        <v>201</v>
      </c>
      <c r="P660" s="3" t="s">
        <v>36</v>
      </c>
      <c r="Q660" s="3" t="s">
        <v>84</v>
      </c>
      <c r="R660">
        <v>1</v>
      </c>
      <c r="S660" s="5">
        <v>45834</v>
      </c>
      <c r="T660" t="s">
        <v>38</v>
      </c>
      <c r="U660">
        <f t="shared" ca="1" si="60"/>
        <v>9</v>
      </c>
      <c r="V660" s="6">
        <f t="shared" ca="1" si="61"/>
        <v>46011</v>
      </c>
      <c r="W660" s="6">
        <f t="shared" ca="1" si="62"/>
        <v>46017</v>
      </c>
      <c r="X660" t="str">
        <f t="shared" ca="1" si="63"/>
        <v>Dec 20 to Dec 26</v>
      </c>
      <c r="Y660" t="str">
        <f t="shared" ca="1" si="64"/>
        <v>🔵 NEXT 2 WEEKS</v>
      </c>
      <c r="Z660" t="str">
        <f t="shared" ca="1" si="65"/>
        <v>Send reminder SMS</v>
      </c>
    </row>
    <row r="661" spans="1:26">
      <c r="A661">
        <v>1030974222</v>
      </c>
      <c r="B661" s="3" t="s">
        <v>2023</v>
      </c>
      <c r="C661">
        <v>56</v>
      </c>
      <c r="D661" t="s">
        <v>47</v>
      </c>
      <c r="E661" t="s">
        <v>29</v>
      </c>
      <c r="F661" t="s">
        <v>28</v>
      </c>
      <c r="G661" t="s">
        <v>29</v>
      </c>
      <c r="H661">
        <v>4</v>
      </c>
      <c r="I661" t="s">
        <v>66</v>
      </c>
      <c r="J661" t="s">
        <v>430</v>
      </c>
      <c r="K661" t="s">
        <v>2024</v>
      </c>
      <c r="M661" s="4" t="s">
        <v>34</v>
      </c>
      <c r="N661" t="s">
        <v>95</v>
      </c>
      <c r="P661" s="3" t="s">
        <v>36</v>
      </c>
      <c r="Q661" s="3" t="s">
        <v>90</v>
      </c>
      <c r="R661">
        <v>1</v>
      </c>
      <c r="S661" s="5">
        <v>45706</v>
      </c>
      <c r="T661" t="s">
        <v>38</v>
      </c>
      <c r="U661">
        <f t="shared" ca="1" si="60"/>
        <v>1</v>
      </c>
      <c r="V661" s="6">
        <f t="shared" ca="1" si="61"/>
        <v>46003</v>
      </c>
      <c r="W661" s="6">
        <f t="shared" ca="1" si="62"/>
        <v>46009</v>
      </c>
      <c r="X661" t="str">
        <f t="shared" ca="1" si="63"/>
        <v>Dec 12 to Dec 18</v>
      </c>
      <c r="Y661" t="str">
        <f t="shared" ca="1" si="64"/>
        <v>🟡 IMMINENT (within 3 days)</v>
      </c>
      <c r="Z661" t="str">
        <f t="shared" ca="1" si="65"/>
        <v>Prepare medications TODAY</v>
      </c>
    </row>
    <row r="662" spans="1:26">
      <c r="A662">
        <v>1031096983</v>
      </c>
      <c r="B662" s="3" t="s">
        <v>2025</v>
      </c>
      <c r="C662">
        <v>57</v>
      </c>
      <c r="D662" t="s">
        <v>47</v>
      </c>
      <c r="E662" t="s">
        <v>28</v>
      </c>
      <c r="F662" t="s">
        <v>28</v>
      </c>
      <c r="G662" t="s">
        <v>29</v>
      </c>
      <c r="H662">
        <v>3</v>
      </c>
      <c r="I662" t="s">
        <v>66</v>
      </c>
      <c r="J662" t="s">
        <v>2026</v>
      </c>
      <c r="K662" t="s">
        <v>2027</v>
      </c>
      <c r="L662" t="s">
        <v>139</v>
      </c>
      <c r="M662" s="4" t="s">
        <v>94</v>
      </c>
      <c r="N662" t="s">
        <v>140</v>
      </c>
      <c r="P662" s="3" t="s">
        <v>36</v>
      </c>
      <c r="Q662" s="3" t="s">
        <v>84</v>
      </c>
      <c r="R662">
        <v>2</v>
      </c>
      <c r="S662" s="5">
        <v>45932</v>
      </c>
      <c r="T662" t="s">
        <v>38</v>
      </c>
      <c r="U662">
        <f t="shared" ca="1" si="60"/>
        <v>17</v>
      </c>
      <c r="V662" s="6">
        <f t="shared" ca="1" si="61"/>
        <v>46019</v>
      </c>
      <c r="W662" s="6">
        <f t="shared" ca="1" si="62"/>
        <v>46025</v>
      </c>
      <c r="X662" t="str">
        <f t="shared" ca="1" si="63"/>
        <v>Dec 28 to Jan 3</v>
      </c>
      <c r="Y662" t="str">
        <f t="shared" ca="1" si="64"/>
        <v>⚪ SCHEDULED</v>
      </c>
      <c r="Z662" t="str">
        <f t="shared" ca="1" si="65"/>
        <v>No action needed yet</v>
      </c>
    </row>
    <row r="663" spans="1:26">
      <c r="A663">
        <v>1031122466</v>
      </c>
      <c r="B663" s="3" t="s">
        <v>2028</v>
      </c>
      <c r="C663">
        <v>58</v>
      </c>
      <c r="D663" t="s">
        <v>47</v>
      </c>
      <c r="E663" t="s">
        <v>28</v>
      </c>
      <c r="F663" t="s">
        <v>29</v>
      </c>
      <c r="G663" t="s">
        <v>28</v>
      </c>
      <c r="H663">
        <v>3</v>
      </c>
      <c r="I663" t="s">
        <v>66</v>
      </c>
      <c r="J663" t="s">
        <v>2029</v>
      </c>
      <c r="K663" t="s">
        <v>2030</v>
      </c>
      <c r="L663" t="s">
        <v>69</v>
      </c>
      <c r="M663" s="4" t="s">
        <v>43</v>
      </c>
      <c r="N663" t="s">
        <v>70</v>
      </c>
      <c r="P663" s="3" t="s">
        <v>36</v>
      </c>
      <c r="Q663" s="3" t="s">
        <v>84</v>
      </c>
      <c r="R663">
        <v>1</v>
      </c>
      <c r="S663" s="5">
        <v>45856</v>
      </c>
      <c r="T663" t="s">
        <v>38</v>
      </c>
      <c r="U663">
        <f t="shared" ca="1" si="60"/>
        <v>1</v>
      </c>
      <c r="V663" s="6">
        <f t="shared" ca="1" si="61"/>
        <v>46003</v>
      </c>
      <c r="W663" s="6">
        <f t="shared" ca="1" si="62"/>
        <v>46009</v>
      </c>
      <c r="X663" t="str">
        <f t="shared" ca="1" si="63"/>
        <v>Dec 12 to Dec 18</v>
      </c>
      <c r="Y663" t="str">
        <f t="shared" ca="1" si="64"/>
        <v>🟡 IMMINENT (within 3 days)</v>
      </c>
      <c r="Z663" t="str">
        <f t="shared" ca="1" si="65"/>
        <v>Prepare medications TODAY</v>
      </c>
    </row>
    <row r="664" spans="1:26">
      <c r="A664">
        <v>1031178252</v>
      </c>
      <c r="B664" s="3" t="s">
        <v>2031</v>
      </c>
      <c r="C664">
        <v>47</v>
      </c>
      <c r="D664" t="s">
        <v>47</v>
      </c>
      <c r="E664" t="s">
        <v>29</v>
      </c>
      <c r="F664" t="s">
        <v>29</v>
      </c>
      <c r="G664" t="s">
        <v>28</v>
      </c>
      <c r="H664">
        <v>3</v>
      </c>
      <c r="I664" t="s">
        <v>66</v>
      </c>
      <c r="J664" t="s">
        <v>2032</v>
      </c>
      <c r="K664" t="s">
        <v>2033</v>
      </c>
      <c r="L664" t="s">
        <v>170</v>
      </c>
      <c r="M664" s="4" t="s">
        <v>34</v>
      </c>
      <c r="N664" t="s">
        <v>106</v>
      </c>
      <c r="P664" s="3" t="s">
        <v>36</v>
      </c>
      <c r="Q664" s="3" t="s">
        <v>1848</v>
      </c>
      <c r="R664">
        <v>1</v>
      </c>
      <c r="S664" s="5">
        <v>45787</v>
      </c>
      <c r="T664" t="s">
        <v>38</v>
      </c>
      <c r="U664">
        <f t="shared" ca="1" si="60"/>
        <v>22</v>
      </c>
      <c r="V664" s="6">
        <f t="shared" ca="1" si="61"/>
        <v>46024</v>
      </c>
      <c r="W664" s="6">
        <f t="shared" ca="1" si="62"/>
        <v>46030</v>
      </c>
      <c r="X664" t="str">
        <f t="shared" ca="1" si="63"/>
        <v>Jan 2 to Jan 8</v>
      </c>
      <c r="Y664" t="str">
        <f t="shared" ca="1" si="64"/>
        <v>⚪ SCHEDULED</v>
      </c>
      <c r="Z664" t="str">
        <f t="shared" ca="1" si="65"/>
        <v>No action needed yet</v>
      </c>
    </row>
    <row r="665" spans="1:26">
      <c r="A665">
        <v>1031178328</v>
      </c>
      <c r="B665" s="3" t="s">
        <v>2034</v>
      </c>
      <c r="C665">
        <v>71</v>
      </c>
      <c r="D665" t="s">
        <v>27</v>
      </c>
      <c r="E665" t="s">
        <v>29</v>
      </c>
      <c r="F665" t="s">
        <v>29</v>
      </c>
      <c r="G665" t="s">
        <v>28</v>
      </c>
      <c r="H665">
        <v>7</v>
      </c>
      <c r="I665" t="s">
        <v>30</v>
      </c>
      <c r="J665" t="s">
        <v>2035</v>
      </c>
      <c r="K665" t="s">
        <v>2036</v>
      </c>
      <c r="M665" s="4" t="s">
        <v>43</v>
      </c>
      <c r="N665" t="s">
        <v>144</v>
      </c>
      <c r="P665" s="3" t="s">
        <v>36</v>
      </c>
      <c r="Q665" s="3" t="s">
        <v>313</v>
      </c>
      <c r="R665">
        <v>1</v>
      </c>
      <c r="S665" s="5">
        <v>45905</v>
      </c>
      <c r="T665" t="s">
        <v>38</v>
      </c>
      <c r="U665">
        <f t="shared" ca="1" si="60"/>
        <v>20</v>
      </c>
      <c r="V665" s="6">
        <f t="shared" ca="1" si="61"/>
        <v>46022</v>
      </c>
      <c r="W665" s="6">
        <f t="shared" ca="1" si="62"/>
        <v>46028</v>
      </c>
      <c r="X665" t="str">
        <f t="shared" ca="1" si="63"/>
        <v>Dec 31 to Jan 6</v>
      </c>
      <c r="Y665" t="str">
        <f t="shared" ca="1" si="64"/>
        <v>⚪ SCHEDULED</v>
      </c>
      <c r="Z665" t="str">
        <f t="shared" ca="1" si="65"/>
        <v>No action needed yet</v>
      </c>
    </row>
    <row r="666" spans="1:26">
      <c r="A666">
        <v>1031308685</v>
      </c>
      <c r="B666" s="3" t="s">
        <v>2037</v>
      </c>
      <c r="C666">
        <v>51</v>
      </c>
      <c r="D666" t="s">
        <v>47</v>
      </c>
      <c r="E666" t="s">
        <v>54</v>
      </c>
      <c r="F666" t="s">
        <v>54</v>
      </c>
      <c r="G666" t="s">
        <v>54</v>
      </c>
      <c r="H666">
        <v>2</v>
      </c>
      <c r="I666" t="s">
        <v>55</v>
      </c>
      <c r="J666" t="s">
        <v>519</v>
      </c>
      <c r="K666" t="s">
        <v>834</v>
      </c>
      <c r="L666" t="s">
        <v>114</v>
      </c>
      <c r="M666" s="4" t="s">
        <v>43</v>
      </c>
      <c r="N666" t="s">
        <v>59</v>
      </c>
      <c r="P666" s="3" t="s">
        <v>36</v>
      </c>
      <c r="Q666" s="3" t="s">
        <v>96</v>
      </c>
      <c r="R666">
        <v>1</v>
      </c>
      <c r="S666" s="5">
        <v>45894</v>
      </c>
      <c r="T666" t="s">
        <v>60</v>
      </c>
      <c r="U666">
        <f t="shared" ca="1" si="60"/>
        <v>9</v>
      </c>
      <c r="V666" s="6">
        <f t="shared" ca="1" si="61"/>
        <v>46011</v>
      </c>
      <c r="W666" s="6">
        <f t="shared" ca="1" si="62"/>
        <v>46017</v>
      </c>
      <c r="X666" t="str">
        <f t="shared" ca="1" si="63"/>
        <v>Dec 20 to Dec 26</v>
      </c>
      <c r="Y666" t="str">
        <f t="shared" ca="1" si="64"/>
        <v>🔵 NEXT 2 WEEKS</v>
      </c>
      <c r="Z666" t="str">
        <f t="shared" ca="1" si="65"/>
        <v>Send reminder SMS</v>
      </c>
    </row>
    <row r="667" spans="1:26">
      <c r="A667">
        <v>1031375791</v>
      </c>
      <c r="B667" s="3" t="s">
        <v>2038</v>
      </c>
      <c r="C667">
        <v>71</v>
      </c>
      <c r="D667" t="s">
        <v>47</v>
      </c>
      <c r="E667" t="s">
        <v>29</v>
      </c>
      <c r="F667" t="s">
        <v>29</v>
      </c>
      <c r="G667" t="s">
        <v>28</v>
      </c>
      <c r="H667">
        <v>6</v>
      </c>
      <c r="I667" t="s">
        <v>30</v>
      </c>
      <c r="J667" t="s">
        <v>680</v>
      </c>
      <c r="K667" t="s">
        <v>2039</v>
      </c>
      <c r="M667" s="4" t="s">
        <v>43</v>
      </c>
      <c r="N667" t="s">
        <v>144</v>
      </c>
      <c r="P667" s="3" t="s">
        <v>36</v>
      </c>
      <c r="Q667" s="3" t="s">
        <v>107</v>
      </c>
      <c r="R667">
        <v>1</v>
      </c>
      <c r="S667" s="5">
        <v>45861</v>
      </c>
      <c r="T667" t="s">
        <v>38</v>
      </c>
      <c r="U667">
        <f t="shared" ca="1" si="60"/>
        <v>6</v>
      </c>
      <c r="V667" s="6">
        <f t="shared" ca="1" si="61"/>
        <v>46008</v>
      </c>
      <c r="W667" s="6">
        <f t="shared" ca="1" si="62"/>
        <v>46014</v>
      </c>
      <c r="X667" t="str">
        <f t="shared" ca="1" si="63"/>
        <v>Dec 17 to Dec 23</v>
      </c>
      <c r="Y667" t="str">
        <f t="shared" ca="1" si="64"/>
        <v>🟢 THIS WEEK</v>
      </c>
      <c r="Z667" t="str">
        <f t="shared" ca="1" si="65"/>
        <v>Confirm appointment</v>
      </c>
    </row>
    <row r="668" spans="1:26">
      <c r="A668">
        <v>1031384645</v>
      </c>
      <c r="B668" s="3" t="s">
        <v>2040</v>
      </c>
      <c r="C668">
        <v>60</v>
      </c>
      <c r="D668" t="s">
        <v>47</v>
      </c>
      <c r="E668" t="s">
        <v>29</v>
      </c>
      <c r="F668" t="s">
        <v>28</v>
      </c>
      <c r="G668" t="s">
        <v>28</v>
      </c>
      <c r="H668">
        <v>4</v>
      </c>
      <c r="I668" t="s">
        <v>66</v>
      </c>
      <c r="J668" t="s">
        <v>2041</v>
      </c>
      <c r="K668" t="s">
        <v>2042</v>
      </c>
      <c r="L668" t="s">
        <v>1105</v>
      </c>
      <c r="M668" s="4" t="s">
        <v>43</v>
      </c>
      <c r="N668" t="s">
        <v>162</v>
      </c>
      <c r="P668" s="3" t="s">
        <v>36</v>
      </c>
      <c r="Q668" s="3" t="s">
        <v>84</v>
      </c>
      <c r="R668">
        <v>1</v>
      </c>
      <c r="S668" s="5">
        <v>45870</v>
      </c>
      <c r="T668" t="s">
        <v>38</v>
      </c>
      <c r="U668">
        <f t="shared" ca="1" si="60"/>
        <v>15</v>
      </c>
      <c r="V668" s="6">
        <f t="shared" ca="1" si="61"/>
        <v>46017</v>
      </c>
      <c r="W668" s="6">
        <f t="shared" ca="1" si="62"/>
        <v>46023</v>
      </c>
      <c r="X668" t="str">
        <f t="shared" ca="1" si="63"/>
        <v>Dec 26 to Jan 1</v>
      </c>
      <c r="Y668" t="str">
        <f t="shared" ca="1" si="64"/>
        <v>⚪ SCHEDULED</v>
      </c>
      <c r="Z668" t="str">
        <f t="shared" ca="1" si="65"/>
        <v>No action needed yet</v>
      </c>
    </row>
    <row r="669" spans="1:26">
      <c r="A669">
        <v>1031446311</v>
      </c>
      <c r="B669" s="3" t="s">
        <v>2043</v>
      </c>
      <c r="C669">
        <v>68</v>
      </c>
      <c r="D669" t="s">
        <v>47</v>
      </c>
      <c r="E669" t="s">
        <v>29</v>
      </c>
      <c r="F669" t="s">
        <v>28</v>
      </c>
      <c r="G669" t="s">
        <v>29</v>
      </c>
      <c r="H669">
        <v>5</v>
      </c>
      <c r="I669" t="s">
        <v>30</v>
      </c>
      <c r="J669" t="s">
        <v>2044</v>
      </c>
      <c r="K669" t="s">
        <v>2045</v>
      </c>
      <c r="L669" t="s">
        <v>208</v>
      </c>
      <c r="M669" s="4" t="s">
        <v>34</v>
      </c>
      <c r="N669" t="s">
        <v>51</v>
      </c>
      <c r="P669" s="3" t="s">
        <v>36</v>
      </c>
      <c r="Q669" t="s">
        <v>54</v>
      </c>
      <c r="R669">
        <v>2</v>
      </c>
      <c r="S669" s="5">
        <v>45822</v>
      </c>
      <c r="T669" t="s">
        <v>38</v>
      </c>
      <c r="U669">
        <f t="shared" ca="1" si="60"/>
        <v>27</v>
      </c>
      <c r="V669" s="6">
        <f t="shared" ca="1" si="61"/>
        <v>46029</v>
      </c>
      <c r="W669" s="6">
        <f t="shared" ca="1" si="62"/>
        <v>46035</v>
      </c>
      <c r="X669" t="str">
        <f t="shared" ca="1" si="63"/>
        <v>Jan 7 to Jan 13</v>
      </c>
      <c r="Y669" t="str">
        <f t="shared" ca="1" si="64"/>
        <v>⚪ SCHEDULED</v>
      </c>
      <c r="Z669" t="str">
        <f t="shared" ca="1" si="65"/>
        <v>No action needed yet</v>
      </c>
    </row>
    <row r="670" spans="1:26">
      <c r="A670">
        <v>1031452582</v>
      </c>
      <c r="B670" s="3" t="s">
        <v>2046</v>
      </c>
      <c r="C670">
        <v>55</v>
      </c>
      <c r="D670" t="s">
        <v>27</v>
      </c>
      <c r="E670" t="s">
        <v>29</v>
      </c>
      <c r="F670" t="s">
        <v>29</v>
      </c>
      <c r="G670" t="s">
        <v>29</v>
      </c>
      <c r="H670">
        <v>5</v>
      </c>
      <c r="I670" t="s">
        <v>30</v>
      </c>
      <c r="J670" t="s">
        <v>2047</v>
      </c>
      <c r="K670" t="s">
        <v>2048</v>
      </c>
      <c r="L670" t="s">
        <v>75</v>
      </c>
      <c r="M670" s="4" t="s">
        <v>43</v>
      </c>
      <c r="N670" t="s">
        <v>76</v>
      </c>
      <c r="P670" s="3" t="s">
        <v>36</v>
      </c>
      <c r="Q670" s="3" t="s">
        <v>175</v>
      </c>
      <c r="R670">
        <v>1</v>
      </c>
      <c r="S670" s="5">
        <v>45861</v>
      </c>
      <c r="T670" t="s">
        <v>38</v>
      </c>
      <c r="U670">
        <f t="shared" ca="1" si="60"/>
        <v>6</v>
      </c>
      <c r="V670" s="6">
        <f t="shared" ca="1" si="61"/>
        <v>46008</v>
      </c>
      <c r="W670" s="6">
        <f t="shared" ca="1" si="62"/>
        <v>46014</v>
      </c>
      <c r="X670" t="str">
        <f t="shared" ca="1" si="63"/>
        <v>Dec 17 to Dec 23</v>
      </c>
      <c r="Y670" t="str">
        <f t="shared" ca="1" si="64"/>
        <v>🟢 THIS WEEK</v>
      </c>
      <c r="Z670" t="str">
        <f t="shared" ca="1" si="65"/>
        <v>Confirm appointment</v>
      </c>
    </row>
    <row r="671" spans="1:26">
      <c r="A671">
        <v>1031458787</v>
      </c>
      <c r="B671" s="3" t="s">
        <v>2049</v>
      </c>
      <c r="C671">
        <v>64</v>
      </c>
      <c r="D671" t="s">
        <v>47</v>
      </c>
      <c r="E671" t="s">
        <v>29</v>
      </c>
      <c r="F671" t="s">
        <v>29</v>
      </c>
      <c r="G671" t="s">
        <v>29</v>
      </c>
      <c r="H671">
        <v>7</v>
      </c>
      <c r="I671" t="s">
        <v>30</v>
      </c>
      <c r="J671" t="s">
        <v>2050</v>
      </c>
      <c r="K671" t="s">
        <v>2051</v>
      </c>
      <c r="L671" t="s">
        <v>166</v>
      </c>
      <c r="M671" s="4" t="s">
        <v>43</v>
      </c>
      <c r="N671" t="s">
        <v>558</v>
      </c>
      <c r="P671" s="3" t="s">
        <v>36</v>
      </c>
      <c r="Q671" s="3" t="s">
        <v>230</v>
      </c>
      <c r="R671">
        <v>2</v>
      </c>
      <c r="S671" s="5">
        <v>45857</v>
      </c>
      <c r="T671" t="s">
        <v>38</v>
      </c>
      <c r="U671">
        <f t="shared" ca="1" si="60"/>
        <v>2</v>
      </c>
      <c r="V671" s="6">
        <f t="shared" ca="1" si="61"/>
        <v>46004</v>
      </c>
      <c r="W671" s="6">
        <f t="shared" ca="1" si="62"/>
        <v>46010</v>
      </c>
      <c r="X671" t="str">
        <f t="shared" ca="1" si="63"/>
        <v>Dec 13 to Dec 19</v>
      </c>
      <c r="Y671" t="str">
        <f t="shared" ca="1" si="64"/>
        <v>🟡 IMMINENT (within 3 days)</v>
      </c>
      <c r="Z671" t="str">
        <f t="shared" ca="1" si="65"/>
        <v>Prepare medications TODAY</v>
      </c>
    </row>
    <row r="672" spans="1:26">
      <c r="A672">
        <v>1031557794</v>
      </c>
      <c r="B672" s="3" t="s">
        <v>2052</v>
      </c>
      <c r="C672">
        <v>56</v>
      </c>
      <c r="D672" t="s">
        <v>47</v>
      </c>
      <c r="E672" t="s">
        <v>29</v>
      </c>
      <c r="F672" t="s">
        <v>28</v>
      </c>
      <c r="G672" t="s">
        <v>29</v>
      </c>
      <c r="H672">
        <v>4</v>
      </c>
      <c r="I672" t="s">
        <v>66</v>
      </c>
      <c r="J672" t="s">
        <v>762</v>
      </c>
      <c r="K672" t="s">
        <v>2053</v>
      </c>
      <c r="L672" t="s">
        <v>208</v>
      </c>
      <c r="M672" s="4" t="s">
        <v>94</v>
      </c>
      <c r="N672" t="s">
        <v>51</v>
      </c>
      <c r="P672" s="3" t="s">
        <v>36</v>
      </c>
      <c r="Q672" s="3" t="s">
        <v>90</v>
      </c>
      <c r="R672">
        <v>2</v>
      </c>
      <c r="S672" s="5">
        <v>45941</v>
      </c>
      <c r="T672" t="s">
        <v>38</v>
      </c>
      <c r="U672">
        <f t="shared" ca="1" si="60"/>
        <v>26</v>
      </c>
      <c r="V672" s="6">
        <f t="shared" ca="1" si="61"/>
        <v>46028</v>
      </c>
      <c r="W672" s="6">
        <f t="shared" ca="1" si="62"/>
        <v>46034</v>
      </c>
      <c r="X672" t="str">
        <f t="shared" ca="1" si="63"/>
        <v>Jan 6 to Jan 12</v>
      </c>
      <c r="Y672" t="str">
        <f t="shared" ca="1" si="64"/>
        <v>⚪ SCHEDULED</v>
      </c>
      <c r="Z672" t="str">
        <f t="shared" ca="1" si="65"/>
        <v>No action needed yet</v>
      </c>
    </row>
    <row r="673" spans="1:26">
      <c r="A673">
        <v>1031589474</v>
      </c>
      <c r="B673" s="3" t="s">
        <v>2054</v>
      </c>
      <c r="C673">
        <v>64</v>
      </c>
      <c r="D673" t="s">
        <v>27</v>
      </c>
      <c r="E673" t="s">
        <v>29</v>
      </c>
      <c r="F673" t="s">
        <v>29</v>
      </c>
      <c r="G673" t="s">
        <v>28</v>
      </c>
      <c r="H673">
        <v>6</v>
      </c>
      <c r="I673" t="s">
        <v>30</v>
      </c>
      <c r="J673" t="s">
        <v>2055</v>
      </c>
      <c r="K673" t="s">
        <v>2056</v>
      </c>
      <c r="L673" t="s">
        <v>606</v>
      </c>
      <c r="M673" s="4" t="s">
        <v>34</v>
      </c>
      <c r="N673" t="s">
        <v>119</v>
      </c>
      <c r="P673" s="3" t="s">
        <v>36</v>
      </c>
      <c r="Q673" t="s">
        <v>54</v>
      </c>
      <c r="R673">
        <v>2</v>
      </c>
      <c r="S673" s="5">
        <v>45413</v>
      </c>
      <c r="T673" t="s">
        <v>38</v>
      </c>
      <c r="U673">
        <f t="shared" ca="1" si="60"/>
        <v>8</v>
      </c>
      <c r="V673" s="6">
        <f t="shared" ca="1" si="61"/>
        <v>46010</v>
      </c>
      <c r="W673" s="6">
        <f t="shared" ca="1" si="62"/>
        <v>46016</v>
      </c>
      <c r="X673" t="str">
        <f t="shared" ca="1" si="63"/>
        <v>Dec 19 to Dec 25</v>
      </c>
      <c r="Y673" t="str">
        <f t="shared" ca="1" si="64"/>
        <v>🔵 NEXT 2 WEEKS</v>
      </c>
      <c r="Z673" t="str">
        <f t="shared" ca="1" si="65"/>
        <v>Send reminder SMS</v>
      </c>
    </row>
    <row r="674" spans="1:26">
      <c r="A674">
        <v>1031720533</v>
      </c>
      <c r="B674" s="3" t="s">
        <v>2057</v>
      </c>
      <c r="C674">
        <v>55</v>
      </c>
      <c r="D674" t="s">
        <v>27</v>
      </c>
      <c r="E674" t="s">
        <v>54</v>
      </c>
      <c r="F674" t="s">
        <v>54</v>
      </c>
      <c r="G674" t="s">
        <v>54</v>
      </c>
      <c r="H674">
        <v>2</v>
      </c>
      <c r="I674" t="s">
        <v>55</v>
      </c>
      <c r="J674" t="s">
        <v>2058</v>
      </c>
      <c r="K674" t="s">
        <v>2059</v>
      </c>
      <c r="M674" s="4" t="s">
        <v>34</v>
      </c>
      <c r="N674" t="s">
        <v>59</v>
      </c>
      <c r="P674" s="3" t="s">
        <v>36</v>
      </c>
      <c r="Q674" t="s">
        <v>54</v>
      </c>
      <c r="R674">
        <v>2</v>
      </c>
      <c r="S674" s="5">
        <v>45740</v>
      </c>
      <c r="T674" t="s">
        <v>60</v>
      </c>
      <c r="U674">
        <f t="shared" ca="1" si="60"/>
        <v>35</v>
      </c>
      <c r="V674" s="6">
        <f t="shared" ca="1" si="61"/>
        <v>46037</v>
      </c>
      <c r="W674" s="6">
        <f t="shared" ca="1" si="62"/>
        <v>46043</v>
      </c>
      <c r="X674" t="str">
        <f t="shared" ca="1" si="63"/>
        <v>Jan 15 to Jan 21</v>
      </c>
      <c r="Y674" t="str">
        <f t="shared" ca="1" si="64"/>
        <v>⚪ SCHEDULED</v>
      </c>
      <c r="Z674" t="str">
        <f t="shared" ca="1" si="65"/>
        <v>No action needed yet</v>
      </c>
    </row>
    <row r="675" spans="1:26">
      <c r="A675">
        <v>1031752726</v>
      </c>
      <c r="B675" s="3" t="s">
        <v>2060</v>
      </c>
      <c r="C675">
        <v>44</v>
      </c>
      <c r="D675" t="s">
        <v>27</v>
      </c>
      <c r="E675" t="s">
        <v>54</v>
      </c>
      <c r="F675" t="s">
        <v>54</v>
      </c>
      <c r="G675" t="s">
        <v>54</v>
      </c>
      <c r="H675">
        <v>1</v>
      </c>
      <c r="I675" t="s">
        <v>55</v>
      </c>
      <c r="J675" t="s">
        <v>2061</v>
      </c>
      <c r="K675" t="s">
        <v>2062</v>
      </c>
      <c r="L675" t="s">
        <v>50</v>
      </c>
      <c r="M675" s="4" t="s">
        <v>43</v>
      </c>
      <c r="N675" t="s">
        <v>59</v>
      </c>
      <c r="P675" s="3" t="s">
        <v>36</v>
      </c>
      <c r="Q675" t="s">
        <v>54</v>
      </c>
      <c r="R675">
        <v>1</v>
      </c>
      <c r="S675" s="5">
        <v>45979</v>
      </c>
      <c r="T675" t="s">
        <v>393</v>
      </c>
      <c r="U675">
        <f t="shared" ca="1" si="60"/>
        <v>64</v>
      </c>
      <c r="V675" s="6">
        <f t="shared" ca="1" si="61"/>
        <v>46066</v>
      </c>
      <c r="W675" s="6">
        <f t="shared" ca="1" si="62"/>
        <v>46072</v>
      </c>
      <c r="X675" t="str">
        <f t="shared" ca="1" si="63"/>
        <v>Feb 13 to Feb 19</v>
      </c>
      <c r="Y675" t="str">
        <f t="shared" ca="1" si="64"/>
        <v>⚪ SCHEDULED</v>
      </c>
      <c r="Z675" t="str">
        <f t="shared" ca="1" si="65"/>
        <v>No action needed yet</v>
      </c>
    </row>
    <row r="676" spans="1:26">
      <c r="A676">
        <v>1031767799</v>
      </c>
      <c r="B676" s="3" t="s">
        <v>2063</v>
      </c>
      <c r="C676">
        <v>43</v>
      </c>
      <c r="D676" t="s">
        <v>47</v>
      </c>
      <c r="E676" t="s">
        <v>29</v>
      </c>
      <c r="F676" t="s">
        <v>29</v>
      </c>
      <c r="G676" t="s">
        <v>28</v>
      </c>
      <c r="H676">
        <v>4</v>
      </c>
      <c r="I676" t="s">
        <v>66</v>
      </c>
      <c r="J676" t="s">
        <v>2064</v>
      </c>
      <c r="K676" t="s">
        <v>2065</v>
      </c>
      <c r="L676" t="s">
        <v>186</v>
      </c>
      <c r="M676" s="4" t="s">
        <v>34</v>
      </c>
      <c r="N676" t="s">
        <v>144</v>
      </c>
      <c r="P676" s="3" t="s">
        <v>36</v>
      </c>
      <c r="Q676" s="3" t="s">
        <v>969</v>
      </c>
      <c r="R676">
        <v>2</v>
      </c>
      <c r="S676" s="5">
        <v>45833</v>
      </c>
      <c r="T676" t="s">
        <v>38</v>
      </c>
      <c r="U676">
        <f t="shared" ca="1" si="60"/>
        <v>8</v>
      </c>
      <c r="V676" s="6">
        <f t="shared" ca="1" si="61"/>
        <v>46010</v>
      </c>
      <c r="W676" s="6">
        <f t="shared" ca="1" si="62"/>
        <v>46016</v>
      </c>
      <c r="X676" t="str">
        <f t="shared" ca="1" si="63"/>
        <v>Dec 19 to Dec 25</v>
      </c>
      <c r="Y676" t="str">
        <f t="shared" ca="1" si="64"/>
        <v>🔵 NEXT 2 WEEKS</v>
      </c>
      <c r="Z676" t="str">
        <f t="shared" ca="1" si="65"/>
        <v>Send reminder SMS</v>
      </c>
    </row>
    <row r="677" spans="1:26">
      <c r="A677">
        <v>1031897125</v>
      </c>
      <c r="B677" s="3" t="s">
        <v>2066</v>
      </c>
      <c r="C677">
        <v>66</v>
      </c>
      <c r="D677" t="s">
        <v>47</v>
      </c>
      <c r="E677" t="s">
        <v>29</v>
      </c>
      <c r="F677" t="s">
        <v>29</v>
      </c>
      <c r="G677" t="s">
        <v>29</v>
      </c>
      <c r="H677">
        <v>6</v>
      </c>
      <c r="I677" t="s">
        <v>30</v>
      </c>
      <c r="J677" t="s">
        <v>2067</v>
      </c>
      <c r="K677" t="s">
        <v>2068</v>
      </c>
      <c r="L677" t="s">
        <v>962</v>
      </c>
      <c r="M677" s="4" t="s">
        <v>43</v>
      </c>
      <c r="N677" t="s">
        <v>89</v>
      </c>
      <c r="P677" s="3" t="s">
        <v>36</v>
      </c>
      <c r="Q677" s="3" t="s">
        <v>45</v>
      </c>
      <c r="R677">
        <v>2</v>
      </c>
      <c r="S677" s="5">
        <v>45868</v>
      </c>
      <c r="T677" t="s">
        <v>38</v>
      </c>
      <c r="U677">
        <f t="shared" ca="1" si="60"/>
        <v>13</v>
      </c>
      <c r="V677" s="6">
        <f t="shared" ca="1" si="61"/>
        <v>46015</v>
      </c>
      <c r="W677" s="6">
        <f t="shared" ca="1" si="62"/>
        <v>46021</v>
      </c>
      <c r="X677" t="str">
        <f t="shared" ca="1" si="63"/>
        <v>Dec 24 to Dec 30</v>
      </c>
      <c r="Y677" t="str">
        <f t="shared" ca="1" si="64"/>
        <v>🔵 NEXT 2 WEEKS</v>
      </c>
      <c r="Z677" t="str">
        <f t="shared" ca="1" si="65"/>
        <v>Send reminder SMS</v>
      </c>
    </row>
    <row r="678" spans="1:26">
      <c r="A678">
        <v>1031965146</v>
      </c>
      <c r="B678" s="3" t="s">
        <v>2069</v>
      </c>
      <c r="C678">
        <v>59</v>
      </c>
      <c r="D678" t="s">
        <v>47</v>
      </c>
      <c r="E678" t="s">
        <v>29</v>
      </c>
      <c r="F678" t="s">
        <v>28</v>
      </c>
      <c r="G678" t="s">
        <v>29</v>
      </c>
      <c r="H678">
        <v>5</v>
      </c>
      <c r="I678" t="s">
        <v>30</v>
      </c>
      <c r="J678" t="s">
        <v>2070</v>
      </c>
      <c r="K678" t="s">
        <v>2071</v>
      </c>
      <c r="L678" t="s">
        <v>234</v>
      </c>
      <c r="M678" s="4" t="s">
        <v>34</v>
      </c>
      <c r="N678" t="s">
        <v>51</v>
      </c>
      <c r="P678" s="3" t="s">
        <v>36</v>
      </c>
      <c r="Q678" s="3" t="s">
        <v>107</v>
      </c>
      <c r="R678">
        <v>2</v>
      </c>
      <c r="S678" s="5">
        <v>45570</v>
      </c>
      <c r="T678" t="s">
        <v>38</v>
      </c>
      <c r="U678">
        <f t="shared" ca="1" si="60"/>
        <v>15</v>
      </c>
      <c r="V678" s="6">
        <f t="shared" ca="1" si="61"/>
        <v>46017</v>
      </c>
      <c r="W678" s="6">
        <f t="shared" ca="1" si="62"/>
        <v>46023</v>
      </c>
      <c r="X678" t="str">
        <f t="shared" ca="1" si="63"/>
        <v>Dec 26 to Jan 1</v>
      </c>
      <c r="Y678" t="str">
        <f t="shared" ca="1" si="64"/>
        <v>⚪ SCHEDULED</v>
      </c>
      <c r="Z678" t="str">
        <f t="shared" ca="1" si="65"/>
        <v>No action needed yet</v>
      </c>
    </row>
    <row r="679" spans="1:26">
      <c r="A679">
        <v>1032099341</v>
      </c>
      <c r="B679" s="3" t="s">
        <v>2072</v>
      </c>
      <c r="C679">
        <v>77</v>
      </c>
      <c r="D679" t="s">
        <v>27</v>
      </c>
      <c r="E679" t="s">
        <v>29</v>
      </c>
      <c r="F679" t="s">
        <v>29</v>
      </c>
      <c r="G679" t="s">
        <v>29</v>
      </c>
      <c r="H679">
        <v>8</v>
      </c>
      <c r="I679" t="s">
        <v>30</v>
      </c>
      <c r="J679" t="s">
        <v>2073</v>
      </c>
      <c r="K679" t="s">
        <v>2074</v>
      </c>
      <c r="L679" t="s">
        <v>75</v>
      </c>
      <c r="M679" s="4" t="s">
        <v>43</v>
      </c>
      <c r="N679" t="s">
        <v>76</v>
      </c>
      <c r="P679" s="3" t="s">
        <v>36</v>
      </c>
      <c r="Q679" s="3" t="s">
        <v>123</v>
      </c>
      <c r="R679">
        <v>1</v>
      </c>
      <c r="S679" s="5">
        <v>45861</v>
      </c>
      <c r="T679" t="s">
        <v>38</v>
      </c>
      <c r="U679">
        <f t="shared" ca="1" si="60"/>
        <v>6</v>
      </c>
      <c r="V679" s="6">
        <f t="shared" ca="1" si="61"/>
        <v>46008</v>
      </c>
      <c r="W679" s="6">
        <f t="shared" ca="1" si="62"/>
        <v>46014</v>
      </c>
      <c r="X679" t="str">
        <f t="shared" ca="1" si="63"/>
        <v>Dec 17 to Dec 23</v>
      </c>
      <c r="Y679" t="str">
        <f t="shared" ca="1" si="64"/>
        <v>🟢 THIS WEEK</v>
      </c>
      <c r="Z679" t="str">
        <f t="shared" ca="1" si="65"/>
        <v>Confirm appointment</v>
      </c>
    </row>
    <row r="680" spans="1:26">
      <c r="A680">
        <v>1032099382</v>
      </c>
      <c r="B680" s="3" t="s">
        <v>2075</v>
      </c>
      <c r="C680">
        <v>52</v>
      </c>
      <c r="D680" t="s">
        <v>47</v>
      </c>
      <c r="E680" t="s">
        <v>29</v>
      </c>
      <c r="F680" t="s">
        <v>29</v>
      </c>
      <c r="G680" t="s">
        <v>28</v>
      </c>
      <c r="H680">
        <v>4</v>
      </c>
      <c r="I680" t="s">
        <v>66</v>
      </c>
      <c r="J680" t="s">
        <v>2076</v>
      </c>
      <c r="K680" t="s">
        <v>2077</v>
      </c>
      <c r="L680" t="s">
        <v>269</v>
      </c>
      <c r="M680" s="4" t="s">
        <v>43</v>
      </c>
      <c r="N680" t="s">
        <v>106</v>
      </c>
      <c r="P680" s="3" t="s">
        <v>36</v>
      </c>
      <c r="Q680" s="3" t="s">
        <v>107</v>
      </c>
      <c r="R680">
        <v>1</v>
      </c>
      <c r="S680" s="5">
        <v>45862</v>
      </c>
      <c r="T680" t="s">
        <v>38</v>
      </c>
      <c r="U680">
        <f t="shared" ca="1" si="60"/>
        <v>7</v>
      </c>
      <c r="V680" s="6">
        <f t="shared" ca="1" si="61"/>
        <v>46009</v>
      </c>
      <c r="W680" s="6">
        <f t="shared" ca="1" si="62"/>
        <v>46015</v>
      </c>
      <c r="X680" t="str">
        <f t="shared" ca="1" si="63"/>
        <v>Dec 18 to Dec 24</v>
      </c>
      <c r="Y680" t="str">
        <f t="shared" ca="1" si="64"/>
        <v>🟢 THIS WEEK</v>
      </c>
      <c r="Z680" t="str">
        <f t="shared" ca="1" si="65"/>
        <v>Confirm appointment</v>
      </c>
    </row>
    <row r="681" spans="1:26">
      <c r="A681">
        <v>1032142372</v>
      </c>
      <c r="B681" s="3" t="s">
        <v>2078</v>
      </c>
      <c r="C681">
        <v>75</v>
      </c>
      <c r="D681" t="s">
        <v>27</v>
      </c>
      <c r="E681" t="s">
        <v>29</v>
      </c>
      <c r="F681" t="s">
        <v>29</v>
      </c>
      <c r="G681" t="s">
        <v>29</v>
      </c>
      <c r="H681">
        <v>7</v>
      </c>
      <c r="I681" t="s">
        <v>30</v>
      </c>
      <c r="J681" t="s">
        <v>2079</v>
      </c>
      <c r="K681" t="s">
        <v>2080</v>
      </c>
      <c r="L681" t="s">
        <v>100</v>
      </c>
      <c r="M681" s="4" t="s">
        <v>43</v>
      </c>
      <c r="N681" t="s">
        <v>76</v>
      </c>
      <c r="P681" s="3" t="s">
        <v>36</v>
      </c>
      <c r="Q681" s="3" t="s">
        <v>2081</v>
      </c>
      <c r="R681">
        <v>2</v>
      </c>
      <c r="S681" s="5">
        <v>45930</v>
      </c>
      <c r="T681" t="s">
        <v>38</v>
      </c>
      <c r="U681">
        <f t="shared" ca="1" si="60"/>
        <v>15</v>
      </c>
      <c r="V681" s="6">
        <f t="shared" ca="1" si="61"/>
        <v>46017</v>
      </c>
      <c r="W681" s="6">
        <f t="shared" ca="1" si="62"/>
        <v>46023</v>
      </c>
      <c r="X681" t="str">
        <f t="shared" ca="1" si="63"/>
        <v>Dec 26 to Jan 1</v>
      </c>
      <c r="Y681" t="str">
        <f t="shared" ca="1" si="64"/>
        <v>⚪ SCHEDULED</v>
      </c>
      <c r="Z681" t="str">
        <f t="shared" ca="1" si="65"/>
        <v>No action needed yet</v>
      </c>
    </row>
    <row r="682" spans="1:26">
      <c r="A682">
        <v>1032143578</v>
      </c>
      <c r="B682" s="3" t="s">
        <v>2082</v>
      </c>
      <c r="C682">
        <v>65</v>
      </c>
      <c r="D682" t="s">
        <v>47</v>
      </c>
      <c r="E682" t="s">
        <v>29</v>
      </c>
      <c r="F682" t="s">
        <v>28</v>
      </c>
      <c r="G682" t="s">
        <v>28</v>
      </c>
      <c r="H682">
        <v>4</v>
      </c>
      <c r="I682" t="s">
        <v>66</v>
      </c>
      <c r="J682" t="s">
        <v>2083</v>
      </c>
      <c r="K682" t="s">
        <v>2084</v>
      </c>
      <c r="L682" t="s">
        <v>100</v>
      </c>
      <c r="M682" s="4" t="s">
        <v>34</v>
      </c>
      <c r="N682" t="s">
        <v>162</v>
      </c>
      <c r="P682" s="3" t="s">
        <v>36</v>
      </c>
      <c r="Q682" s="3" t="s">
        <v>84</v>
      </c>
      <c r="R682">
        <v>2</v>
      </c>
      <c r="S682" s="5">
        <v>45793</v>
      </c>
      <c r="T682" t="s">
        <v>38</v>
      </c>
      <c r="U682">
        <f t="shared" ca="1" si="60"/>
        <v>28</v>
      </c>
      <c r="V682" s="6">
        <f t="shared" ca="1" si="61"/>
        <v>46030</v>
      </c>
      <c r="W682" s="6">
        <f t="shared" ca="1" si="62"/>
        <v>46036</v>
      </c>
      <c r="X682" t="str">
        <f t="shared" ca="1" si="63"/>
        <v>Jan 8 to Jan 14</v>
      </c>
      <c r="Y682" t="str">
        <f t="shared" ca="1" si="64"/>
        <v>⚪ SCHEDULED</v>
      </c>
      <c r="Z682" t="str">
        <f t="shared" ca="1" si="65"/>
        <v>No action needed yet</v>
      </c>
    </row>
    <row r="683" spans="1:26">
      <c r="A683">
        <v>1032144238</v>
      </c>
      <c r="B683" s="3" t="s">
        <v>2085</v>
      </c>
      <c r="C683">
        <v>74</v>
      </c>
      <c r="D683" t="s">
        <v>47</v>
      </c>
      <c r="E683" t="s">
        <v>54</v>
      </c>
      <c r="F683" t="s">
        <v>54</v>
      </c>
      <c r="G683" t="s">
        <v>54</v>
      </c>
      <c r="H683">
        <v>4</v>
      </c>
      <c r="I683" t="s">
        <v>66</v>
      </c>
      <c r="J683" t="s">
        <v>2086</v>
      </c>
      <c r="K683" t="s">
        <v>2087</v>
      </c>
      <c r="L683" t="s">
        <v>139</v>
      </c>
      <c r="M683" s="4" t="s">
        <v>94</v>
      </c>
      <c r="N683" t="s">
        <v>59</v>
      </c>
      <c r="P683" s="3" t="s">
        <v>36</v>
      </c>
      <c r="Q683" t="s">
        <v>54</v>
      </c>
      <c r="R683">
        <v>1</v>
      </c>
      <c r="S683" s="5">
        <v>45941</v>
      </c>
      <c r="T683" t="s">
        <v>38</v>
      </c>
      <c r="U683">
        <f t="shared" ca="1" si="60"/>
        <v>26</v>
      </c>
      <c r="V683" s="6">
        <f t="shared" ca="1" si="61"/>
        <v>46028</v>
      </c>
      <c r="W683" s="6">
        <f t="shared" ca="1" si="62"/>
        <v>46034</v>
      </c>
      <c r="X683" t="str">
        <f t="shared" ca="1" si="63"/>
        <v>Jan 6 to Jan 12</v>
      </c>
      <c r="Y683" t="str">
        <f t="shared" ca="1" si="64"/>
        <v>⚪ SCHEDULED</v>
      </c>
      <c r="Z683" t="str">
        <f t="shared" ca="1" si="65"/>
        <v>No action needed yet</v>
      </c>
    </row>
    <row r="684" spans="1:26">
      <c r="A684">
        <v>1032250126</v>
      </c>
      <c r="B684" s="3" t="s">
        <v>2088</v>
      </c>
      <c r="C684">
        <v>72</v>
      </c>
      <c r="D684" t="s">
        <v>47</v>
      </c>
      <c r="E684" t="s">
        <v>29</v>
      </c>
      <c r="F684" t="s">
        <v>28</v>
      </c>
      <c r="G684" t="s">
        <v>28</v>
      </c>
      <c r="H684">
        <v>5</v>
      </c>
      <c r="I684" t="s">
        <v>30</v>
      </c>
      <c r="J684" t="s">
        <v>2089</v>
      </c>
      <c r="K684" t="s">
        <v>2090</v>
      </c>
      <c r="L684" t="s">
        <v>317</v>
      </c>
      <c r="M684" s="4" t="s">
        <v>43</v>
      </c>
      <c r="N684" t="s">
        <v>162</v>
      </c>
      <c r="P684" s="3" t="s">
        <v>36</v>
      </c>
      <c r="Q684" s="3" t="s">
        <v>107</v>
      </c>
      <c r="R684">
        <v>1</v>
      </c>
      <c r="S684" s="5">
        <v>45927</v>
      </c>
      <c r="T684" t="s">
        <v>38</v>
      </c>
      <c r="U684">
        <f t="shared" ca="1" si="60"/>
        <v>12</v>
      </c>
      <c r="V684" s="6">
        <f t="shared" ca="1" si="61"/>
        <v>46014</v>
      </c>
      <c r="W684" s="6">
        <f t="shared" ca="1" si="62"/>
        <v>46020</v>
      </c>
      <c r="X684" t="str">
        <f t="shared" ca="1" si="63"/>
        <v>Dec 23 to Dec 29</v>
      </c>
      <c r="Y684" t="str">
        <f t="shared" ca="1" si="64"/>
        <v>🔵 NEXT 2 WEEKS</v>
      </c>
      <c r="Z684" t="str">
        <f t="shared" ca="1" si="65"/>
        <v>Send reminder SMS</v>
      </c>
    </row>
    <row r="685" spans="1:26">
      <c r="A685">
        <v>1032257659</v>
      </c>
      <c r="B685" s="3" t="s">
        <v>2091</v>
      </c>
      <c r="C685">
        <v>65</v>
      </c>
      <c r="D685" t="s">
        <v>47</v>
      </c>
      <c r="E685" t="s">
        <v>29</v>
      </c>
      <c r="F685" t="s">
        <v>29</v>
      </c>
      <c r="G685" t="s">
        <v>28</v>
      </c>
      <c r="H685">
        <v>5</v>
      </c>
      <c r="I685" t="s">
        <v>30</v>
      </c>
      <c r="J685" t="s">
        <v>2092</v>
      </c>
      <c r="K685" t="s">
        <v>2093</v>
      </c>
      <c r="L685" t="s">
        <v>217</v>
      </c>
      <c r="M685" s="4" t="s">
        <v>34</v>
      </c>
      <c r="N685" t="s">
        <v>119</v>
      </c>
      <c r="P685" s="3" t="s">
        <v>36</v>
      </c>
      <c r="Q685" s="3" t="s">
        <v>107</v>
      </c>
      <c r="R685">
        <v>1</v>
      </c>
      <c r="S685" s="5">
        <v>45510</v>
      </c>
      <c r="T685" t="s">
        <v>38</v>
      </c>
      <c r="U685">
        <f t="shared" ca="1" si="60"/>
        <v>15</v>
      </c>
      <c r="V685" s="6">
        <f t="shared" ca="1" si="61"/>
        <v>46017</v>
      </c>
      <c r="W685" s="6">
        <f t="shared" ca="1" si="62"/>
        <v>46023</v>
      </c>
      <c r="X685" t="str">
        <f t="shared" ca="1" si="63"/>
        <v>Dec 26 to Jan 1</v>
      </c>
      <c r="Y685" t="str">
        <f t="shared" ca="1" si="64"/>
        <v>⚪ SCHEDULED</v>
      </c>
      <c r="Z685" t="str">
        <f t="shared" ca="1" si="65"/>
        <v>No action needed yet</v>
      </c>
    </row>
    <row r="686" spans="1:26">
      <c r="A686">
        <v>1032332981</v>
      </c>
      <c r="B686" s="3" t="s">
        <v>2094</v>
      </c>
      <c r="C686">
        <v>49</v>
      </c>
      <c r="D686" t="s">
        <v>47</v>
      </c>
      <c r="E686" t="s">
        <v>29</v>
      </c>
      <c r="F686" t="s">
        <v>28</v>
      </c>
      <c r="G686" t="s">
        <v>28</v>
      </c>
      <c r="H686">
        <v>2</v>
      </c>
      <c r="I686" t="s">
        <v>55</v>
      </c>
      <c r="J686" t="s">
        <v>2095</v>
      </c>
      <c r="K686" t="s">
        <v>2096</v>
      </c>
      <c r="L686" t="s">
        <v>50</v>
      </c>
      <c r="M686" s="4" t="s">
        <v>94</v>
      </c>
      <c r="N686" t="s">
        <v>162</v>
      </c>
      <c r="P686" s="3" t="s">
        <v>36</v>
      </c>
      <c r="Q686" t="s">
        <v>54</v>
      </c>
      <c r="R686">
        <v>1</v>
      </c>
      <c r="S686" s="5">
        <v>45964</v>
      </c>
      <c r="T686" t="s">
        <v>60</v>
      </c>
      <c r="U686">
        <f t="shared" ca="1" si="60"/>
        <v>19</v>
      </c>
      <c r="V686" s="6">
        <f t="shared" ca="1" si="61"/>
        <v>46021</v>
      </c>
      <c r="W686" s="6">
        <f t="shared" ca="1" si="62"/>
        <v>46027</v>
      </c>
      <c r="X686" t="str">
        <f t="shared" ca="1" si="63"/>
        <v>Dec 30 to Jan 5</v>
      </c>
      <c r="Y686" t="str">
        <f t="shared" ca="1" si="64"/>
        <v>⚪ SCHEDULED</v>
      </c>
      <c r="Z686" t="str">
        <f t="shared" ca="1" si="65"/>
        <v>No action needed yet</v>
      </c>
    </row>
    <row r="687" spans="1:26">
      <c r="A687">
        <v>1032380998</v>
      </c>
      <c r="B687" s="3" t="s">
        <v>2097</v>
      </c>
      <c r="C687">
        <v>66</v>
      </c>
      <c r="D687" t="s">
        <v>47</v>
      </c>
      <c r="E687" t="s">
        <v>28</v>
      </c>
      <c r="F687" t="s">
        <v>28</v>
      </c>
      <c r="G687" t="s">
        <v>29</v>
      </c>
      <c r="H687">
        <v>5</v>
      </c>
      <c r="I687" t="s">
        <v>30</v>
      </c>
      <c r="J687" t="s">
        <v>775</v>
      </c>
      <c r="K687" t="s">
        <v>2098</v>
      </c>
      <c r="L687" t="s">
        <v>139</v>
      </c>
      <c r="M687" s="4" t="s">
        <v>34</v>
      </c>
      <c r="N687" t="s">
        <v>140</v>
      </c>
      <c r="P687" s="3" t="s">
        <v>36</v>
      </c>
      <c r="Q687" s="3" t="s">
        <v>96</v>
      </c>
      <c r="R687">
        <v>1</v>
      </c>
      <c r="S687" s="5">
        <v>45716</v>
      </c>
      <c r="T687" t="s">
        <v>38</v>
      </c>
      <c r="U687">
        <f t="shared" ca="1" si="60"/>
        <v>11</v>
      </c>
      <c r="V687" s="6">
        <f t="shared" ca="1" si="61"/>
        <v>46013</v>
      </c>
      <c r="W687" s="6">
        <f t="shared" ca="1" si="62"/>
        <v>46019</v>
      </c>
      <c r="X687" t="str">
        <f t="shared" ca="1" si="63"/>
        <v>Dec 22 to Dec 28</v>
      </c>
      <c r="Y687" t="str">
        <f t="shared" ca="1" si="64"/>
        <v>🔵 NEXT 2 WEEKS</v>
      </c>
      <c r="Z687" t="str">
        <f t="shared" ca="1" si="65"/>
        <v>Send reminder SMS</v>
      </c>
    </row>
    <row r="688" spans="1:26">
      <c r="A688">
        <v>1032562405</v>
      </c>
      <c r="B688" s="3" t="s">
        <v>2099</v>
      </c>
      <c r="C688">
        <v>43</v>
      </c>
      <c r="D688" t="s">
        <v>27</v>
      </c>
      <c r="E688" t="s">
        <v>54</v>
      </c>
      <c r="F688" t="s">
        <v>54</v>
      </c>
      <c r="G688" t="s">
        <v>54</v>
      </c>
      <c r="H688">
        <v>1</v>
      </c>
      <c r="I688" t="s">
        <v>55</v>
      </c>
      <c r="J688" t="s">
        <v>2100</v>
      </c>
      <c r="K688" t="s">
        <v>2101</v>
      </c>
      <c r="M688" s="4" t="s">
        <v>94</v>
      </c>
      <c r="N688" t="s">
        <v>59</v>
      </c>
      <c r="P688" s="3" t="s">
        <v>36</v>
      </c>
      <c r="Q688" s="3" t="s">
        <v>107</v>
      </c>
      <c r="R688">
        <v>1</v>
      </c>
      <c r="S688" s="5">
        <v>46015</v>
      </c>
      <c r="T688" t="s">
        <v>393</v>
      </c>
      <c r="U688">
        <f t="shared" ca="1" si="60"/>
        <v>10</v>
      </c>
      <c r="V688" s="6">
        <f t="shared" ca="1" si="61"/>
        <v>46012</v>
      </c>
      <c r="W688" s="6">
        <f t="shared" ca="1" si="62"/>
        <v>46018</v>
      </c>
      <c r="X688" t="str">
        <f t="shared" ca="1" si="63"/>
        <v>Dec 21 to Dec 27</v>
      </c>
      <c r="Y688" t="str">
        <f t="shared" ca="1" si="64"/>
        <v>🔵 NEXT 2 WEEKS</v>
      </c>
      <c r="Z688" t="str">
        <f t="shared" ca="1" si="65"/>
        <v>Send reminder SMS</v>
      </c>
    </row>
    <row r="689" spans="1:26">
      <c r="A689">
        <v>1032577171</v>
      </c>
      <c r="B689" s="3" t="s">
        <v>2102</v>
      </c>
      <c r="C689">
        <v>61</v>
      </c>
      <c r="D689" t="s">
        <v>47</v>
      </c>
      <c r="E689" t="s">
        <v>28</v>
      </c>
      <c r="F689" t="s">
        <v>29</v>
      </c>
      <c r="G689" t="s">
        <v>28</v>
      </c>
      <c r="H689">
        <v>5</v>
      </c>
      <c r="I689" t="s">
        <v>30</v>
      </c>
      <c r="J689" t="s">
        <v>67</v>
      </c>
      <c r="K689" t="s">
        <v>2103</v>
      </c>
      <c r="L689" t="s">
        <v>69</v>
      </c>
      <c r="M689" s="4" t="s">
        <v>34</v>
      </c>
      <c r="N689" t="s">
        <v>70</v>
      </c>
      <c r="P689" s="3" t="s">
        <v>36</v>
      </c>
      <c r="Q689" s="3" t="s">
        <v>753</v>
      </c>
      <c r="R689">
        <v>2</v>
      </c>
      <c r="S689" s="5">
        <v>45212</v>
      </c>
      <c r="T689" t="s">
        <v>38</v>
      </c>
      <c r="U689">
        <f t="shared" ca="1" si="60"/>
        <v>17</v>
      </c>
      <c r="V689" s="6">
        <f t="shared" ca="1" si="61"/>
        <v>46019</v>
      </c>
      <c r="W689" s="6">
        <f t="shared" ca="1" si="62"/>
        <v>46025</v>
      </c>
      <c r="X689" t="str">
        <f t="shared" ca="1" si="63"/>
        <v>Dec 28 to Jan 3</v>
      </c>
      <c r="Y689" t="str">
        <f t="shared" ca="1" si="64"/>
        <v>⚪ SCHEDULED</v>
      </c>
      <c r="Z689" t="str">
        <f t="shared" ca="1" si="65"/>
        <v>No action needed yet</v>
      </c>
    </row>
    <row r="690" spans="1:26">
      <c r="A690">
        <v>1032793711</v>
      </c>
      <c r="B690" s="3" t="s">
        <v>2104</v>
      </c>
      <c r="C690">
        <v>59</v>
      </c>
      <c r="D690" t="s">
        <v>47</v>
      </c>
      <c r="E690" t="s">
        <v>29</v>
      </c>
      <c r="F690" t="s">
        <v>29</v>
      </c>
      <c r="G690" t="s">
        <v>28</v>
      </c>
      <c r="H690">
        <v>4</v>
      </c>
      <c r="I690" t="s">
        <v>66</v>
      </c>
      <c r="J690" t="s">
        <v>2105</v>
      </c>
      <c r="K690" t="s">
        <v>2106</v>
      </c>
      <c r="M690" s="4" t="s">
        <v>94</v>
      </c>
      <c r="N690" t="s">
        <v>144</v>
      </c>
      <c r="P690" s="3" t="s">
        <v>36</v>
      </c>
      <c r="Q690" s="3" t="s">
        <v>84</v>
      </c>
      <c r="R690">
        <v>1</v>
      </c>
      <c r="S690" s="5">
        <v>45938</v>
      </c>
      <c r="T690" t="s">
        <v>38</v>
      </c>
      <c r="U690">
        <f t="shared" ca="1" si="60"/>
        <v>23</v>
      </c>
      <c r="V690" s="6">
        <f t="shared" ca="1" si="61"/>
        <v>46025</v>
      </c>
      <c r="W690" s="6">
        <f t="shared" ca="1" si="62"/>
        <v>46031</v>
      </c>
      <c r="X690" t="str">
        <f t="shared" ca="1" si="63"/>
        <v>Jan 3 to Jan 9</v>
      </c>
      <c r="Y690" t="str">
        <f t="shared" ca="1" si="64"/>
        <v>⚪ SCHEDULED</v>
      </c>
      <c r="Z690" t="str">
        <f t="shared" ca="1" si="65"/>
        <v>No action needed yet</v>
      </c>
    </row>
    <row r="691" spans="1:26">
      <c r="A691">
        <v>1032818476</v>
      </c>
      <c r="B691" s="3" t="s">
        <v>2107</v>
      </c>
      <c r="C691">
        <v>44</v>
      </c>
      <c r="D691" t="s">
        <v>27</v>
      </c>
      <c r="E691" t="s">
        <v>29</v>
      </c>
      <c r="F691" t="s">
        <v>28</v>
      </c>
      <c r="G691" t="s">
        <v>28</v>
      </c>
      <c r="H691">
        <v>3</v>
      </c>
      <c r="I691" t="s">
        <v>66</v>
      </c>
      <c r="J691" t="s">
        <v>2108</v>
      </c>
      <c r="K691" t="s">
        <v>2109</v>
      </c>
      <c r="L691" t="s">
        <v>170</v>
      </c>
      <c r="M691" s="4" t="s">
        <v>34</v>
      </c>
      <c r="N691" t="s">
        <v>162</v>
      </c>
      <c r="P691" s="3" t="s">
        <v>36</v>
      </c>
      <c r="Q691" s="3" t="s">
        <v>77</v>
      </c>
      <c r="R691">
        <v>1</v>
      </c>
      <c r="S691" s="5">
        <v>45714</v>
      </c>
      <c r="T691" t="s">
        <v>38</v>
      </c>
      <c r="U691">
        <f t="shared" ca="1" si="60"/>
        <v>9</v>
      </c>
      <c r="V691" s="6">
        <f t="shared" ca="1" si="61"/>
        <v>46011</v>
      </c>
      <c r="W691" s="6">
        <f t="shared" ca="1" si="62"/>
        <v>46017</v>
      </c>
      <c r="X691" t="str">
        <f t="shared" ca="1" si="63"/>
        <v>Dec 20 to Dec 26</v>
      </c>
      <c r="Y691" t="str">
        <f t="shared" ca="1" si="64"/>
        <v>🔵 NEXT 2 WEEKS</v>
      </c>
      <c r="Z691" t="str">
        <f t="shared" ca="1" si="65"/>
        <v>Send reminder SMS</v>
      </c>
    </row>
    <row r="692" spans="1:26">
      <c r="A692">
        <v>1032928994</v>
      </c>
      <c r="B692" s="3" t="s">
        <v>2110</v>
      </c>
      <c r="C692">
        <v>59</v>
      </c>
      <c r="D692" t="s">
        <v>47</v>
      </c>
      <c r="E692" t="s">
        <v>29</v>
      </c>
      <c r="F692" t="s">
        <v>28</v>
      </c>
      <c r="G692" t="s">
        <v>28</v>
      </c>
      <c r="H692">
        <v>3</v>
      </c>
      <c r="I692" t="s">
        <v>66</v>
      </c>
      <c r="J692" t="s">
        <v>2111</v>
      </c>
      <c r="K692" t="s">
        <v>2112</v>
      </c>
      <c r="L692" t="s">
        <v>170</v>
      </c>
      <c r="M692" s="4" t="s">
        <v>34</v>
      </c>
      <c r="N692" t="s">
        <v>162</v>
      </c>
      <c r="P692" s="3" t="s">
        <v>36</v>
      </c>
      <c r="Q692" s="3" t="s">
        <v>107</v>
      </c>
      <c r="R692">
        <v>2</v>
      </c>
      <c r="S692" s="5">
        <v>45756</v>
      </c>
      <c r="T692" t="s">
        <v>38</v>
      </c>
      <c r="U692">
        <f t="shared" ca="1" si="60"/>
        <v>21</v>
      </c>
      <c r="V692" s="6">
        <f t="shared" ca="1" si="61"/>
        <v>46023</v>
      </c>
      <c r="W692" s="6">
        <f t="shared" ca="1" si="62"/>
        <v>46029</v>
      </c>
      <c r="X692" t="str">
        <f t="shared" ca="1" si="63"/>
        <v>Jan 1 to Jan 7</v>
      </c>
      <c r="Y692" t="str">
        <f t="shared" ca="1" si="64"/>
        <v>⚪ SCHEDULED</v>
      </c>
      <c r="Z692" t="str">
        <f t="shared" ca="1" si="65"/>
        <v>No action needed yet</v>
      </c>
    </row>
    <row r="693" spans="1:26">
      <c r="A693">
        <v>1032949032</v>
      </c>
      <c r="B693" s="3" t="s">
        <v>2113</v>
      </c>
      <c r="C693">
        <v>48</v>
      </c>
      <c r="D693" t="s">
        <v>27</v>
      </c>
      <c r="E693" t="s">
        <v>29</v>
      </c>
      <c r="F693" t="s">
        <v>29</v>
      </c>
      <c r="G693" t="s">
        <v>28</v>
      </c>
      <c r="H693">
        <v>3</v>
      </c>
      <c r="I693" t="s">
        <v>66</v>
      </c>
      <c r="J693" t="s">
        <v>519</v>
      </c>
      <c r="K693" t="s">
        <v>2114</v>
      </c>
      <c r="L693" t="s">
        <v>114</v>
      </c>
      <c r="M693" s="4" t="s">
        <v>34</v>
      </c>
      <c r="N693" t="s">
        <v>144</v>
      </c>
      <c r="P693" s="3" t="s">
        <v>36</v>
      </c>
      <c r="Q693" s="3" t="s">
        <v>45</v>
      </c>
      <c r="R693">
        <v>2</v>
      </c>
      <c r="S693" s="5">
        <v>45471</v>
      </c>
      <c r="T693" t="s">
        <v>38</v>
      </c>
      <c r="U693">
        <f t="shared" ca="1" si="60"/>
        <v>6</v>
      </c>
      <c r="V693" s="6">
        <f t="shared" ca="1" si="61"/>
        <v>46008</v>
      </c>
      <c r="W693" s="6">
        <f t="shared" ca="1" si="62"/>
        <v>46014</v>
      </c>
      <c r="X693" t="str">
        <f t="shared" ca="1" si="63"/>
        <v>Dec 17 to Dec 23</v>
      </c>
      <c r="Y693" t="str">
        <f t="shared" ca="1" si="64"/>
        <v>🟢 THIS WEEK</v>
      </c>
      <c r="Z693" t="str">
        <f t="shared" ca="1" si="65"/>
        <v>Confirm appointment</v>
      </c>
    </row>
    <row r="694" spans="1:26">
      <c r="A694">
        <v>1032952929</v>
      </c>
      <c r="B694" s="3" t="s">
        <v>2115</v>
      </c>
      <c r="C694">
        <v>68</v>
      </c>
      <c r="D694" t="s">
        <v>47</v>
      </c>
      <c r="E694" t="s">
        <v>29</v>
      </c>
      <c r="F694" t="s">
        <v>29</v>
      </c>
      <c r="G694" t="s">
        <v>28</v>
      </c>
      <c r="H694">
        <v>5</v>
      </c>
      <c r="I694" t="s">
        <v>30</v>
      </c>
      <c r="J694" t="s">
        <v>146</v>
      </c>
      <c r="K694" t="s">
        <v>2116</v>
      </c>
      <c r="M694" s="4" t="s">
        <v>34</v>
      </c>
      <c r="N694" t="s">
        <v>144</v>
      </c>
      <c r="P694" s="3" t="s">
        <v>36</v>
      </c>
      <c r="Q694" s="3" t="s">
        <v>90</v>
      </c>
      <c r="R694">
        <v>1</v>
      </c>
      <c r="S694" s="5">
        <v>45601</v>
      </c>
      <c r="T694" t="s">
        <v>38</v>
      </c>
      <c r="U694">
        <f t="shared" ca="1" si="60"/>
        <v>16</v>
      </c>
      <c r="V694" s="6">
        <f t="shared" ca="1" si="61"/>
        <v>46018</v>
      </c>
      <c r="W694" s="6">
        <f t="shared" ca="1" si="62"/>
        <v>46024</v>
      </c>
      <c r="X694" t="str">
        <f t="shared" ca="1" si="63"/>
        <v>Dec 27 to Jan 2</v>
      </c>
      <c r="Y694" t="str">
        <f t="shared" ca="1" si="64"/>
        <v>⚪ SCHEDULED</v>
      </c>
      <c r="Z694" t="str">
        <f t="shared" ca="1" si="65"/>
        <v>No action needed yet</v>
      </c>
    </row>
    <row r="695" spans="1:26">
      <c r="A695">
        <v>1032964460</v>
      </c>
      <c r="B695" s="3" t="s">
        <v>2117</v>
      </c>
      <c r="C695">
        <v>77</v>
      </c>
      <c r="D695" t="s">
        <v>47</v>
      </c>
      <c r="E695" t="s">
        <v>29</v>
      </c>
      <c r="F695" t="s">
        <v>29</v>
      </c>
      <c r="G695" t="s">
        <v>29</v>
      </c>
      <c r="H695">
        <v>8</v>
      </c>
      <c r="I695" t="s">
        <v>30</v>
      </c>
      <c r="J695" t="s">
        <v>2118</v>
      </c>
      <c r="K695" t="s">
        <v>2119</v>
      </c>
      <c r="L695" t="s">
        <v>355</v>
      </c>
      <c r="M695" s="4" t="s">
        <v>34</v>
      </c>
      <c r="N695" t="s">
        <v>76</v>
      </c>
      <c r="P695" s="3" t="s">
        <v>36</v>
      </c>
      <c r="Q695" s="3" t="s">
        <v>107</v>
      </c>
      <c r="R695">
        <v>1</v>
      </c>
      <c r="S695" s="5">
        <v>45763</v>
      </c>
      <c r="T695" t="s">
        <v>38</v>
      </c>
      <c r="U695">
        <f t="shared" ca="1" si="60"/>
        <v>28</v>
      </c>
      <c r="V695" s="6">
        <f t="shared" ca="1" si="61"/>
        <v>46030</v>
      </c>
      <c r="W695" s="6">
        <f t="shared" ca="1" si="62"/>
        <v>46036</v>
      </c>
      <c r="X695" t="str">
        <f t="shared" ca="1" si="63"/>
        <v>Jan 8 to Jan 14</v>
      </c>
      <c r="Y695" t="str">
        <f t="shared" ca="1" si="64"/>
        <v>⚪ SCHEDULED</v>
      </c>
      <c r="Z695" t="str">
        <f t="shared" ca="1" si="65"/>
        <v>No action needed yet</v>
      </c>
    </row>
    <row r="696" spans="1:26">
      <c r="A696">
        <v>1033017128</v>
      </c>
      <c r="B696" s="3" t="s">
        <v>2120</v>
      </c>
      <c r="C696">
        <v>72</v>
      </c>
      <c r="D696" t="s">
        <v>27</v>
      </c>
      <c r="E696" t="s">
        <v>29</v>
      </c>
      <c r="F696" t="s">
        <v>29</v>
      </c>
      <c r="G696" t="s">
        <v>28</v>
      </c>
      <c r="H696">
        <v>7</v>
      </c>
      <c r="I696" t="s">
        <v>30</v>
      </c>
      <c r="J696" t="s">
        <v>260</v>
      </c>
      <c r="K696" t="s">
        <v>2121</v>
      </c>
      <c r="M696" s="4" t="s">
        <v>34</v>
      </c>
      <c r="N696" t="s">
        <v>144</v>
      </c>
      <c r="P696" s="3" t="s">
        <v>36</v>
      </c>
      <c r="Q696" s="3" t="s">
        <v>107</v>
      </c>
      <c r="R696">
        <v>2</v>
      </c>
      <c r="S696" s="5">
        <v>45764</v>
      </c>
      <c r="T696" t="s">
        <v>38</v>
      </c>
      <c r="U696">
        <f t="shared" ca="1" si="60"/>
        <v>29</v>
      </c>
      <c r="V696" s="6">
        <f t="shared" ca="1" si="61"/>
        <v>46031</v>
      </c>
      <c r="W696" s="6">
        <f t="shared" ca="1" si="62"/>
        <v>46037</v>
      </c>
      <c r="X696" t="str">
        <f t="shared" ca="1" si="63"/>
        <v>Jan 9 to Jan 15</v>
      </c>
      <c r="Y696" t="str">
        <f t="shared" ca="1" si="64"/>
        <v>⚪ SCHEDULED</v>
      </c>
      <c r="Z696" t="str">
        <f t="shared" ca="1" si="65"/>
        <v>No action needed yet</v>
      </c>
    </row>
    <row r="697" spans="1:26">
      <c r="A697">
        <v>1033063205</v>
      </c>
      <c r="B697" s="3" t="s">
        <v>2122</v>
      </c>
      <c r="C697">
        <v>58</v>
      </c>
      <c r="D697" t="s">
        <v>27</v>
      </c>
      <c r="E697" t="s">
        <v>29</v>
      </c>
      <c r="F697" t="s">
        <v>29</v>
      </c>
      <c r="G697" t="s">
        <v>28</v>
      </c>
      <c r="H697">
        <v>4</v>
      </c>
      <c r="I697" t="s">
        <v>66</v>
      </c>
      <c r="J697" t="s">
        <v>2123</v>
      </c>
      <c r="K697" t="s">
        <v>2124</v>
      </c>
      <c r="L697" t="s">
        <v>58</v>
      </c>
      <c r="M697" s="4" t="s">
        <v>43</v>
      </c>
      <c r="N697" t="s">
        <v>119</v>
      </c>
      <c r="P697" s="3" t="s">
        <v>36</v>
      </c>
      <c r="Q697" s="3" t="s">
        <v>230</v>
      </c>
      <c r="R697">
        <v>1</v>
      </c>
      <c r="S697" s="5">
        <v>45913</v>
      </c>
      <c r="T697" t="s">
        <v>38</v>
      </c>
      <c r="U697">
        <f t="shared" ca="1" si="60"/>
        <v>28</v>
      </c>
      <c r="V697" s="6">
        <f t="shared" ca="1" si="61"/>
        <v>46030</v>
      </c>
      <c r="W697" s="6">
        <f t="shared" ca="1" si="62"/>
        <v>46036</v>
      </c>
      <c r="X697" t="str">
        <f t="shared" ca="1" si="63"/>
        <v>Jan 8 to Jan 14</v>
      </c>
      <c r="Y697" t="str">
        <f t="shared" ca="1" si="64"/>
        <v>⚪ SCHEDULED</v>
      </c>
      <c r="Z697" t="str">
        <f t="shared" ca="1" si="65"/>
        <v>No action needed yet</v>
      </c>
    </row>
    <row r="698" spans="1:26">
      <c r="A698">
        <v>1033148592</v>
      </c>
      <c r="B698" s="3" t="s">
        <v>2125</v>
      </c>
      <c r="C698">
        <v>76</v>
      </c>
      <c r="D698" t="s">
        <v>27</v>
      </c>
      <c r="E698" t="s">
        <v>29</v>
      </c>
      <c r="F698" t="s">
        <v>29</v>
      </c>
      <c r="G698" t="s">
        <v>29</v>
      </c>
      <c r="H698">
        <v>8</v>
      </c>
      <c r="I698" t="s">
        <v>30</v>
      </c>
      <c r="J698" t="s">
        <v>2126</v>
      </c>
      <c r="K698" t="s">
        <v>2127</v>
      </c>
      <c r="L698" t="s">
        <v>317</v>
      </c>
      <c r="M698" s="4" t="s">
        <v>43</v>
      </c>
      <c r="N698" t="s">
        <v>76</v>
      </c>
      <c r="P698" s="3" t="s">
        <v>36</v>
      </c>
      <c r="Q698" s="3" t="s">
        <v>90</v>
      </c>
      <c r="R698">
        <v>1</v>
      </c>
      <c r="S698" s="5">
        <v>45877</v>
      </c>
      <c r="T698" t="s">
        <v>38</v>
      </c>
      <c r="U698">
        <f t="shared" ca="1" si="60"/>
        <v>22</v>
      </c>
      <c r="V698" s="6">
        <f t="shared" ca="1" si="61"/>
        <v>46024</v>
      </c>
      <c r="W698" s="6">
        <f t="shared" ca="1" si="62"/>
        <v>46030</v>
      </c>
      <c r="X698" t="str">
        <f t="shared" ca="1" si="63"/>
        <v>Jan 2 to Jan 8</v>
      </c>
      <c r="Y698" t="str">
        <f t="shared" ca="1" si="64"/>
        <v>⚪ SCHEDULED</v>
      </c>
      <c r="Z698" t="str">
        <f t="shared" ca="1" si="65"/>
        <v>No action needed yet</v>
      </c>
    </row>
    <row r="699" spans="1:26">
      <c r="A699">
        <v>1033255397</v>
      </c>
      <c r="B699" s="3" t="s">
        <v>2128</v>
      </c>
      <c r="C699">
        <v>64</v>
      </c>
      <c r="D699" t="s">
        <v>47</v>
      </c>
      <c r="E699" t="s">
        <v>29</v>
      </c>
      <c r="F699" t="s">
        <v>29</v>
      </c>
      <c r="G699" t="s">
        <v>29</v>
      </c>
      <c r="H699">
        <v>8</v>
      </c>
      <c r="I699" t="s">
        <v>30</v>
      </c>
      <c r="J699" t="s">
        <v>2129</v>
      </c>
      <c r="K699" t="s">
        <v>2130</v>
      </c>
      <c r="L699" t="s">
        <v>100</v>
      </c>
      <c r="M699" s="4" t="s">
        <v>34</v>
      </c>
      <c r="N699" t="s">
        <v>76</v>
      </c>
      <c r="P699" s="3" t="s">
        <v>36</v>
      </c>
      <c r="Q699" s="3" t="s">
        <v>45</v>
      </c>
      <c r="R699">
        <v>1</v>
      </c>
      <c r="S699" s="5">
        <v>45455</v>
      </c>
      <c r="T699" t="s">
        <v>38</v>
      </c>
      <c r="U699">
        <f t="shared" ca="1" si="60"/>
        <v>20</v>
      </c>
      <c r="V699" s="6">
        <f t="shared" ca="1" si="61"/>
        <v>46022</v>
      </c>
      <c r="W699" s="6">
        <f t="shared" ca="1" si="62"/>
        <v>46028</v>
      </c>
      <c r="X699" t="str">
        <f t="shared" ca="1" si="63"/>
        <v>Dec 31 to Jan 6</v>
      </c>
      <c r="Y699" t="str">
        <f t="shared" ca="1" si="64"/>
        <v>⚪ SCHEDULED</v>
      </c>
      <c r="Z699" t="str">
        <f t="shared" ca="1" si="65"/>
        <v>No action needed yet</v>
      </c>
    </row>
    <row r="700" spans="1:26">
      <c r="A700">
        <v>1033298819</v>
      </c>
      <c r="B700" s="3" t="s">
        <v>2131</v>
      </c>
      <c r="C700">
        <v>44</v>
      </c>
      <c r="D700" t="s">
        <v>27</v>
      </c>
      <c r="E700" t="s">
        <v>28</v>
      </c>
      <c r="F700" t="s">
        <v>28</v>
      </c>
      <c r="G700" t="s">
        <v>29</v>
      </c>
      <c r="H700">
        <v>2</v>
      </c>
      <c r="I700" t="s">
        <v>55</v>
      </c>
      <c r="J700" t="s">
        <v>157</v>
      </c>
      <c r="K700" t="s">
        <v>158</v>
      </c>
      <c r="L700" t="s">
        <v>33</v>
      </c>
      <c r="M700" s="4" t="s">
        <v>34</v>
      </c>
      <c r="N700" t="s">
        <v>794</v>
      </c>
      <c r="P700" s="3" t="s">
        <v>36</v>
      </c>
      <c r="Q700" s="3" t="s">
        <v>107</v>
      </c>
      <c r="R700">
        <v>2</v>
      </c>
      <c r="S700" s="5">
        <v>45753</v>
      </c>
      <c r="T700" t="s">
        <v>60</v>
      </c>
      <c r="U700">
        <f t="shared" ca="1" si="60"/>
        <v>48</v>
      </c>
      <c r="V700" s="6">
        <f t="shared" ca="1" si="61"/>
        <v>46050</v>
      </c>
      <c r="W700" s="6">
        <f t="shared" ca="1" si="62"/>
        <v>46056</v>
      </c>
      <c r="X700" t="str">
        <f t="shared" ca="1" si="63"/>
        <v>Jan 28 to Feb 3</v>
      </c>
      <c r="Y700" t="str">
        <f t="shared" ca="1" si="64"/>
        <v>⚪ SCHEDULED</v>
      </c>
      <c r="Z700" t="str">
        <f t="shared" ca="1" si="65"/>
        <v>No action needed yet</v>
      </c>
    </row>
    <row r="701" spans="1:26">
      <c r="A701">
        <v>1033321017</v>
      </c>
      <c r="B701" s="3" t="s">
        <v>2132</v>
      </c>
      <c r="C701">
        <v>45</v>
      </c>
      <c r="D701" t="s">
        <v>47</v>
      </c>
      <c r="E701" t="s">
        <v>28</v>
      </c>
      <c r="F701" t="s">
        <v>28</v>
      </c>
      <c r="G701" t="s">
        <v>29</v>
      </c>
      <c r="H701">
        <v>2</v>
      </c>
      <c r="I701" t="s">
        <v>55</v>
      </c>
      <c r="J701" t="s">
        <v>1921</v>
      </c>
      <c r="K701" t="s">
        <v>2133</v>
      </c>
      <c r="M701" s="4" t="s">
        <v>43</v>
      </c>
      <c r="N701" t="s">
        <v>794</v>
      </c>
      <c r="P701" s="3" t="s">
        <v>36</v>
      </c>
      <c r="Q701" s="3" t="s">
        <v>84</v>
      </c>
      <c r="R701">
        <v>1</v>
      </c>
      <c r="S701" s="5">
        <v>45940</v>
      </c>
      <c r="T701" t="s">
        <v>60</v>
      </c>
      <c r="U701">
        <f t="shared" ca="1" si="60"/>
        <v>55</v>
      </c>
      <c r="V701" s="6">
        <f t="shared" ca="1" si="61"/>
        <v>46057</v>
      </c>
      <c r="W701" s="6">
        <f t="shared" ca="1" si="62"/>
        <v>46063</v>
      </c>
      <c r="X701" t="str">
        <f t="shared" ca="1" si="63"/>
        <v>Feb 4 to Feb 10</v>
      </c>
      <c r="Y701" t="str">
        <f t="shared" ca="1" si="64"/>
        <v>⚪ SCHEDULED</v>
      </c>
      <c r="Z701" t="str">
        <f t="shared" ca="1" si="65"/>
        <v>No action needed yet</v>
      </c>
    </row>
    <row r="702" spans="1:26">
      <c r="A702">
        <v>1033502475</v>
      </c>
      <c r="B702" s="3" t="s">
        <v>2134</v>
      </c>
      <c r="C702">
        <v>90</v>
      </c>
      <c r="D702" t="s">
        <v>47</v>
      </c>
      <c r="E702" t="s">
        <v>29</v>
      </c>
      <c r="F702" t="s">
        <v>29</v>
      </c>
      <c r="G702" t="s">
        <v>29</v>
      </c>
      <c r="H702">
        <v>8</v>
      </c>
      <c r="I702" t="s">
        <v>30</v>
      </c>
      <c r="J702" t="s">
        <v>2135</v>
      </c>
      <c r="K702" t="s">
        <v>2136</v>
      </c>
      <c r="L702" t="s">
        <v>75</v>
      </c>
      <c r="M702" s="4" t="s">
        <v>94</v>
      </c>
      <c r="N702" t="s">
        <v>76</v>
      </c>
      <c r="P702" s="3" t="s">
        <v>36</v>
      </c>
      <c r="Q702" s="3" t="s">
        <v>84</v>
      </c>
      <c r="R702">
        <v>2</v>
      </c>
      <c r="S702" s="5">
        <v>45941</v>
      </c>
      <c r="T702" t="s">
        <v>38</v>
      </c>
      <c r="U702">
        <f t="shared" ca="1" si="60"/>
        <v>26</v>
      </c>
      <c r="V702" s="6">
        <f t="shared" ca="1" si="61"/>
        <v>46028</v>
      </c>
      <c r="W702" s="6">
        <f t="shared" ca="1" si="62"/>
        <v>46034</v>
      </c>
      <c r="X702" t="str">
        <f t="shared" ca="1" si="63"/>
        <v>Jan 6 to Jan 12</v>
      </c>
      <c r="Y702" t="str">
        <f t="shared" ca="1" si="64"/>
        <v>⚪ SCHEDULED</v>
      </c>
      <c r="Z702" t="str">
        <f t="shared" ca="1" si="65"/>
        <v>No action needed yet</v>
      </c>
    </row>
    <row r="703" spans="1:26">
      <c r="A703">
        <v>1033502483</v>
      </c>
      <c r="B703" s="3" t="s">
        <v>2137</v>
      </c>
      <c r="C703">
        <v>83</v>
      </c>
      <c r="D703" t="s">
        <v>27</v>
      </c>
      <c r="E703" t="s">
        <v>29</v>
      </c>
      <c r="F703" t="s">
        <v>29</v>
      </c>
      <c r="G703" t="s">
        <v>29</v>
      </c>
      <c r="H703">
        <v>8</v>
      </c>
      <c r="I703" t="s">
        <v>30</v>
      </c>
      <c r="J703" t="s">
        <v>2138</v>
      </c>
      <c r="K703" t="s">
        <v>2139</v>
      </c>
      <c r="L703" t="s">
        <v>100</v>
      </c>
      <c r="M703" s="4" t="s">
        <v>94</v>
      </c>
      <c r="N703" t="s">
        <v>76</v>
      </c>
      <c r="P703" s="3" t="s">
        <v>36</v>
      </c>
      <c r="Q703" s="3" t="s">
        <v>45</v>
      </c>
      <c r="R703">
        <v>2</v>
      </c>
      <c r="S703" s="5">
        <v>45945</v>
      </c>
      <c r="T703" t="s">
        <v>38</v>
      </c>
      <c r="U703">
        <f t="shared" ca="1" si="60"/>
        <v>0</v>
      </c>
      <c r="V703" s="6">
        <f t="shared" ca="1" si="61"/>
        <v>46002</v>
      </c>
      <c r="W703" s="6">
        <f t="shared" ca="1" si="62"/>
        <v>46008</v>
      </c>
      <c r="X703" t="str">
        <f t="shared" ca="1" si="63"/>
        <v>Dec 11 to Dec 17</v>
      </c>
      <c r="Y703" t="str">
        <f t="shared" ca="1" si="64"/>
        <v>🟡 IMMINENT (within 3 days)</v>
      </c>
      <c r="Z703" t="str">
        <f t="shared" ca="1" si="65"/>
        <v>Prepare medications TODAY</v>
      </c>
    </row>
    <row r="704" spans="1:26">
      <c r="A704">
        <v>1033521251</v>
      </c>
      <c r="B704" s="3" t="s">
        <v>2140</v>
      </c>
      <c r="C704">
        <v>53</v>
      </c>
      <c r="D704" t="s">
        <v>47</v>
      </c>
      <c r="E704" t="s">
        <v>54</v>
      </c>
      <c r="F704" t="s">
        <v>54</v>
      </c>
      <c r="G704" t="s">
        <v>54</v>
      </c>
      <c r="H704">
        <v>2</v>
      </c>
      <c r="I704" t="s">
        <v>55</v>
      </c>
      <c r="J704" t="s">
        <v>67</v>
      </c>
      <c r="K704" t="s">
        <v>2141</v>
      </c>
      <c r="L704" t="s">
        <v>69</v>
      </c>
      <c r="M704" s="4" t="s">
        <v>43</v>
      </c>
      <c r="N704" t="s">
        <v>59</v>
      </c>
      <c r="P704" s="3" t="s">
        <v>36</v>
      </c>
      <c r="Q704" t="s">
        <v>54</v>
      </c>
      <c r="R704">
        <v>2</v>
      </c>
      <c r="S704" s="5">
        <v>45899</v>
      </c>
      <c r="T704" t="s">
        <v>60</v>
      </c>
      <c r="U704">
        <f t="shared" ca="1" si="60"/>
        <v>14</v>
      </c>
      <c r="V704" s="6">
        <f t="shared" ca="1" si="61"/>
        <v>46016</v>
      </c>
      <c r="W704" s="6">
        <f t="shared" ca="1" si="62"/>
        <v>46022</v>
      </c>
      <c r="X704" t="str">
        <f t="shared" ca="1" si="63"/>
        <v>Dec 25 to Dec 31</v>
      </c>
      <c r="Y704" t="str">
        <f t="shared" ca="1" si="64"/>
        <v>🔵 NEXT 2 WEEKS</v>
      </c>
      <c r="Z704" t="str">
        <f t="shared" ca="1" si="65"/>
        <v>Send reminder SMS</v>
      </c>
    </row>
    <row r="705" spans="1:26">
      <c r="A705">
        <v>1033560200</v>
      </c>
      <c r="B705" s="3" t="s">
        <v>2142</v>
      </c>
      <c r="C705">
        <v>47</v>
      </c>
      <c r="D705" t="s">
        <v>27</v>
      </c>
      <c r="E705" t="s">
        <v>29</v>
      </c>
      <c r="F705" t="s">
        <v>29</v>
      </c>
      <c r="G705" t="s">
        <v>28</v>
      </c>
      <c r="H705">
        <v>3</v>
      </c>
      <c r="I705" t="s">
        <v>66</v>
      </c>
      <c r="J705" t="s">
        <v>2143</v>
      </c>
      <c r="K705" t="s">
        <v>2144</v>
      </c>
      <c r="L705" t="s">
        <v>170</v>
      </c>
      <c r="M705" s="4" t="s">
        <v>34</v>
      </c>
      <c r="N705" t="s">
        <v>106</v>
      </c>
      <c r="P705" s="3" t="s">
        <v>36</v>
      </c>
      <c r="Q705" s="3" t="s">
        <v>45</v>
      </c>
      <c r="R705">
        <v>1</v>
      </c>
      <c r="S705" s="5">
        <v>45734</v>
      </c>
      <c r="T705" t="s">
        <v>38</v>
      </c>
      <c r="U705">
        <f t="shared" ca="1" si="60"/>
        <v>29</v>
      </c>
      <c r="V705" s="6">
        <f t="shared" ca="1" si="61"/>
        <v>46031</v>
      </c>
      <c r="W705" s="6">
        <f t="shared" ca="1" si="62"/>
        <v>46037</v>
      </c>
      <c r="X705" t="str">
        <f t="shared" ca="1" si="63"/>
        <v>Jan 9 to Jan 15</v>
      </c>
      <c r="Y705" t="str">
        <f t="shared" ca="1" si="64"/>
        <v>⚪ SCHEDULED</v>
      </c>
      <c r="Z705" t="str">
        <f t="shared" ca="1" si="65"/>
        <v>No action needed yet</v>
      </c>
    </row>
    <row r="706" spans="1:26">
      <c r="A706">
        <v>1033711621</v>
      </c>
      <c r="B706" s="3" t="s">
        <v>2145</v>
      </c>
      <c r="C706">
        <v>40</v>
      </c>
      <c r="D706" t="s">
        <v>27</v>
      </c>
      <c r="E706" t="s">
        <v>28</v>
      </c>
      <c r="F706" t="s">
        <v>28</v>
      </c>
      <c r="G706" t="s">
        <v>29</v>
      </c>
      <c r="H706">
        <v>2</v>
      </c>
      <c r="I706" t="s">
        <v>55</v>
      </c>
      <c r="J706" t="s">
        <v>112</v>
      </c>
      <c r="K706" t="s">
        <v>2146</v>
      </c>
      <c r="L706" t="s">
        <v>114</v>
      </c>
      <c r="M706" s="4" t="s">
        <v>34</v>
      </c>
      <c r="N706" t="s">
        <v>140</v>
      </c>
      <c r="P706" s="3" t="s">
        <v>36</v>
      </c>
      <c r="Q706" s="3" t="s">
        <v>45</v>
      </c>
      <c r="R706">
        <v>1</v>
      </c>
      <c r="S706" s="5">
        <v>45710</v>
      </c>
      <c r="T706" t="s">
        <v>60</v>
      </c>
      <c r="U706">
        <f t="shared" ref="U706:U769" ca="1" si="66">IF(S706&gt;=TODAY(),S706,S706+CEILING((TODAY()-S706)/IF(T706="Monthly",30,IF(T706="Bi-Monthly",60,90)),1)*IF(T706="Monthly",30,IF(T706="Bi-Monthly",60,90)))-TODAY()</f>
        <v>5</v>
      </c>
      <c r="V706" s="6">
        <f t="shared" ref="V706:V769" ca="1" si="67">IF(S706&gt;=TODAY(),S706,S706+CEILING((TODAY()-S706)/IF(T706="Monthly",30,IF(T706="Bi-Monthly",60,90)),1)*IF(T706="Monthly",30,IF(T706="Bi-Monthly",60,90)))-3</f>
        <v>46007</v>
      </c>
      <c r="W706" s="6">
        <f t="shared" ref="W706:W769" ca="1" si="68">IF(S706&gt;=TODAY(),S706,S706+CEILING((TODAY()-S706)/IF(T706="Monthly",30,IF(T706="Bi-Monthly",60,90)),1)*IF(T706="Monthly",30,IF(T706="Bi-Monthly",60,90)))+3</f>
        <v>46013</v>
      </c>
      <c r="X706" t="str">
        <f t="shared" ref="X706:X769" ca="1" si="69">TEXT(V706,"MMM D")&amp;" to "&amp;TEXT(W706,"MMM D")</f>
        <v>Dec 16 to Dec 22</v>
      </c>
      <c r="Y706" t="str">
        <f t="shared" ref="Y706:Y769" ca="1" si="70">IF(U706&lt;=3,"🟡 IMMINENT (within 3 days)",IF(U706&lt;=7,"🟢 THIS WEEK",IF(U706&lt;=14,"🔵 NEXT 2 WEEKS","⚪ SCHEDULED")))</f>
        <v>🟢 THIS WEEK</v>
      </c>
      <c r="Z706" t="str">
        <f t="shared" ref="Z706:Z769" ca="1" si="71">IF(U706&lt;=3,"Prepare medications TODAY",IF(U706&lt;=7,"Confirm appointment",IF(U706&lt;=14,"Send reminder SMS","No action needed yet")))</f>
        <v>Confirm appointment</v>
      </c>
    </row>
    <row r="707" spans="1:26">
      <c r="A707">
        <v>1033853183</v>
      </c>
      <c r="B707" s="3" t="s">
        <v>2147</v>
      </c>
      <c r="C707">
        <v>72</v>
      </c>
      <c r="D707" t="s">
        <v>47</v>
      </c>
      <c r="E707" t="s">
        <v>29</v>
      </c>
      <c r="F707" t="s">
        <v>29</v>
      </c>
      <c r="G707" t="s">
        <v>28</v>
      </c>
      <c r="H707">
        <v>6</v>
      </c>
      <c r="I707" t="s">
        <v>30</v>
      </c>
      <c r="J707" t="s">
        <v>2148</v>
      </c>
      <c r="K707" t="s">
        <v>2149</v>
      </c>
      <c r="L707" t="s">
        <v>317</v>
      </c>
      <c r="M707" s="4" t="s">
        <v>34</v>
      </c>
      <c r="N707" t="s">
        <v>119</v>
      </c>
      <c r="P707" s="3" t="s">
        <v>36</v>
      </c>
      <c r="Q707" s="3" t="s">
        <v>90</v>
      </c>
      <c r="R707">
        <v>1</v>
      </c>
      <c r="S707" s="5">
        <v>45386</v>
      </c>
      <c r="T707" t="s">
        <v>38</v>
      </c>
      <c r="U707">
        <f t="shared" ca="1" si="66"/>
        <v>11</v>
      </c>
      <c r="V707" s="6">
        <f t="shared" ca="1" si="67"/>
        <v>46013</v>
      </c>
      <c r="W707" s="6">
        <f t="shared" ca="1" si="68"/>
        <v>46019</v>
      </c>
      <c r="X707" t="str">
        <f t="shared" ca="1" si="69"/>
        <v>Dec 22 to Dec 28</v>
      </c>
      <c r="Y707" t="str">
        <f t="shared" ca="1" si="70"/>
        <v>🔵 NEXT 2 WEEKS</v>
      </c>
      <c r="Z707" t="str">
        <f t="shared" ca="1" si="71"/>
        <v>Send reminder SMS</v>
      </c>
    </row>
    <row r="708" spans="1:26">
      <c r="A708">
        <v>1034056745</v>
      </c>
      <c r="B708" s="3" t="s">
        <v>2150</v>
      </c>
      <c r="C708">
        <v>75</v>
      </c>
      <c r="D708" t="s">
        <v>27</v>
      </c>
      <c r="E708" t="s">
        <v>29</v>
      </c>
      <c r="F708" t="s">
        <v>29</v>
      </c>
      <c r="G708" t="s">
        <v>29</v>
      </c>
      <c r="H708">
        <v>8</v>
      </c>
      <c r="I708" t="s">
        <v>30</v>
      </c>
      <c r="J708" t="s">
        <v>2151</v>
      </c>
      <c r="K708" t="s">
        <v>2152</v>
      </c>
      <c r="L708" t="s">
        <v>100</v>
      </c>
      <c r="M708" s="4" t="s">
        <v>43</v>
      </c>
      <c r="N708" t="s">
        <v>76</v>
      </c>
      <c r="P708" s="3" t="s">
        <v>36</v>
      </c>
      <c r="Q708" s="3" t="s">
        <v>90</v>
      </c>
      <c r="R708">
        <v>2</v>
      </c>
      <c r="S708" s="5">
        <v>45861</v>
      </c>
      <c r="T708" t="s">
        <v>38</v>
      </c>
      <c r="U708">
        <f t="shared" ca="1" si="66"/>
        <v>6</v>
      </c>
      <c r="V708" s="6">
        <f t="shared" ca="1" si="67"/>
        <v>46008</v>
      </c>
      <c r="W708" s="6">
        <f t="shared" ca="1" si="68"/>
        <v>46014</v>
      </c>
      <c r="X708" t="str">
        <f t="shared" ca="1" si="69"/>
        <v>Dec 17 to Dec 23</v>
      </c>
      <c r="Y708" t="str">
        <f t="shared" ca="1" si="70"/>
        <v>🟢 THIS WEEK</v>
      </c>
      <c r="Z708" t="str">
        <f t="shared" ca="1" si="71"/>
        <v>Confirm appointment</v>
      </c>
    </row>
    <row r="709" spans="1:26">
      <c r="A709">
        <v>1034118230</v>
      </c>
      <c r="B709" s="3" t="s">
        <v>2153</v>
      </c>
      <c r="C709">
        <v>56</v>
      </c>
      <c r="D709" t="s">
        <v>47</v>
      </c>
      <c r="E709" t="s">
        <v>28</v>
      </c>
      <c r="F709" t="s">
        <v>29</v>
      </c>
      <c r="G709" t="s">
        <v>28</v>
      </c>
      <c r="H709">
        <v>3</v>
      </c>
      <c r="I709" t="s">
        <v>66</v>
      </c>
      <c r="J709" t="s">
        <v>519</v>
      </c>
      <c r="K709" t="s">
        <v>1645</v>
      </c>
      <c r="L709" t="s">
        <v>114</v>
      </c>
      <c r="M709" s="4" t="s">
        <v>34</v>
      </c>
      <c r="N709" t="s">
        <v>64</v>
      </c>
      <c r="P709" s="3" t="s">
        <v>36</v>
      </c>
      <c r="Q709" s="3" t="s">
        <v>123</v>
      </c>
      <c r="R709">
        <v>2</v>
      </c>
      <c r="S709" s="5">
        <v>45475</v>
      </c>
      <c r="T709" t="s">
        <v>38</v>
      </c>
      <c r="U709">
        <f t="shared" ca="1" si="66"/>
        <v>10</v>
      </c>
      <c r="V709" s="6">
        <f t="shared" ca="1" si="67"/>
        <v>46012</v>
      </c>
      <c r="W709" s="6">
        <f t="shared" ca="1" si="68"/>
        <v>46018</v>
      </c>
      <c r="X709" t="str">
        <f t="shared" ca="1" si="69"/>
        <v>Dec 21 to Dec 27</v>
      </c>
      <c r="Y709" t="str">
        <f t="shared" ca="1" si="70"/>
        <v>🔵 NEXT 2 WEEKS</v>
      </c>
      <c r="Z709" t="str">
        <f t="shared" ca="1" si="71"/>
        <v>Send reminder SMS</v>
      </c>
    </row>
    <row r="710" spans="1:26">
      <c r="A710">
        <v>1034125995</v>
      </c>
      <c r="B710" s="3" t="s">
        <v>2154</v>
      </c>
      <c r="C710">
        <v>67</v>
      </c>
      <c r="D710" t="s">
        <v>27</v>
      </c>
      <c r="E710" t="s">
        <v>28</v>
      </c>
      <c r="F710" t="s">
        <v>29</v>
      </c>
      <c r="G710" t="s">
        <v>29</v>
      </c>
      <c r="H710">
        <v>5</v>
      </c>
      <c r="I710" t="s">
        <v>30</v>
      </c>
      <c r="J710" t="s">
        <v>2155</v>
      </c>
      <c r="K710" t="s">
        <v>2156</v>
      </c>
      <c r="L710" t="s">
        <v>135</v>
      </c>
      <c r="M710" s="4" t="s">
        <v>34</v>
      </c>
      <c r="N710" t="s">
        <v>333</v>
      </c>
      <c r="P710" s="3" t="s">
        <v>36</v>
      </c>
      <c r="Q710" s="3" t="s">
        <v>84</v>
      </c>
      <c r="R710">
        <v>2</v>
      </c>
      <c r="S710" s="5">
        <v>45631</v>
      </c>
      <c r="T710" t="s">
        <v>38</v>
      </c>
      <c r="U710">
        <f t="shared" ca="1" si="66"/>
        <v>16</v>
      </c>
      <c r="V710" s="6">
        <f t="shared" ca="1" si="67"/>
        <v>46018</v>
      </c>
      <c r="W710" s="6">
        <f t="shared" ca="1" si="68"/>
        <v>46024</v>
      </c>
      <c r="X710" t="str">
        <f t="shared" ca="1" si="69"/>
        <v>Dec 27 to Jan 2</v>
      </c>
      <c r="Y710" t="str">
        <f t="shared" ca="1" si="70"/>
        <v>⚪ SCHEDULED</v>
      </c>
      <c r="Z710" t="str">
        <f t="shared" ca="1" si="71"/>
        <v>No action needed yet</v>
      </c>
    </row>
    <row r="711" spans="1:26">
      <c r="A711">
        <v>1034187680</v>
      </c>
      <c r="B711" s="3" t="s">
        <v>2157</v>
      </c>
      <c r="C711">
        <v>63</v>
      </c>
      <c r="D711" t="s">
        <v>47</v>
      </c>
      <c r="E711" t="s">
        <v>28</v>
      </c>
      <c r="F711" t="s">
        <v>29</v>
      </c>
      <c r="G711" t="s">
        <v>28</v>
      </c>
      <c r="H711">
        <v>4</v>
      </c>
      <c r="I711" t="s">
        <v>66</v>
      </c>
      <c r="J711" t="s">
        <v>2158</v>
      </c>
      <c r="K711" t="s">
        <v>2159</v>
      </c>
      <c r="M711" s="4" t="s">
        <v>34</v>
      </c>
      <c r="N711" t="s">
        <v>64</v>
      </c>
      <c r="P711" s="3" t="s">
        <v>36</v>
      </c>
      <c r="Q711" s="3" t="s">
        <v>77</v>
      </c>
      <c r="R711">
        <v>1</v>
      </c>
      <c r="S711" s="5">
        <v>45832</v>
      </c>
      <c r="T711" t="s">
        <v>38</v>
      </c>
      <c r="U711">
        <f t="shared" ca="1" si="66"/>
        <v>7</v>
      </c>
      <c r="V711" s="6">
        <f t="shared" ca="1" si="67"/>
        <v>46009</v>
      </c>
      <c r="W711" s="6">
        <f t="shared" ca="1" si="68"/>
        <v>46015</v>
      </c>
      <c r="X711" t="str">
        <f t="shared" ca="1" si="69"/>
        <v>Dec 18 to Dec 24</v>
      </c>
      <c r="Y711" t="str">
        <f t="shared" ca="1" si="70"/>
        <v>🟢 THIS WEEK</v>
      </c>
      <c r="Z711" t="str">
        <f t="shared" ca="1" si="71"/>
        <v>Confirm appointment</v>
      </c>
    </row>
    <row r="712" spans="1:26">
      <c r="A712">
        <v>1034210748</v>
      </c>
      <c r="B712" s="3" t="s">
        <v>2160</v>
      </c>
      <c r="C712">
        <v>44</v>
      </c>
      <c r="D712" t="s">
        <v>27</v>
      </c>
      <c r="E712" t="s">
        <v>29</v>
      </c>
      <c r="F712" t="s">
        <v>28</v>
      </c>
      <c r="G712" t="s">
        <v>28</v>
      </c>
      <c r="H712">
        <v>3</v>
      </c>
      <c r="I712" t="s">
        <v>66</v>
      </c>
      <c r="J712" t="s">
        <v>173</v>
      </c>
      <c r="K712" t="s">
        <v>2161</v>
      </c>
      <c r="M712" s="4" t="s">
        <v>34</v>
      </c>
      <c r="N712" t="s">
        <v>148</v>
      </c>
      <c r="P712" s="3" t="s">
        <v>36</v>
      </c>
      <c r="Q712" s="3" t="s">
        <v>90</v>
      </c>
      <c r="R712">
        <v>2</v>
      </c>
      <c r="S712" s="5">
        <v>45829</v>
      </c>
      <c r="T712" t="s">
        <v>38</v>
      </c>
      <c r="U712">
        <f t="shared" ca="1" si="66"/>
        <v>4</v>
      </c>
      <c r="V712" s="6">
        <f t="shared" ca="1" si="67"/>
        <v>46006</v>
      </c>
      <c r="W712" s="6">
        <f t="shared" ca="1" si="68"/>
        <v>46012</v>
      </c>
      <c r="X712" t="str">
        <f t="shared" ca="1" si="69"/>
        <v>Dec 15 to Dec 21</v>
      </c>
      <c r="Y712" t="str">
        <f t="shared" ca="1" si="70"/>
        <v>🟢 THIS WEEK</v>
      </c>
      <c r="Z712" t="str">
        <f t="shared" ca="1" si="71"/>
        <v>Confirm appointment</v>
      </c>
    </row>
    <row r="713" spans="1:26">
      <c r="A713">
        <v>1034221885</v>
      </c>
      <c r="B713" s="3" t="s">
        <v>2162</v>
      </c>
      <c r="C713">
        <v>70</v>
      </c>
      <c r="D713" t="s">
        <v>27</v>
      </c>
      <c r="E713" t="s">
        <v>54</v>
      </c>
      <c r="F713" t="s">
        <v>54</v>
      </c>
      <c r="G713" t="s">
        <v>54</v>
      </c>
      <c r="H713">
        <v>4</v>
      </c>
      <c r="I713" t="s">
        <v>66</v>
      </c>
      <c r="J713" t="s">
        <v>2163</v>
      </c>
      <c r="K713" t="s">
        <v>2164</v>
      </c>
      <c r="L713" t="s">
        <v>948</v>
      </c>
      <c r="M713" s="4" t="s">
        <v>34</v>
      </c>
      <c r="N713" t="s">
        <v>59</v>
      </c>
      <c r="P713" s="3" t="s">
        <v>36</v>
      </c>
      <c r="Q713" t="s">
        <v>54</v>
      </c>
      <c r="R713">
        <v>2</v>
      </c>
      <c r="S713" s="5">
        <v>45827</v>
      </c>
      <c r="T713" t="s">
        <v>38</v>
      </c>
      <c r="U713">
        <f t="shared" ca="1" si="66"/>
        <v>2</v>
      </c>
      <c r="V713" s="6">
        <f t="shared" ca="1" si="67"/>
        <v>46004</v>
      </c>
      <c r="W713" s="6">
        <f t="shared" ca="1" si="68"/>
        <v>46010</v>
      </c>
      <c r="X713" t="str">
        <f t="shared" ca="1" si="69"/>
        <v>Dec 13 to Dec 19</v>
      </c>
      <c r="Y713" t="str">
        <f t="shared" ca="1" si="70"/>
        <v>🟡 IMMINENT (within 3 days)</v>
      </c>
      <c r="Z713" t="str">
        <f t="shared" ca="1" si="71"/>
        <v>Prepare medications TODAY</v>
      </c>
    </row>
    <row r="714" spans="1:26">
      <c r="A714">
        <v>1034223683</v>
      </c>
      <c r="B714" s="3" t="s">
        <v>2165</v>
      </c>
      <c r="C714">
        <v>66</v>
      </c>
      <c r="D714" t="s">
        <v>47</v>
      </c>
      <c r="E714" t="s">
        <v>28</v>
      </c>
      <c r="F714" t="s">
        <v>29</v>
      </c>
      <c r="G714" t="s">
        <v>29</v>
      </c>
      <c r="H714">
        <v>6</v>
      </c>
      <c r="I714" t="s">
        <v>30</v>
      </c>
      <c r="J714" t="s">
        <v>2166</v>
      </c>
      <c r="K714" t="s">
        <v>2167</v>
      </c>
      <c r="M714" s="4" t="s">
        <v>43</v>
      </c>
      <c r="N714" t="s">
        <v>35</v>
      </c>
      <c r="P714" s="3" t="s">
        <v>36</v>
      </c>
      <c r="Q714" s="3" t="s">
        <v>107</v>
      </c>
      <c r="R714">
        <v>1</v>
      </c>
      <c r="S714" s="5">
        <v>45862</v>
      </c>
      <c r="T714" t="s">
        <v>38</v>
      </c>
      <c r="U714">
        <f t="shared" ca="1" si="66"/>
        <v>7</v>
      </c>
      <c r="V714" s="6">
        <f t="shared" ca="1" si="67"/>
        <v>46009</v>
      </c>
      <c r="W714" s="6">
        <f t="shared" ca="1" si="68"/>
        <v>46015</v>
      </c>
      <c r="X714" t="str">
        <f t="shared" ca="1" si="69"/>
        <v>Dec 18 to Dec 24</v>
      </c>
      <c r="Y714" t="str">
        <f t="shared" ca="1" si="70"/>
        <v>🟢 THIS WEEK</v>
      </c>
      <c r="Z714" t="str">
        <f t="shared" ca="1" si="71"/>
        <v>Confirm appointment</v>
      </c>
    </row>
    <row r="715" spans="1:26">
      <c r="A715">
        <v>1034249902</v>
      </c>
      <c r="B715" s="3" t="s">
        <v>2168</v>
      </c>
      <c r="C715">
        <v>59</v>
      </c>
      <c r="D715" t="s">
        <v>47</v>
      </c>
      <c r="E715" t="s">
        <v>54</v>
      </c>
      <c r="F715" t="s">
        <v>54</v>
      </c>
      <c r="G715" t="s">
        <v>54</v>
      </c>
      <c r="H715">
        <v>2</v>
      </c>
      <c r="I715" t="s">
        <v>55</v>
      </c>
      <c r="J715" t="s">
        <v>2169</v>
      </c>
      <c r="K715" t="s">
        <v>2170</v>
      </c>
      <c r="L715" t="s">
        <v>166</v>
      </c>
      <c r="M715" s="4" t="s">
        <v>43</v>
      </c>
      <c r="N715" t="s">
        <v>59</v>
      </c>
      <c r="P715" s="3" t="s">
        <v>36</v>
      </c>
      <c r="Q715" t="s">
        <v>54</v>
      </c>
      <c r="R715">
        <v>2</v>
      </c>
      <c r="S715" s="5">
        <v>45892</v>
      </c>
      <c r="T715" t="s">
        <v>60</v>
      </c>
      <c r="U715">
        <f t="shared" ca="1" si="66"/>
        <v>7</v>
      </c>
      <c r="V715" s="6">
        <f t="shared" ca="1" si="67"/>
        <v>46009</v>
      </c>
      <c r="W715" s="6">
        <f t="shared" ca="1" si="68"/>
        <v>46015</v>
      </c>
      <c r="X715" t="str">
        <f t="shared" ca="1" si="69"/>
        <v>Dec 18 to Dec 24</v>
      </c>
      <c r="Y715" t="str">
        <f t="shared" ca="1" si="70"/>
        <v>🟢 THIS WEEK</v>
      </c>
      <c r="Z715" t="str">
        <f t="shared" ca="1" si="71"/>
        <v>Confirm appointment</v>
      </c>
    </row>
    <row r="716" spans="1:26">
      <c r="A716">
        <v>1034294569</v>
      </c>
      <c r="B716" s="3" t="s">
        <v>2171</v>
      </c>
      <c r="C716">
        <v>58</v>
      </c>
      <c r="D716" t="s">
        <v>47</v>
      </c>
      <c r="E716" t="s">
        <v>29</v>
      </c>
      <c r="F716" t="s">
        <v>29</v>
      </c>
      <c r="G716" t="s">
        <v>29</v>
      </c>
      <c r="H716">
        <v>5</v>
      </c>
      <c r="I716" t="s">
        <v>30</v>
      </c>
      <c r="J716" t="s">
        <v>2172</v>
      </c>
      <c r="K716" t="s">
        <v>2173</v>
      </c>
      <c r="L716" t="s">
        <v>33</v>
      </c>
      <c r="M716" s="4" t="s">
        <v>43</v>
      </c>
      <c r="N716" t="s">
        <v>44</v>
      </c>
      <c r="P716" s="3" t="s">
        <v>36</v>
      </c>
      <c r="Q716" s="3" t="s">
        <v>84</v>
      </c>
      <c r="R716">
        <v>2</v>
      </c>
      <c r="S716" s="5">
        <v>45882</v>
      </c>
      <c r="T716" t="s">
        <v>38</v>
      </c>
      <c r="U716">
        <f t="shared" ca="1" si="66"/>
        <v>27</v>
      </c>
      <c r="V716" s="6">
        <f t="shared" ca="1" si="67"/>
        <v>46029</v>
      </c>
      <c r="W716" s="6">
        <f t="shared" ca="1" si="68"/>
        <v>46035</v>
      </c>
      <c r="X716" t="str">
        <f t="shared" ca="1" si="69"/>
        <v>Jan 7 to Jan 13</v>
      </c>
      <c r="Y716" t="str">
        <f t="shared" ca="1" si="70"/>
        <v>⚪ SCHEDULED</v>
      </c>
      <c r="Z716" t="str">
        <f t="shared" ca="1" si="71"/>
        <v>No action needed yet</v>
      </c>
    </row>
    <row r="717" spans="1:26">
      <c r="A717">
        <v>1034430791</v>
      </c>
      <c r="B717" s="3" t="s">
        <v>2174</v>
      </c>
      <c r="C717">
        <v>50</v>
      </c>
      <c r="D717" t="s">
        <v>47</v>
      </c>
      <c r="E717" t="s">
        <v>28</v>
      </c>
      <c r="F717" t="s">
        <v>28</v>
      </c>
      <c r="G717" t="s">
        <v>28</v>
      </c>
      <c r="H717">
        <v>2</v>
      </c>
      <c r="I717" t="s">
        <v>55</v>
      </c>
      <c r="J717" t="s">
        <v>519</v>
      </c>
      <c r="K717" t="s">
        <v>2175</v>
      </c>
      <c r="L717" t="s">
        <v>114</v>
      </c>
      <c r="M717" s="4" t="s">
        <v>43</v>
      </c>
      <c r="N717" t="s">
        <v>59</v>
      </c>
      <c r="P717" s="3" t="s">
        <v>36</v>
      </c>
      <c r="Q717" s="3" t="s">
        <v>107</v>
      </c>
      <c r="R717">
        <v>1</v>
      </c>
      <c r="S717" s="5">
        <v>45955</v>
      </c>
      <c r="T717" t="s">
        <v>60</v>
      </c>
      <c r="U717">
        <f t="shared" ca="1" si="66"/>
        <v>10</v>
      </c>
      <c r="V717" s="6">
        <f t="shared" ca="1" si="67"/>
        <v>46012</v>
      </c>
      <c r="W717" s="6">
        <f t="shared" ca="1" si="68"/>
        <v>46018</v>
      </c>
      <c r="X717" t="str">
        <f t="shared" ca="1" si="69"/>
        <v>Dec 21 to Dec 27</v>
      </c>
      <c r="Y717" t="str">
        <f t="shared" ca="1" si="70"/>
        <v>🔵 NEXT 2 WEEKS</v>
      </c>
      <c r="Z717" t="str">
        <f t="shared" ca="1" si="71"/>
        <v>Send reminder SMS</v>
      </c>
    </row>
    <row r="718" spans="1:26">
      <c r="A718">
        <v>1034449494</v>
      </c>
      <c r="B718" s="3" t="s">
        <v>2176</v>
      </c>
      <c r="C718">
        <v>67</v>
      </c>
      <c r="D718" t="s">
        <v>27</v>
      </c>
      <c r="E718" t="s">
        <v>54</v>
      </c>
      <c r="F718" t="s">
        <v>54</v>
      </c>
      <c r="G718" t="s">
        <v>54</v>
      </c>
      <c r="H718">
        <v>3</v>
      </c>
      <c r="I718" t="s">
        <v>66</v>
      </c>
      <c r="J718" t="s">
        <v>278</v>
      </c>
      <c r="K718" t="s">
        <v>2177</v>
      </c>
      <c r="L718" t="s">
        <v>170</v>
      </c>
      <c r="M718" s="4" t="s">
        <v>94</v>
      </c>
      <c r="N718" t="s">
        <v>59</v>
      </c>
      <c r="P718" s="3" t="s">
        <v>36</v>
      </c>
      <c r="Q718" s="3" t="s">
        <v>90</v>
      </c>
      <c r="R718">
        <v>1</v>
      </c>
      <c r="S718" s="5">
        <v>45931</v>
      </c>
      <c r="T718" t="s">
        <v>38</v>
      </c>
      <c r="U718">
        <f t="shared" ca="1" si="66"/>
        <v>16</v>
      </c>
      <c r="V718" s="6">
        <f t="shared" ca="1" si="67"/>
        <v>46018</v>
      </c>
      <c r="W718" s="6">
        <f t="shared" ca="1" si="68"/>
        <v>46024</v>
      </c>
      <c r="X718" t="str">
        <f t="shared" ca="1" si="69"/>
        <v>Dec 27 to Jan 2</v>
      </c>
      <c r="Y718" t="str">
        <f t="shared" ca="1" si="70"/>
        <v>⚪ SCHEDULED</v>
      </c>
      <c r="Z718" t="str">
        <f t="shared" ca="1" si="71"/>
        <v>No action needed yet</v>
      </c>
    </row>
    <row r="719" spans="1:26">
      <c r="A719">
        <v>1034499366</v>
      </c>
      <c r="B719" s="3" t="s">
        <v>2178</v>
      </c>
      <c r="C719">
        <v>49</v>
      </c>
      <c r="D719" t="s">
        <v>27</v>
      </c>
      <c r="E719" t="s">
        <v>29</v>
      </c>
      <c r="F719" t="s">
        <v>28</v>
      </c>
      <c r="G719" t="s">
        <v>29</v>
      </c>
      <c r="H719">
        <v>4</v>
      </c>
      <c r="I719" t="s">
        <v>66</v>
      </c>
      <c r="J719" t="s">
        <v>2179</v>
      </c>
      <c r="K719" t="s">
        <v>2180</v>
      </c>
      <c r="M719" s="4" t="s">
        <v>94</v>
      </c>
      <c r="N719" t="s">
        <v>95</v>
      </c>
      <c r="P719" s="3" t="s">
        <v>36</v>
      </c>
      <c r="Q719" s="3" t="s">
        <v>90</v>
      </c>
      <c r="R719">
        <v>1</v>
      </c>
      <c r="S719" s="5">
        <v>45941</v>
      </c>
      <c r="T719" t="s">
        <v>38</v>
      </c>
      <c r="U719">
        <f t="shared" ca="1" si="66"/>
        <v>26</v>
      </c>
      <c r="V719" s="6">
        <f t="shared" ca="1" si="67"/>
        <v>46028</v>
      </c>
      <c r="W719" s="6">
        <f t="shared" ca="1" si="68"/>
        <v>46034</v>
      </c>
      <c r="X719" t="str">
        <f t="shared" ca="1" si="69"/>
        <v>Jan 6 to Jan 12</v>
      </c>
      <c r="Y719" t="str">
        <f t="shared" ca="1" si="70"/>
        <v>⚪ SCHEDULED</v>
      </c>
      <c r="Z719" t="str">
        <f t="shared" ca="1" si="71"/>
        <v>No action needed yet</v>
      </c>
    </row>
    <row r="720" spans="1:26">
      <c r="A720">
        <v>1034535151</v>
      </c>
      <c r="B720" s="3" t="s">
        <v>2181</v>
      </c>
      <c r="C720">
        <v>59</v>
      </c>
      <c r="D720" t="s">
        <v>27</v>
      </c>
      <c r="E720" t="s">
        <v>54</v>
      </c>
      <c r="F720" t="s">
        <v>54</v>
      </c>
      <c r="G720" t="s">
        <v>54</v>
      </c>
      <c r="H720">
        <v>2</v>
      </c>
      <c r="I720" t="s">
        <v>55</v>
      </c>
      <c r="J720" t="s">
        <v>2182</v>
      </c>
      <c r="K720" t="s">
        <v>2183</v>
      </c>
      <c r="L720" t="s">
        <v>33</v>
      </c>
      <c r="M720" s="4" t="s">
        <v>34</v>
      </c>
      <c r="N720" t="s">
        <v>59</v>
      </c>
      <c r="P720" s="3" t="s">
        <v>36</v>
      </c>
      <c r="Q720" t="s">
        <v>54</v>
      </c>
      <c r="R720">
        <v>2</v>
      </c>
      <c r="S720" s="5">
        <v>45382</v>
      </c>
      <c r="T720" t="s">
        <v>60</v>
      </c>
      <c r="U720">
        <f t="shared" ca="1" si="66"/>
        <v>37</v>
      </c>
      <c r="V720" s="6">
        <f t="shared" ca="1" si="67"/>
        <v>46039</v>
      </c>
      <c r="W720" s="6">
        <f t="shared" ca="1" si="68"/>
        <v>46045</v>
      </c>
      <c r="X720" t="str">
        <f t="shared" ca="1" si="69"/>
        <v>Jan 17 to Jan 23</v>
      </c>
      <c r="Y720" t="str">
        <f t="shared" ca="1" si="70"/>
        <v>⚪ SCHEDULED</v>
      </c>
      <c r="Z720" t="str">
        <f t="shared" ca="1" si="71"/>
        <v>No action needed yet</v>
      </c>
    </row>
    <row r="721" spans="1:26">
      <c r="A721">
        <v>1034827855</v>
      </c>
      <c r="B721" s="3" t="s">
        <v>2184</v>
      </c>
      <c r="C721">
        <v>66</v>
      </c>
      <c r="D721" t="s">
        <v>47</v>
      </c>
      <c r="E721" t="s">
        <v>29</v>
      </c>
      <c r="F721" t="s">
        <v>29</v>
      </c>
      <c r="G721" t="s">
        <v>28</v>
      </c>
      <c r="H721">
        <v>5</v>
      </c>
      <c r="I721" t="s">
        <v>30</v>
      </c>
      <c r="J721" t="s">
        <v>2185</v>
      </c>
      <c r="K721" t="s">
        <v>2186</v>
      </c>
      <c r="L721" t="s">
        <v>105</v>
      </c>
      <c r="M721" s="4" t="s">
        <v>43</v>
      </c>
      <c r="N721" t="s">
        <v>106</v>
      </c>
      <c r="P721" s="3" t="s">
        <v>36</v>
      </c>
      <c r="Q721" s="3" t="s">
        <v>45</v>
      </c>
      <c r="R721">
        <v>1</v>
      </c>
      <c r="S721" s="5">
        <v>45912</v>
      </c>
      <c r="T721" t="s">
        <v>38</v>
      </c>
      <c r="U721">
        <f t="shared" ca="1" si="66"/>
        <v>27</v>
      </c>
      <c r="V721" s="6">
        <f t="shared" ca="1" si="67"/>
        <v>46029</v>
      </c>
      <c r="W721" s="6">
        <f t="shared" ca="1" si="68"/>
        <v>46035</v>
      </c>
      <c r="X721" t="str">
        <f t="shared" ca="1" si="69"/>
        <v>Jan 7 to Jan 13</v>
      </c>
      <c r="Y721" t="str">
        <f t="shared" ca="1" si="70"/>
        <v>⚪ SCHEDULED</v>
      </c>
      <c r="Z721" t="str">
        <f t="shared" ca="1" si="71"/>
        <v>No action needed yet</v>
      </c>
    </row>
    <row r="722" spans="1:26">
      <c r="A722">
        <v>1034874162</v>
      </c>
      <c r="B722" s="3" t="s">
        <v>2187</v>
      </c>
      <c r="C722">
        <v>64</v>
      </c>
      <c r="D722" t="s">
        <v>47</v>
      </c>
      <c r="E722" t="s">
        <v>29</v>
      </c>
      <c r="F722" t="s">
        <v>29</v>
      </c>
      <c r="G722" t="s">
        <v>29</v>
      </c>
      <c r="H722">
        <v>7</v>
      </c>
      <c r="I722" t="s">
        <v>30</v>
      </c>
      <c r="J722" t="s">
        <v>2188</v>
      </c>
      <c r="K722" t="s">
        <v>2189</v>
      </c>
      <c r="L722" t="s">
        <v>170</v>
      </c>
      <c r="M722" s="4" t="s">
        <v>43</v>
      </c>
      <c r="N722" t="s">
        <v>171</v>
      </c>
      <c r="P722" s="3" t="s">
        <v>36</v>
      </c>
      <c r="Q722" s="3" t="s">
        <v>90</v>
      </c>
      <c r="R722">
        <v>1</v>
      </c>
      <c r="S722" s="5">
        <v>45920</v>
      </c>
      <c r="T722" t="s">
        <v>38</v>
      </c>
      <c r="U722">
        <f t="shared" ca="1" si="66"/>
        <v>5</v>
      </c>
      <c r="V722" s="6">
        <f t="shared" ca="1" si="67"/>
        <v>46007</v>
      </c>
      <c r="W722" s="6">
        <f t="shared" ca="1" si="68"/>
        <v>46013</v>
      </c>
      <c r="X722" t="str">
        <f t="shared" ca="1" si="69"/>
        <v>Dec 16 to Dec 22</v>
      </c>
      <c r="Y722" t="str">
        <f t="shared" ca="1" si="70"/>
        <v>🟢 THIS WEEK</v>
      </c>
      <c r="Z722" t="str">
        <f t="shared" ca="1" si="71"/>
        <v>Confirm appointment</v>
      </c>
    </row>
    <row r="723" spans="1:26">
      <c r="A723">
        <v>1035096591</v>
      </c>
      <c r="B723" s="3" t="s">
        <v>2190</v>
      </c>
      <c r="C723">
        <v>61</v>
      </c>
      <c r="D723" t="s">
        <v>27</v>
      </c>
      <c r="E723" t="s">
        <v>29</v>
      </c>
      <c r="F723" t="s">
        <v>29</v>
      </c>
      <c r="G723" t="s">
        <v>28</v>
      </c>
      <c r="H723">
        <v>5</v>
      </c>
      <c r="I723" t="s">
        <v>30</v>
      </c>
      <c r="J723" t="s">
        <v>2191</v>
      </c>
      <c r="K723" t="s">
        <v>2192</v>
      </c>
      <c r="L723" t="s">
        <v>75</v>
      </c>
      <c r="M723" s="4" t="s">
        <v>34</v>
      </c>
      <c r="N723" t="s">
        <v>119</v>
      </c>
      <c r="P723" s="3" t="s">
        <v>36</v>
      </c>
      <c r="Q723" s="3" t="s">
        <v>45</v>
      </c>
      <c r="R723">
        <v>1</v>
      </c>
      <c r="S723" s="5">
        <v>45797</v>
      </c>
      <c r="T723" t="s">
        <v>38</v>
      </c>
      <c r="U723">
        <f t="shared" ca="1" si="66"/>
        <v>2</v>
      </c>
      <c r="V723" s="6">
        <f t="shared" ca="1" si="67"/>
        <v>46004</v>
      </c>
      <c r="W723" s="6">
        <f t="shared" ca="1" si="68"/>
        <v>46010</v>
      </c>
      <c r="X723" t="str">
        <f t="shared" ca="1" si="69"/>
        <v>Dec 13 to Dec 19</v>
      </c>
      <c r="Y723" t="str">
        <f t="shared" ca="1" si="70"/>
        <v>🟡 IMMINENT (within 3 days)</v>
      </c>
      <c r="Z723" t="str">
        <f t="shared" ca="1" si="71"/>
        <v>Prepare medications TODAY</v>
      </c>
    </row>
    <row r="724" spans="1:26">
      <c r="A724">
        <v>1035200938</v>
      </c>
      <c r="B724" s="3" t="s">
        <v>2193</v>
      </c>
      <c r="C724">
        <v>49</v>
      </c>
      <c r="D724" t="s">
        <v>27</v>
      </c>
      <c r="E724" t="s">
        <v>28</v>
      </c>
      <c r="F724" t="s">
        <v>29</v>
      </c>
      <c r="G724" t="s">
        <v>29</v>
      </c>
      <c r="H724">
        <v>4</v>
      </c>
      <c r="I724" t="s">
        <v>66</v>
      </c>
      <c r="J724" t="s">
        <v>2194</v>
      </c>
      <c r="K724" t="s">
        <v>2195</v>
      </c>
      <c r="M724" s="4" t="s">
        <v>94</v>
      </c>
      <c r="N724" t="s">
        <v>35</v>
      </c>
      <c r="P724" s="3" t="s">
        <v>36</v>
      </c>
      <c r="Q724" s="3" t="s">
        <v>107</v>
      </c>
      <c r="R724">
        <v>2</v>
      </c>
      <c r="S724" s="5">
        <v>45932</v>
      </c>
      <c r="T724" t="s">
        <v>38</v>
      </c>
      <c r="U724">
        <f t="shared" ca="1" si="66"/>
        <v>17</v>
      </c>
      <c r="V724" s="6">
        <f t="shared" ca="1" si="67"/>
        <v>46019</v>
      </c>
      <c r="W724" s="6">
        <f t="shared" ca="1" si="68"/>
        <v>46025</v>
      </c>
      <c r="X724" t="str">
        <f t="shared" ca="1" si="69"/>
        <v>Dec 28 to Jan 3</v>
      </c>
      <c r="Y724" t="str">
        <f t="shared" ca="1" si="70"/>
        <v>⚪ SCHEDULED</v>
      </c>
      <c r="Z724" t="str">
        <f t="shared" ca="1" si="71"/>
        <v>No action needed yet</v>
      </c>
    </row>
    <row r="725" spans="1:26">
      <c r="A725">
        <v>1035307782</v>
      </c>
      <c r="B725" s="3" t="s">
        <v>2196</v>
      </c>
      <c r="C725">
        <v>58</v>
      </c>
      <c r="D725" t="s">
        <v>47</v>
      </c>
      <c r="E725" t="s">
        <v>29</v>
      </c>
      <c r="F725" t="s">
        <v>29</v>
      </c>
      <c r="G725" t="s">
        <v>29</v>
      </c>
      <c r="H725">
        <v>6</v>
      </c>
      <c r="I725" t="s">
        <v>30</v>
      </c>
      <c r="J725" t="s">
        <v>2197</v>
      </c>
      <c r="K725" t="s">
        <v>2198</v>
      </c>
      <c r="L725" t="s">
        <v>105</v>
      </c>
      <c r="M725" s="4" t="s">
        <v>34</v>
      </c>
      <c r="N725" t="s">
        <v>171</v>
      </c>
      <c r="P725" s="3" t="s">
        <v>36</v>
      </c>
      <c r="Q725" s="3" t="s">
        <v>107</v>
      </c>
      <c r="R725">
        <v>2</v>
      </c>
      <c r="S725" s="5">
        <v>45836</v>
      </c>
      <c r="T725" t="s">
        <v>38</v>
      </c>
      <c r="U725">
        <f t="shared" ca="1" si="66"/>
        <v>11</v>
      </c>
      <c r="V725" s="6">
        <f t="shared" ca="1" si="67"/>
        <v>46013</v>
      </c>
      <c r="W725" s="6">
        <f t="shared" ca="1" si="68"/>
        <v>46019</v>
      </c>
      <c r="X725" t="str">
        <f t="shared" ca="1" si="69"/>
        <v>Dec 22 to Dec 28</v>
      </c>
      <c r="Y725" t="str">
        <f t="shared" ca="1" si="70"/>
        <v>🔵 NEXT 2 WEEKS</v>
      </c>
      <c r="Z725" t="str">
        <f t="shared" ca="1" si="71"/>
        <v>Send reminder SMS</v>
      </c>
    </row>
    <row r="726" spans="1:26">
      <c r="A726">
        <v>1035331261</v>
      </c>
      <c r="B726" s="3" t="s">
        <v>2199</v>
      </c>
      <c r="C726">
        <v>49</v>
      </c>
      <c r="D726" t="s">
        <v>47</v>
      </c>
      <c r="E726" t="s">
        <v>29</v>
      </c>
      <c r="F726" t="s">
        <v>28</v>
      </c>
      <c r="G726" t="s">
        <v>28</v>
      </c>
      <c r="H726">
        <v>2</v>
      </c>
      <c r="I726" t="s">
        <v>55</v>
      </c>
      <c r="J726" t="s">
        <v>2200</v>
      </c>
      <c r="K726" t="s">
        <v>2201</v>
      </c>
      <c r="L726" t="s">
        <v>355</v>
      </c>
      <c r="M726" s="4" t="s">
        <v>43</v>
      </c>
      <c r="N726" t="s">
        <v>162</v>
      </c>
      <c r="P726" s="3" t="s">
        <v>36</v>
      </c>
      <c r="Q726" s="3" t="s">
        <v>573</v>
      </c>
      <c r="R726">
        <v>1</v>
      </c>
      <c r="S726" s="5">
        <v>45874</v>
      </c>
      <c r="T726" t="s">
        <v>60</v>
      </c>
      <c r="U726">
        <f t="shared" ca="1" si="66"/>
        <v>49</v>
      </c>
      <c r="V726" s="6">
        <f t="shared" ca="1" si="67"/>
        <v>46051</v>
      </c>
      <c r="W726" s="6">
        <f t="shared" ca="1" si="68"/>
        <v>46057</v>
      </c>
      <c r="X726" t="str">
        <f t="shared" ca="1" si="69"/>
        <v>Jan 29 to Feb 4</v>
      </c>
      <c r="Y726" t="str">
        <f t="shared" ca="1" si="70"/>
        <v>⚪ SCHEDULED</v>
      </c>
      <c r="Z726" t="str">
        <f t="shared" ca="1" si="71"/>
        <v>No action needed yet</v>
      </c>
    </row>
    <row r="727" spans="1:26">
      <c r="A727">
        <v>1035349925</v>
      </c>
      <c r="B727" s="3" t="s">
        <v>2202</v>
      </c>
      <c r="C727">
        <v>39</v>
      </c>
      <c r="D727" t="s">
        <v>47</v>
      </c>
      <c r="E727" t="s">
        <v>29</v>
      </c>
      <c r="F727" t="s">
        <v>28</v>
      </c>
      <c r="G727" t="s">
        <v>28</v>
      </c>
      <c r="H727">
        <v>2</v>
      </c>
      <c r="I727" t="s">
        <v>55</v>
      </c>
      <c r="J727" t="s">
        <v>340</v>
      </c>
      <c r="K727" t="s">
        <v>2203</v>
      </c>
      <c r="L727" t="s">
        <v>170</v>
      </c>
      <c r="M727" s="4" t="s">
        <v>43</v>
      </c>
      <c r="N727" t="s">
        <v>162</v>
      </c>
      <c r="P727" s="3" t="s">
        <v>36</v>
      </c>
      <c r="Q727" s="3" t="s">
        <v>230</v>
      </c>
      <c r="R727">
        <v>1</v>
      </c>
      <c r="S727" s="5">
        <v>45887</v>
      </c>
      <c r="T727" t="s">
        <v>60</v>
      </c>
      <c r="U727">
        <f t="shared" ca="1" si="66"/>
        <v>2</v>
      </c>
      <c r="V727" s="6">
        <f t="shared" ca="1" si="67"/>
        <v>46004</v>
      </c>
      <c r="W727" s="6">
        <f t="shared" ca="1" si="68"/>
        <v>46010</v>
      </c>
      <c r="X727" t="str">
        <f t="shared" ca="1" si="69"/>
        <v>Dec 13 to Dec 19</v>
      </c>
      <c r="Y727" t="str">
        <f t="shared" ca="1" si="70"/>
        <v>🟡 IMMINENT (within 3 days)</v>
      </c>
      <c r="Z727" t="str">
        <f t="shared" ca="1" si="71"/>
        <v>Prepare medications TODAY</v>
      </c>
    </row>
    <row r="728" spans="1:26">
      <c r="A728">
        <v>1035355005</v>
      </c>
      <c r="B728" s="3" t="s">
        <v>2204</v>
      </c>
      <c r="C728">
        <v>62</v>
      </c>
      <c r="D728" t="s">
        <v>27</v>
      </c>
      <c r="E728" t="s">
        <v>29</v>
      </c>
      <c r="F728" t="s">
        <v>28</v>
      </c>
      <c r="G728" t="s">
        <v>28</v>
      </c>
      <c r="H728">
        <v>5</v>
      </c>
      <c r="I728" t="s">
        <v>30</v>
      </c>
      <c r="J728" t="s">
        <v>2205</v>
      </c>
      <c r="K728" t="s">
        <v>2206</v>
      </c>
      <c r="M728" s="4" t="s">
        <v>94</v>
      </c>
      <c r="N728" t="s">
        <v>148</v>
      </c>
      <c r="P728" s="3" t="s">
        <v>36</v>
      </c>
      <c r="Q728" s="3" t="s">
        <v>107</v>
      </c>
      <c r="R728">
        <v>1</v>
      </c>
      <c r="S728" s="5">
        <v>45937</v>
      </c>
      <c r="T728" t="s">
        <v>38</v>
      </c>
      <c r="U728">
        <f t="shared" ca="1" si="66"/>
        <v>22</v>
      </c>
      <c r="V728" s="6">
        <f t="shared" ca="1" si="67"/>
        <v>46024</v>
      </c>
      <c r="W728" s="6">
        <f t="shared" ca="1" si="68"/>
        <v>46030</v>
      </c>
      <c r="X728" t="str">
        <f t="shared" ca="1" si="69"/>
        <v>Jan 2 to Jan 8</v>
      </c>
      <c r="Y728" t="str">
        <f t="shared" ca="1" si="70"/>
        <v>⚪ SCHEDULED</v>
      </c>
      <c r="Z728" t="str">
        <f t="shared" ca="1" si="71"/>
        <v>No action needed yet</v>
      </c>
    </row>
    <row r="729" spans="1:26">
      <c r="A729">
        <v>1035463817</v>
      </c>
      <c r="B729" s="3" t="s">
        <v>2207</v>
      </c>
      <c r="C729">
        <v>45</v>
      </c>
      <c r="D729" t="s">
        <v>47</v>
      </c>
      <c r="E729" t="s">
        <v>29</v>
      </c>
      <c r="F729" t="s">
        <v>29</v>
      </c>
      <c r="G729" t="s">
        <v>29</v>
      </c>
      <c r="H729">
        <v>4</v>
      </c>
      <c r="I729" t="s">
        <v>66</v>
      </c>
      <c r="J729" t="s">
        <v>398</v>
      </c>
      <c r="K729" t="s">
        <v>2208</v>
      </c>
      <c r="L729" t="s">
        <v>69</v>
      </c>
      <c r="M729" s="4" t="s">
        <v>94</v>
      </c>
      <c r="N729" t="s">
        <v>127</v>
      </c>
      <c r="P729" s="3" t="s">
        <v>36</v>
      </c>
      <c r="Q729" s="3" t="s">
        <v>107</v>
      </c>
      <c r="R729">
        <v>2</v>
      </c>
      <c r="S729" s="5">
        <v>45954</v>
      </c>
      <c r="T729" t="s">
        <v>38</v>
      </c>
      <c r="U729">
        <f t="shared" ca="1" si="66"/>
        <v>9</v>
      </c>
      <c r="V729" s="6">
        <f t="shared" ca="1" si="67"/>
        <v>46011</v>
      </c>
      <c r="W729" s="6">
        <f t="shared" ca="1" si="68"/>
        <v>46017</v>
      </c>
      <c r="X729" t="str">
        <f t="shared" ca="1" si="69"/>
        <v>Dec 20 to Dec 26</v>
      </c>
      <c r="Y729" t="str">
        <f t="shared" ca="1" si="70"/>
        <v>🔵 NEXT 2 WEEKS</v>
      </c>
      <c r="Z729" t="str">
        <f t="shared" ca="1" si="71"/>
        <v>Send reminder SMS</v>
      </c>
    </row>
    <row r="730" spans="1:26">
      <c r="A730">
        <v>1035488103</v>
      </c>
      <c r="B730" s="3" t="s">
        <v>2209</v>
      </c>
      <c r="C730">
        <v>50</v>
      </c>
      <c r="D730" t="s">
        <v>47</v>
      </c>
      <c r="E730" t="s">
        <v>29</v>
      </c>
      <c r="F730" t="s">
        <v>28</v>
      </c>
      <c r="G730" t="s">
        <v>29</v>
      </c>
      <c r="H730">
        <v>4</v>
      </c>
      <c r="I730" t="s">
        <v>66</v>
      </c>
      <c r="J730" t="s">
        <v>2210</v>
      </c>
      <c r="K730" t="s">
        <v>2211</v>
      </c>
      <c r="L730" t="s">
        <v>269</v>
      </c>
      <c r="M730" s="4" t="s">
        <v>34</v>
      </c>
      <c r="N730" t="s">
        <v>51</v>
      </c>
      <c r="P730" s="3" t="s">
        <v>36</v>
      </c>
      <c r="Q730" s="3" t="s">
        <v>107</v>
      </c>
      <c r="R730">
        <v>2</v>
      </c>
      <c r="S730" s="5">
        <v>45794</v>
      </c>
      <c r="T730" t="s">
        <v>38</v>
      </c>
      <c r="U730">
        <f t="shared" ca="1" si="66"/>
        <v>29</v>
      </c>
      <c r="V730" s="6">
        <f t="shared" ca="1" si="67"/>
        <v>46031</v>
      </c>
      <c r="W730" s="6">
        <f t="shared" ca="1" si="68"/>
        <v>46037</v>
      </c>
      <c r="X730" t="str">
        <f t="shared" ca="1" si="69"/>
        <v>Jan 9 to Jan 15</v>
      </c>
      <c r="Y730" t="str">
        <f t="shared" ca="1" si="70"/>
        <v>⚪ SCHEDULED</v>
      </c>
      <c r="Z730" t="str">
        <f t="shared" ca="1" si="71"/>
        <v>No action needed yet</v>
      </c>
    </row>
    <row r="731" spans="1:26">
      <c r="A731">
        <v>1035499522</v>
      </c>
      <c r="B731" s="3" t="s">
        <v>2212</v>
      </c>
      <c r="C731">
        <v>77</v>
      </c>
      <c r="D731" t="s">
        <v>47</v>
      </c>
      <c r="E731" t="s">
        <v>29</v>
      </c>
      <c r="F731" t="s">
        <v>29</v>
      </c>
      <c r="G731" t="s">
        <v>29</v>
      </c>
      <c r="H731">
        <v>7</v>
      </c>
      <c r="I731" t="s">
        <v>30</v>
      </c>
      <c r="J731" t="s">
        <v>2213</v>
      </c>
      <c r="K731" t="s">
        <v>2214</v>
      </c>
      <c r="M731" s="4" t="s">
        <v>94</v>
      </c>
      <c r="N731" t="s">
        <v>44</v>
      </c>
      <c r="P731" s="3" t="s">
        <v>36</v>
      </c>
      <c r="Q731" s="3" t="s">
        <v>313</v>
      </c>
      <c r="R731">
        <v>2</v>
      </c>
      <c r="S731" s="5">
        <v>45948</v>
      </c>
      <c r="T731" t="s">
        <v>38</v>
      </c>
      <c r="U731">
        <f t="shared" ca="1" si="66"/>
        <v>3</v>
      </c>
      <c r="V731" s="6">
        <f t="shared" ca="1" si="67"/>
        <v>46005</v>
      </c>
      <c r="W731" s="6">
        <f t="shared" ca="1" si="68"/>
        <v>46011</v>
      </c>
      <c r="X731" t="str">
        <f t="shared" ca="1" si="69"/>
        <v>Dec 14 to Dec 20</v>
      </c>
      <c r="Y731" t="str">
        <f t="shared" ca="1" si="70"/>
        <v>🟡 IMMINENT (within 3 days)</v>
      </c>
      <c r="Z731" t="str">
        <f t="shared" ca="1" si="71"/>
        <v>Prepare medications TODAY</v>
      </c>
    </row>
    <row r="732" spans="1:26">
      <c r="A732">
        <v>1035778933</v>
      </c>
      <c r="B732" s="3" t="s">
        <v>2215</v>
      </c>
      <c r="C732">
        <v>52</v>
      </c>
      <c r="D732" t="s">
        <v>27</v>
      </c>
      <c r="E732" t="s">
        <v>28</v>
      </c>
      <c r="F732" t="s">
        <v>28</v>
      </c>
      <c r="G732" t="s">
        <v>29</v>
      </c>
      <c r="H732">
        <v>3</v>
      </c>
      <c r="I732" t="s">
        <v>66</v>
      </c>
      <c r="J732" t="s">
        <v>2216</v>
      </c>
      <c r="K732" t="s">
        <v>2217</v>
      </c>
      <c r="L732" t="s">
        <v>186</v>
      </c>
      <c r="M732" s="4" t="s">
        <v>43</v>
      </c>
      <c r="N732" t="s">
        <v>794</v>
      </c>
      <c r="P732" s="3" t="s">
        <v>36</v>
      </c>
      <c r="Q732" s="3" t="s">
        <v>90</v>
      </c>
      <c r="R732">
        <v>2</v>
      </c>
      <c r="S732" s="5">
        <v>45924</v>
      </c>
      <c r="T732" t="s">
        <v>38</v>
      </c>
      <c r="U732">
        <f t="shared" ca="1" si="66"/>
        <v>9</v>
      </c>
      <c r="V732" s="6">
        <f t="shared" ca="1" si="67"/>
        <v>46011</v>
      </c>
      <c r="W732" s="6">
        <f t="shared" ca="1" si="68"/>
        <v>46017</v>
      </c>
      <c r="X732" t="str">
        <f t="shared" ca="1" si="69"/>
        <v>Dec 20 to Dec 26</v>
      </c>
      <c r="Y732" t="str">
        <f t="shared" ca="1" si="70"/>
        <v>🔵 NEXT 2 WEEKS</v>
      </c>
      <c r="Z732" t="str">
        <f t="shared" ca="1" si="71"/>
        <v>Send reminder SMS</v>
      </c>
    </row>
    <row r="733" spans="1:26">
      <c r="A733">
        <v>1035823440</v>
      </c>
      <c r="B733" s="3" t="s">
        <v>2218</v>
      </c>
      <c r="C733">
        <v>41</v>
      </c>
      <c r="D733" t="s">
        <v>47</v>
      </c>
      <c r="E733" t="s">
        <v>28</v>
      </c>
      <c r="F733" t="s">
        <v>28</v>
      </c>
      <c r="G733" t="s">
        <v>28</v>
      </c>
      <c r="H733">
        <v>2</v>
      </c>
      <c r="I733" t="s">
        <v>55</v>
      </c>
      <c r="J733" t="s">
        <v>762</v>
      </c>
      <c r="K733" t="s">
        <v>2219</v>
      </c>
      <c r="L733" t="s">
        <v>208</v>
      </c>
      <c r="M733" s="4" t="s">
        <v>43</v>
      </c>
      <c r="N733" t="s">
        <v>59</v>
      </c>
      <c r="P733" s="3" t="s">
        <v>36</v>
      </c>
      <c r="Q733" s="3" t="s">
        <v>77</v>
      </c>
      <c r="R733">
        <v>2</v>
      </c>
      <c r="S733" s="5">
        <v>45950</v>
      </c>
      <c r="T733" t="s">
        <v>60</v>
      </c>
      <c r="U733">
        <f t="shared" ca="1" si="66"/>
        <v>5</v>
      </c>
      <c r="V733" s="6">
        <f t="shared" ca="1" si="67"/>
        <v>46007</v>
      </c>
      <c r="W733" s="6">
        <f t="shared" ca="1" si="68"/>
        <v>46013</v>
      </c>
      <c r="X733" t="str">
        <f t="shared" ca="1" si="69"/>
        <v>Dec 16 to Dec 22</v>
      </c>
      <c r="Y733" t="str">
        <f t="shared" ca="1" si="70"/>
        <v>🟢 THIS WEEK</v>
      </c>
      <c r="Z733" t="str">
        <f t="shared" ca="1" si="71"/>
        <v>Confirm appointment</v>
      </c>
    </row>
    <row r="734" spans="1:26">
      <c r="A734">
        <v>1035975075</v>
      </c>
      <c r="B734" s="3" t="s">
        <v>2220</v>
      </c>
      <c r="C734">
        <v>73</v>
      </c>
      <c r="D734" t="s">
        <v>27</v>
      </c>
      <c r="E734" t="s">
        <v>28</v>
      </c>
      <c r="F734" t="s">
        <v>29</v>
      </c>
      <c r="G734" t="s">
        <v>29</v>
      </c>
      <c r="H734">
        <v>7</v>
      </c>
      <c r="I734" t="s">
        <v>30</v>
      </c>
      <c r="J734" t="s">
        <v>2221</v>
      </c>
      <c r="K734" t="s">
        <v>2222</v>
      </c>
      <c r="M734" s="4" t="s">
        <v>94</v>
      </c>
      <c r="N734" t="s">
        <v>35</v>
      </c>
      <c r="P734" s="3" t="s">
        <v>36</v>
      </c>
      <c r="Q734" s="3" t="s">
        <v>45</v>
      </c>
      <c r="R734">
        <v>2</v>
      </c>
      <c r="S734" s="5">
        <v>45947</v>
      </c>
      <c r="T734" t="s">
        <v>38</v>
      </c>
      <c r="U734">
        <f t="shared" ca="1" si="66"/>
        <v>2</v>
      </c>
      <c r="V734" s="6">
        <f t="shared" ca="1" si="67"/>
        <v>46004</v>
      </c>
      <c r="W734" s="6">
        <f t="shared" ca="1" si="68"/>
        <v>46010</v>
      </c>
      <c r="X734" t="str">
        <f t="shared" ca="1" si="69"/>
        <v>Dec 13 to Dec 19</v>
      </c>
      <c r="Y734" t="str">
        <f t="shared" ca="1" si="70"/>
        <v>🟡 IMMINENT (within 3 days)</v>
      </c>
      <c r="Z734" t="str">
        <f t="shared" ca="1" si="71"/>
        <v>Prepare medications TODAY</v>
      </c>
    </row>
    <row r="735" spans="1:26">
      <c r="A735">
        <v>1036026555</v>
      </c>
      <c r="B735" s="3" t="s">
        <v>2223</v>
      </c>
      <c r="C735">
        <v>56</v>
      </c>
      <c r="D735" t="s">
        <v>47</v>
      </c>
      <c r="E735" t="s">
        <v>29</v>
      </c>
      <c r="F735" t="s">
        <v>28</v>
      </c>
      <c r="G735" t="s">
        <v>28</v>
      </c>
      <c r="H735">
        <v>4</v>
      </c>
      <c r="I735" t="s">
        <v>66</v>
      </c>
      <c r="J735" t="s">
        <v>2224</v>
      </c>
      <c r="K735" t="s">
        <v>2225</v>
      </c>
      <c r="L735" t="s">
        <v>170</v>
      </c>
      <c r="M735" s="4" t="s">
        <v>34</v>
      </c>
      <c r="N735" t="s">
        <v>162</v>
      </c>
      <c r="P735" s="3" t="s">
        <v>36</v>
      </c>
      <c r="Q735" s="3" t="s">
        <v>84</v>
      </c>
      <c r="R735">
        <v>1</v>
      </c>
      <c r="S735" s="5">
        <v>45826</v>
      </c>
      <c r="T735" t="s">
        <v>38</v>
      </c>
      <c r="U735">
        <f t="shared" ca="1" si="66"/>
        <v>1</v>
      </c>
      <c r="V735" s="6">
        <f t="shared" ca="1" si="67"/>
        <v>46003</v>
      </c>
      <c r="W735" s="6">
        <f t="shared" ca="1" si="68"/>
        <v>46009</v>
      </c>
      <c r="X735" t="str">
        <f t="shared" ca="1" si="69"/>
        <v>Dec 12 to Dec 18</v>
      </c>
      <c r="Y735" t="str">
        <f t="shared" ca="1" si="70"/>
        <v>🟡 IMMINENT (within 3 days)</v>
      </c>
      <c r="Z735" t="str">
        <f t="shared" ca="1" si="71"/>
        <v>Prepare medications TODAY</v>
      </c>
    </row>
    <row r="736" spans="1:26">
      <c r="A736">
        <v>1036045522</v>
      </c>
      <c r="B736" s="3" t="s">
        <v>2226</v>
      </c>
      <c r="C736">
        <v>66</v>
      </c>
      <c r="D736" t="s">
        <v>27</v>
      </c>
      <c r="E736" t="s">
        <v>28</v>
      </c>
      <c r="F736" t="s">
        <v>29</v>
      </c>
      <c r="G736" t="s">
        <v>28</v>
      </c>
      <c r="H736">
        <v>5</v>
      </c>
      <c r="I736" t="s">
        <v>30</v>
      </c>
      <c r="J736" t="s">
        <v>2227</v>
      </c>
      <c r="K736" t="s">
        <v>2228</v>
      </c>
      <c r="L736" t="s">
        <v>428</v>
      </c>
      <c r="M736" s="4" t="s">
        <v>34</v>
      </c>
      <c r="N736" t="s">
        <v>70</v>
      </c>
      <c r="P736" s="3" t="s">
        <v>36</v>
      </c>
      <c r="Q736" t="s">
        <v>54</v>
      </c>
      <c r="R736">
        <v>1</v>
      </c>
      <c r="S736" s="5">
        <v>45672</v>
      </c>
      <c r="T736" t="s">
        <v>38</v>
      </c>
      <c r="U736">
        <f t="shared" ca="1" si="66"/>
        <v>27</v>
      </c>
      <c r="V736" s="6">
        <f t="shared" ca="1" si="67"/>
        <v>46029</v>
      </c>
      <c r="W736" s="6">
        <f t="shared" ca="1" si="68"/>
        <v>46035</v>
      </c>
      <c r="X736" t="str">
        <f t="shared" ca="1" si="69"/>
        <v>Jan 7 to Jan 13</v>
      </c>
      <c r="Y736" t="str">
        <f t="shared" ca="1" si="70"/>
        <v>⚪ SCHEDULED</v>
      </c>
      <c r="Z736" t="str">
        <f t="shared" ca="1" si="71"/>
        <v>No action needed yet</v>
      </c>
    </row>
    <row r="737" spans="1:26">
      <c r="A737">
        <v>1036197885</v>
      </c>
      <c r="B737" s="3" t="s">
        <v>2229</v>
      </c>
      <c r="C737">
        <v>63</v>
      </c>
      <c r="D737" t="s">
        <v>27</v>
      </c>
      <c r="E737" t="s">
        <v>29</v>
      </c>
      <c r="F737" t="s">
        <v>29</v>
      </c>
      <c r="G737" t="s">
        <v>28</v>
      </c>
      <c r="H737">
        <v>5</v>
      </c>
      <c r="I737" t="s">
        <v>30</v>
      </c>
      <c r="J737" t="s">
        <v>2230</v>
      </c>
      <c r="K737" t="s">
        <v>2231</v>
      </c>
      <c r="L737" t="s">
        <v>105</v>
      </c>
      <c r="M737" s="4" t="s">
        <v>94</v>
      </c>
      <c r="N737" t="s">
        <v>106</v>
      </c>
      <c r="P737" s="3" t="s">
        <v>36</v>
      </c>
      <c r="Q737" s="3" t="s">
        <v>90</v>
      </c>
      <c r="R737">
        <v>2</v>
      </c>
      <c r="S737" s="5">
        <v>45934</v>
      </c>
      <c r="T737" t="s">
        <v>38</v>
      </c>
      <c r="U737">
        <f t="shared" ca="1" si="66"/>
        <v>19</v>
      </c>
      <c r="V737" s="6">
        <f t="shared" ca="1" si="67"/>
        <v>46021</v>
      </c>
      <c r="W737" s="6">
        <f t="shared" ca="1" si="68"/>
        <v>46027</v>
      </c>
      <c r="X737" t="str">
        <f t="shared" ca="1" si="69"/>
        <v>Dec 30 to Jan 5</v>
      </c>
      <c r="Y737" t="str">
        <f t="shared" ca="1" si="70"/>
        <v>⚪ SCHEDULED</v>
      </c>
      <c r="Z737" t="str">
        <f t="shared" ca="1" si="71"/>
        <v>No action needed yet</v>
      </c>
    </row>
    <row r="738" spans="1:26">
      <c r="A738">
        <v>1036210381</v>
      </c>
      <c r="B738" s="3" t="s">
        <v>2232</v>
      </c>
      <c r="C738">
        <v>62</v>
      </c>
      <c r="D738" t="s">
        <v>47</v>
      </c>
      <c r="E738" t="s">
        <v>29</v>
      </c>
      <c r="F738" t="s">
        <v>29</v>
      </c>
      <c r="G738" t="s">
        <v>29</v>
      </c>
      <c r="H738">
        <v>6</v>
      </c>
      <c r="I738" t="s">
        <v>30</v>
      </c>
      <c r="J738" t="s">
        <v>253</v>
      </c>
      <c r="K738" t="s">
        <v>1312</v>
      </c>
      <c r="L738" t="s">
        <v>33</v>
      </c>
      <c r="M738" s="4" t="s">
        <v>43</v>
      </c>
      <c r="N738" t="s">
        <v>44</v>
      </c>
      <c r="P738" s="3" t="s">
        <v>36</v>
      </c>
      <c r="Q738" s="3" t="s">
        <v>84</v>
      </c>
      <c r="R738">
        <v>2</v>
      </c>
      <c r="S738" s="5">
        <v>45889</v>
      </c>
      <c r="T738" t="s">
        <v>38</v>
      </c>
      <c r="U738">
        <f t="shared" ca="1" si="66"/>
        <v>4</v>
      </c>
      <c r="V738" s="6">
        <f t="shared" ca="1" si="67"/>
        <v>46006</v>
      </c>
      <c r="W738" s="6">
        <f t="shared" ca="1" si="68"/>
        <v>46012</v>
      </c>
      <c r="X738" t="str">
        <f t="shared" ca="1" si="69"/>
        <v>Dec 15 to Dec 21</v>
      </c>
      <c r="Y738" t="str">
        <f t="shared" ca="1" si="70"/>
        <v>🟢 THIS WEEK</v>
      </c>
      <c r="Z738" t="str">
        <f t="shared" ca="1" si="71"/>
        <v>Confirm appointment</v>
      </c>
    </row>
    <row r="739" spans="1:26">
      <c r="A739">
        <v>1036216784</v>
      </c>
      <c r="B739" s="3" t="s">
        <v>2233</v>
      </c>
      <c r="C739">
        <v>45</v>
      </c>
      <c r="D739" t="s">
        <v>47</v>
      </c>
      <c r="E739" t="s">
        <v>29</v>
      </c>
      <c r="F739" t="s">
        <v>29</v>
      </c>
      <c r="G739" t="s">
        <v>28</v>
      </c>
      <c r="H739">
        <v>5</v>
      </c>
      <c r="I739" t="s">
        <v>30</v>
      </c>
      <c r="J739" t="s">
        <v>2234</v>
      </c>
      <c r="K739" t="s">
        <v>2235</v>
      </c>
      <c r="L739" t="s">
        <v>170</v>
      </c>
      <c r="M739" s="4" t="s">
        <v>34</v>
      </c>
      <c r="N739" t="s">
        <v>106</v>
      </c>
      <c r="P739" s="3" t="s">
        <v>36</v>
      </c>
      <c r="Q739" s="3" t="s">
        <v>2236</v>
      </c>
      <c r="R739">
        <v>1</v>
      </c>
      <c r="S739" s="5">
        <v>45805</v>
      </c>
      <c r="T739" t="s">
        <v>38</v>
      </c>
      <c r="U739">
        <f t="shared" ca="1" si="66"/>
        <v>10</v>
      </c>
      <c r="V739" s="6">
        <f t="shared" ca="1" si="67"/>
        <v>46012</v>
      </c>
      <c r="W739" s="6">
        <f t="shared" ca="1" si="68"/>
        <v>46018</v>
      </c>
      <c r="X739" t="str">
        <f t="shared" ca="1" si="69"/>
        <v>Dec 21 to Dec 27</v>
      </c>
      <c r="Y739" t="str">
        <f t="shared" ca="1" si="70"/>
        <v>🔵 NEXT 2 WEEKS</v>
      </c>
      <c r="Z739" t="str">
        <f t="shared" ca="1" si="71"/>
        <v>Send reminder SMS</v>
      </c>
    </row>
    <row r="740" spans="1:26">
      <c r="A740">
        <v>1036363149</v>
      </c>
      <c r="B740" s="3" t="s">
        <v>2237</v>
      </c>
      <c r="C740">
        <v>92</v>
      </c>
      <c r="D740" t="s">
        <v>47</v>
      </c>
      <c r="E740" t="s">
        <v>29</v>
      </c>
      <c r="F740" t="s">
        <v>29</v>
      </c>
      <c r="G740" t="s">
        <v>28</v>
      </c>
      <c r="H740">
        <v>6</v>
      </c>
      <c r="I740" t="s">
        <v>30</v>
      </c>
      <c r="J740" t="s">
        <v>2238</v>
      </c>
      <c r="K740" t="s">
        <v>2239</v>
      </c>
      <c r="M740" s="4" t="s">
        <v>34</v>
      </c>
      <c r="N740" t="s">
        <v>144</v>
      </c>
      <c r="P740" s="3" t="s">
        <v>36</v>
      </c>
      <c r="Q740" s="3" t="s">
        <v>313</v>
      </c>
      <c r="R740">
        <v>2</v>
      </c>
      <c r="S740" s="5">
        <v>45545</v>
      </c>
      <c r="T740" t="s">
        <v>38</v>
      </c>
      <c r="U740">
        <f t="shared" ca="1" si="66"/>
        <v>20</v>
      </c>
      <c r="V740" s="6">
        <f t="shared" ca="1" si="67"/>
        <v>46022</v>
      </c>
      <c r="W740" s="6">
        <f t="shared" ca="1" si="68"/>
        <v>46028</v>
      </c>
      <c r="X740" t="str">
        <f t="shared" ca="1" si="69"/>
        <v>Dec 31 to Jan 6</v>
      </c>
      <c r="Y740" t="str">
        <f t="shared" ca="1" si="70"/>
        <v>⚪ SCHEDULED</v>
      </c>
      <c r="Z740" t="str">
        <f t="shared" ca="1" si="71"/>
        <v>No action needed yet</v>
      </c>
    </row>
    <row r="741" spans="1:26">
      <c r="A741">
        <v>1036363172</v>
      </c>
      <c r="B741" s="3" t="s">
        <v>2240</v>
      </c>
      <c r="C741">
        <v>41</v>
      </c>
      <c r="D741" t="s">
        <v>27</v>
      </c>
      <c r="E741" t="s">
        <v>28</v>
      </c>
      <c r="F741" t="s">
        <v>28</v>
      </c>
      <c r="G741" t="s">
        <v>28</v>
      </c>
      <c r="H741">
        <v>2</v>
      </c>
      <c r="I741" t="s">
        <v>55</v>
      </c>
      <c r="J741" t="s">
        <v>184</v>
      </c>
      <c r="K741" t="s">
        <v>2241</v>
      </c>
      <c r="L741" t="s">
        <v>186</v>
      </c>
      <c r="M741" s="4" t="s">
        <v>43</v>
      </c>
      <c r="N741" t="s">
        <v>59</v>
      </c>
      <c r="P741" s="3" t="s">
        <v>36</v>
      </c>
      <c r="Q741" s="3" t="s">
        <v>107</v>
      </c>
      <c r="R741">
        <v>1</v>
      </c>
      <c r="S741" s="5">
        <v>45937</v>
      </c>
      <c r="T741" t="s">
        <v>60</v>
      </c>
      <c r="U741">
        <f t="shared" ca="1" si="66"/>
        <v>52</v>
      </c>
      <c r="V741" s="6">
        <f t="shared" ca="1" si="67"/>
        <v>46054</v>
      </c>
      <c r="W741" s="6">
        <f t="shared" ca="1" si="68"/>
        <v>46060</v>
      </c>
      <c r="X741" t="str">
        <f t="shared" ca="1" si="69"/>
        <v>Feb 1 to Feb 7</v>
      </c>
      <c r="Y741" t="str">
        <f t="shared" ca="1" si="70"/>
        <v>⚪ SCHEDULED</v>
      </c>
      <c r="Z741" t="str">
        <f t="shared" ca="1" si="71"/>
        <v>No action needed yet</v>
      </c>
    </row>
    <row r="742" spans="1:26">
      <c r="A742">
        <v>1036452355</v>
      </c>
      <c r="B742" s="3" t="s">
        <v>2242</v>
      </c>
      <c r="C742">
        <v>76</v>
      </c>
      <c r="D742" t="s">
        <v>27</v>
      </c>
      <c r="E742" t="s">
        <v>29</v>
      </c>
      <c r="F742" t="s">
        <v>29</v>
      </c>
      <c r="G742" t="s">
        <v>28</v>
      </c>
      <c r="H742">
        <v>6</v>
      </c>
      <c r="I742" t="s">
        <v>30</v>
      </c>
      <c r="J742" t="s">
        <v>2243</v>
      </c>
      <c r="K742" t="s">
        <v>2244</v>
      </c>
      <c r="L742" t="s">
        <v>105</v>
      </c>
      <c r="M742" s="4" t="s">
        <v>43</v>
      </c>
      <c r="N742" t="s">
        <v>106</v>
      </c>
      <c r="P742" s="3" t="s">
        <v>36</v>
      </c>
      <c r="Q742" s="3" t="s">
        <v>45</v>
      </c>
      <c r="R742">
        <v>2</v>
      </c>
      <c r="S742" s="5">
        <v>45861</v>
      </c>
      <c r="T742" t="s">
        <v>38</v>
      </c>
      <c r="U742">
        <f t="shared" ca="1" si="66"/>
        <v>6</v>
      </c>
      <c r="V742" s="6">
        <f t="shared" ca="1" si="67"/>
        <v>46008</v>
      </c>
      <c r="W742" s="6">
        <f t="shared" ca="1" si="68"/>
        <v>46014</v>
      </c>
      <c r="X742" t="str">
        <f t="shared" ca="1" si="69"/>
        <v>Dec 17 to Dec 23</v>
      </c>
      <c r="Y742" t="str">
        <f t="shared" ca="1" si="70"/>
        <v>🟢 THIS WEEK</v>
      </c>
      <c r="Z742" t="str">
        <f t="shared" ca="1" si="71"/>
        <v>Confirm appointment</v>
      </c>
    </row>
    <row r="743" spans="1:26">
      <c r="A743">
        <v>1036720553</v>
      </c>
      <c r="B743" s="3" t="s">
        <v>2245</v>
      </c>
      <c r="C743">
        <v>39</v>
      </c>
      <c r="D743" t="s">
        <v>47</v>
      </c>
      <c r="E743" t="s">
        <v>28</v>
      </c>
      <c r="F743" t="s">
        <v>29</v>
      </c>
      <c r="G743" t="s">
        <v>28</v>
      </c>
      <c r="H743">
        <v>2</v>
      </c>
      <c r="I743" t="s">
        <v>55</v>
      </c>
      <c r="J743" t="s">
        <v>1748</v>
      </c>
      <c r="K743" t="s">
        <v>2246</v>
      </c>
      <c r="L743" t="s">
        <v>744</v>
      </c>
      <c r="M743" s="4" t="s">
        <v>34</v>
      </c>
      <c r="N743" t="s">
        <v>70</v>
      </c>
      <c r="P743" s="3" t="s">
        <v>36</v>
      </c>
      <c r="Q743" s="3" t="s">
        <v>90</v>
      </c>
      <c r="R743">
        <v>2</v>
      </c>
      <c r="S743" s="5">
        <v>45841</v>
      </c>
      <c r="T743" t="s">
        <v>60</v>
      </c>
      <c r="U743">
        <f t="shared" ca="1" si="66"/>
        <v>16</v>
      </c>
      <c r="V743" s="6">
        <f t="shared" ca="1" si="67"/>
        <v>46018</v>
      </c>
      <c r="W743" s="6">
        <f t="shared" ca="1" si="68"/>
        <v>46024</v>
      </c>
      <c r="X743" t="str">
        <f t="shared" ca="1" si="69"/>
        <v>Dec 27 to Jan 2</v>
      </c>
      <c r="Y743" t="str">
        <f t="shared" ca="1" si="70"/>
        <v>⚪ SCHEDULED</v>
      </c>
      <c r="Z743" t="str">
        <f t="shared" ca="1" si="71"/>
        <v>No action needed yet</v>
      </c>
    </row>
    <row r="744" spans="1:26">
      <c r="A744">
        <v>1036731352</v>
      </c>
      <c r="B744" s="3" t="s">
        <v>2247</v>
      </c>
      <c r="C744">
        <v>66</v>
      </c>
      <c r="D744" t="s">
        <v>47</v>
      </c>
      <c r="E744" t="s">
        <v>29</v>
      </c>
      <c r="F744" t="s">
        <v>28</v>
      </c>
      <c r="G744" t="s">
        <v>29</v>
      </c>
      <c r="H744">
        <v>6</v>
      </c>
      <c r="I744" t="s">
        <v>30</v>
      </c>
      <c r="J744" t="s">
        <v>2248</v>
      </c>
      <c r="K744" t="s">
        <v>2249</v>
      </c>
      <c r="L744" t="s">
        <v>208</v>
      </c>
      <c r="M744" s="4" t="s">
        <v>94</v>
      </c>
      <c r="N744" t="s">
        <v>51</v>
      </c>
      <c r="P744" s="3" t="s">
        <v>36</v>
      </c>
      <c r="Q744" s="3" t="s">
        <v>45</v>
      </c>
      <c r="R744">
        <v>1</v>
      </c>
      <c r="S744" s="5">
        <v>45951</v>
      </c>
      <c r="T744" t="s">
        <v>38</v>
      </c>
      <c r="U744">
        <f t="shared" ca="1" si="66"/>
        <v>6</v>
      </c>
      <c r="V744" s="6">
        <f t="shared" ca="1" si="67"/>
        <v>46008</v>
      </c>
      <c r="W744" s="6">
        <f t="shared" ca="1" si="68"/>
        <v>46014</v>
      </c>
      <c r="X744" t="str">
        <f t="shared" ca="1" si="69"/>
        <v>Dec 17 to Dec 23</v>
      </c>
      <c r="Y744" t="str">
        <f t="shared" ca="1" si="70"/>
        <v>🟢 THIS WEEK</v>
      </c>
      <c r="Z744" t="str">
        <f t="shared" ca="1" si="71"/>
        <v>Confirm appointment</v>
      </c>
    </row>
    <row r="745" spans="1:26">
      <c r="A745">
        <v>1037052709</v>
      </c>
      <c r="B745" s="3" t="s">
        <v>2250</v>
      </c>
      <c r="C745">
        <v>45</v>
      </c>
      <c r="D745" t="s">
        <v>27</v>
      </c>
      <c r="E745" t="s">
        <v>28</v>
      </c>
      <c r="F745" t="s">
        <v>29</v>
      </c>
      <c r="G745" t="s">
        <v>28</v>
      </c>
      <c r="H745">
        <v>2</v>
      </c>
      <c r="I745" t="s">
        <v>55</v>
      </c>
      <c r="J745" t="s">
        <v>2251</v>
      </c>
      <c r="K745" t="s">
        <v>2252</v>
      </c>
      <c r="L745" t="s">
        <v>69</v>
      </c>
      <c r="M745" s="4" t="s">
        <v>43</v>
      </c>
      <c r="N745" t="s">
        <v>70</v>
      </c>
      <c r="P745" s="3" t="s">
        <v>36</v>
      </c>
      <c r="Q745" s="3" t="s">
        <v>90</v>
      </c>
      <c r="R745">
        <v>2</v>
      </c>
      <c r="S745" s="5">
        <v>45905</v>
      </c>
      <c r="T745" t="s">
        <v>60</v>
      </c>
      <c r="U745">
        <f t="shared" ca="1" si="66"/>
        <v>20</v>
      </c>
      <c r="V745" s="6">
        <f t="shared" ca="1" si="67"/>
        <v>46022</v>
      </c>
      <c r="W745" s="6">
        <f t="shared" ca="1" si="68"/>
        <v>46028</v>
      </c>
      <c r="X745" t="str">
        <f t="shared" ca="1" si="69"/>
        <v>Dec 31 to Jan 6</v>
      </c>
      <c r="Y745" t="str">
        <f t="shared" ca="1" si="70"/>
        <v>⚪ SCHEDULED</v>
      </c>
      <c r="Z745" t="str">
        <f t="shared" ca="1" si="71"/>
        <v>No action needed yet</v>
      </c>
    </row>
    <row r="746" spans="1:26">
      <c r="A746">
        <v>1037062922</v>
      </c>
      <c r="B746" s="3" t="s">
        <v>2253</v>
      </c>
      <c r="C746">
        <v>71</v>
      </c>
      <c r="D746" t="s">
        <v>47</v>
      </c>
      <c r="E746" t="s">
        <v>29</v>
      </c>
      <c r="F746" t="s">
        <v>28</v>
      </c>
      <c r="G746" t="s">
        <v>28</v>
      </c>
      <c r="H746">
        <v>5</v>
      </c>
      <c r="I746" t="s">
        <v>30</v>
      </c>
      <c r="J746" t="s">
        <v>2254</v>
      </c>
      <c r="K746" t="s">
        <v>2255</v>
      </c>
      <c r="L746" t="s">
        <v>244</v>
      </c>
      <c r="M746" s="4" t="s">
        <v>43</v>
      </c>
      <c r="N746" t="s">
        <v>162</v>
      </c>
      <c r="P746" s="3" t="s">
        <v>36</v>
      </c>
      <c r="Q746" s="3" t="s">
        <v>175</v>
      </c>
      <c r="R746">
        <v>1</v>
      </c>
      <c r="S746" s="5">
        <v>45870</v>
      </c>
      <c r="T746" t="s">
        <v>38</v>
      </c>
      <c r="U746">
        <f t="shared" ca="1" si="66"/>
        <v>15</v>
      </c>
      <c r="V746" s="6">
        <f t="shared" ca="1" si="67"/>
        <v>46017</v>
      </c>
      <c r="W746" s="6">
        <f t="shared" ca="1" si="68"/>
        <v>46023</v>
      </c>
      <c r="X746" t="str">
        <f t="shared" ca="1" si="69"/>
        <v>Dec 26 to Jan 1</v>
      </c>
      <c r="Y746" t="str">
        <f t="shared" ca="1" si="70"/>
        <v>⚪ SCHEDULED</v>
      </c>
      <c r="Z746" t="str">
        <f t="shared" ca="1" si="71"/>
        <v>No action needed yet</v>
      </c>
    </row>
    <row r="747" spans="1:26">
      <c r="A747">
        <v>1037062930</v>
      </c>
      <c r="B747" s="3" t="s">
        <v>2256</v>
      </c>
      <c r="C747">
        <v>69</v>
      </c>
      <c r="D747" t="s">
        <v>27</v>
      </c>
      <c r="E747" t="s">
        <v>28</v>
      </c>
      <c r="F747" t="s">
        <v>29</v>
      </c>
      <c r="G747" t="s">
        <v>28</v>
      </c>
      <c r="H747">
        <v>5</v>
      </c>
      <c r="I747" t="s">
        <v>30</v>
      </c>
      <c r="J747" t="s">
        <v>347</v>
      </c>
      <c r="K747" t="s">
        <v>2257</v>
      </c>
      <c r="M747" s="4" t="s">
        <v>43</v>
      </c>
      <c r="N747" t="s">
        <v>64</v>
      </c>
      <c r="P747" s="3" t="s">
        <v>36</v>
      </c>
      <c r="Q747" s="3" t="s">
        <v>1566</v>
      </c>
      <c r="R747">
        <v>1</v>
      </c>
      <c r="S747" s="5">
        <v>45885</v>
      </c>
      <c r="T747" t="s">
        <v>38</v>
      </c>
      <c r="U747">
        <f t="shared" ca="1" si="66"/>
        <v>0</v>
      </c>
      <c r="V747" s="6">
        <f t="shared" ca="1" si="67"/>
        <v>46002</v>
      </c>
      <c r="W747" s="6">
        <f t="shared" ca="1" si="68"/>
        <v>46008</v>
      </c>
      <c r="X747" t="str">
        <f t="shared" ca="1" si="69"/>
        <v>Dec 11 to Dec 17</v>
      </c>
      <c r="Y747" t="str">
        <f t="shared" ca="1" si="70"/>
        <v>🟡 IMMINENT (within 3 days)</v>
      </c>
      <c r="Z747" t="str">
        <f t="shared" ca="1" si="71"/>
        <v>Prepare medications TODAY</v>
      </c>
    </row>
    <row r="748" spans="1:26">
      <c r="A748">
        <v>1037179148</v>
      </c>
      <c r="B748" s="3" t="s">
        <v>2258</v>
      </c>
      <c r="C748">
        <v>60</v>
      </c>
      <c r="D748" t="s">
        <v>47</v>
      </c>
      <c r="E748" t="s">
        <v>29</v>
      </c>
      <c r="F748" t="s">
        <v>29</v>
      </c>
      <c r="G748" t="s">
        <v>28</v>
      </c>
      <c r="H748">
        <v>6</v>
      </c>
      <c r="I748" t="s">
        <v>30</v>
      </c>
      <c r="J748" t="s">
        <v>2259</v>
      </c>
      <c r="K748" t="s">
        <v>2260</v>
      </c>
      <c r="L748" t="s">
        <v>58</v>
      </c>
      <c r="M748" s="4" t="s">
        <v>34</v>
      </c>
      <c r="N748" t="s">
        <v>119</v>
      </c>
      <c r="P748" s="3" t="s">
        <v>36</v>
      </c>
      <c r="Q748" s="3" t="s">
        <v>84</v>
      </c>
      <c r="R748">
        <v>2</v>
      </c>
      <c r="S748" s="5">
        <v>45545</v>
      </c>
      <c r="T748" t="s">
        <v>38</v>
      </c>
      <c r="U748">
        <f t="shared" ca="1" si="66"/>
        <v>20</v>
      </c>
      <c r="V748" s="6">
        <f t="shared" ca="1" si="67"/>
        <v>46022</v>
      </c>
      <c r="W748" s="6">
        <f t="shared" ca="1" si="68"/>
        <v>46028</v>
      </c>
      <c r="X748" t="str">
        <f t="shared" ca="1" si="69"/>
        <v>Dec 31 to Jan 6</v>
      </c>
      <c r="Y748" t="str">
        <f t="shared" ca="1" si="70"/>
        <v>⚪ SCHEDULED</v>
      </c>
      <c r="Z748" t="str">
        <f t="shared" ca="1" si="71"/>
        <v>No action needed yet</v>
      </c>
    </row>
    <row r="749" spans="1:26">
      <c r="A749">
        <v>1037266739</v>
      </c>
      <c r="B749" s="3" t="s">
        <v>2261</v>
      </c>
      <c r="C749">
        <v>53</v>
      </c>
      <c r="D749" t="s">
        <v>27</v>
      </c>
      <c r="E749" t="s">
        <v>28</v>
      </c>
      <c r="F749" t="s">
        <v>28</v>
      </c>
      <c r="G749" t="s">
        <v>28</v>
      </c>
      <c r="H749">
        <v>2</v>
      </c>
      <c r="I749" t="s">
        <v>55</v>
      </c>
      <c r="J749" t="s">
        <v>2262</v>
      </c>
      <c r="K749" t="s">
        <v>2263</v>
      </c>
      <c r="M749" s="4" t="s">
        <v>94</v>
      </c>
      <c r="N749" t="s">
        <v>59</v>
      </c>
      <c r="P749" s="3" t="s">
        <v>36</v>
      </c>
      <c r="Q749" s="3" t="s">
        <v>90</v>
      </c>
      <c r="R749">
        <v>1</v>
      </c>
      <c r="S749" s="5">
        <v>45985</v>
      </c>
      <c r="T749" t="s">
        <v>60</v>
      </c>
      <c r="U749">
        <f t="shared" ca="1" si="66"/>
        <v>40</v>
      </c>
      <c r="V749" s="6">
        <f t="shared" ca="1" si="67"/>
        <v>46042</v>
      </c>
      <c r="W749" s="6">
        <f t="shared" ca="1" si="68"/>
        <v>46048</v>
      </c>
      <c r="X749" t="str">
        <f t="shared" ca="1" si="69"/>
        <v>Jan 20 to Jan 26</v>
      </c>
      <c r="Y749" t="str">
        <f t="shared" ca="1" si="70"/>
        <v>⚪ SCHEDULED</v>
      </c>
      <c r="Z749" t="str">
        <f t="shared" ca="1" si="71"/>
        <v>No action needed yet</v>
      </c>
    </row>
    <row r="750" spans="1:26">
      <c r="A750">
        <v>1037307368</v>
      </c>
      <c r="B750" s="3" t="s">
        <v>2264</v>
      </c>
      <c r="C750">
        <v>64</v>
      </c>
      <c r="D750" t="s">
        <v>47</v>
      </c>
      <c r="E750" t="s">
        <v>29</v>
      </c>
      <c r="F750" t="s">
        <v>29</v>
      </c>
      <c r="G750" t="s">
        <v>29</v>
      </c>
      <c r="H750">
        <v>6</v>
      </c>
      <c r="I750" t="s">
        <v>30</v>
      </c>
      <c r="J750" t="s">
        <v>157</v>
      </c>
      <c r="K750" t="s">
        <v>1542</v>
      </c>
      <c r="M750" s="4" t="s">
        <v>34</v>
      </c>
      <c r="N750" t="s">
        <v>44</v>
      </c>
      <c r="P750" s="3" t="s">
        <v>36</v>
      </c>
      <c r="Q750" s="3" t="s">
        <v>45</v>
      </c>
      <c r="R750">
        <v>1</v>
      </c>
      <c r="S750" s="5">
        <v>45706</v>
      </c>
      <c r="T750" t="s">
        <v>38</v>
      </c>
      <c r="U750">
        <f t="shared" ca="1" si="66"/>
        <v>1</v>
      </c>
      <c r="V750" s="6">
        <f t="shared" ca="1" si="67"/>
        <v>46003</v>
      </c>
      <c r="W750" s="6">
        <f t="shared" ca="1" si="68"/>
        <v>46009</v>
      </c>
      <c r="X750" t="str">
        <f t="shared" ca="1" si="69"/>
        <v>Dec 12 to Dec 18</v>
      </c>
      <c r="Y750" t="str">
        <f t="shared" ca="1" si="70"/>
        <v>🟡 IMMINENT (within 3 days)</v>
      </c>
      <c r="Z750" t="str">
        <f t="shared" ca="1" si="71"/>
        <v>Prepare medications TODAY</v>
      </c>
    </row>
    <row r="751" spans="1:26">
      <c r="A751">
        <v>1037326616</v>
      </c>
      <c r="B751" s="3" t="s">
        <v>2265</v>
      </c>
      <c r="C751">
        <v>65</v>
      </c>
      <c r="D751" t="s">
        <v>47</v>
      </c>
      <c r="E751" t="s">
        <v>29</v>
      </c>
      <c r="F751" t="s">
        <v>28</v>
      </c>
      <c r="G751" t="s">
        <v>28</v>
      </c>
      <c r="H751">
        <v>4</v>
      </c>
      <c r="I751" t="s">
        <v>66</v>
      </c>
      <c r="J751" t="s">
        <v>2266</v>
      </c>
      <c r="K751" t="s">
        <v>2267</v>
      </c>
      <c r="L751" t="s">
        <v>170</v>
      </c>
      <c r="M751" s="4" t="s">
        <v>34</v>
      </c>
      <c r="N751" t="s">
        <v>162</v>
      </c>
      <c r="P751" s="3" t="s">
        <v>36</v>
      </c>
      <c r="Q751" s="3" t="s">
        <v>969</v>
      </c>
      <c r="R751">
        <v>2</v>
      </c>
      <c r="S751" s="5">
        <v>45708</v>
      </c>
      <c r="T751" t="s">
        <v>38</v>
      </c>
      <c r="U751">
        <f t="shared" ca="1" si="66"/>
        <v>3</v>
      </c>
      <c r="V751" s="6">
        <f t="shared" ca="1" si="67"/>
        <v>46005</v>
      </c>
      <c r="W751" s="6">
        <f t="shared" ca="1" si="68"/>
        <v>46011</v>
      </c>
      <c r="X751" t="str">
        <f t="shared" ca="1" si="69"/>
        <v>Dec 14 to Dec 20</v>
      </c>
      <c r="Y751" t="str">
        <f t="shared" ca="1" si="70"/>
        <v>🟡 IMMINENT (within 3 days)</v>
      </c>
      <c r="Z751" t="str">
        <f t="shared" ca="1" si="71"/>
        <v>Prepare medications TODAY</v>
      </c>
    </row>
    <row r="752" spans="1:26">
      <c r="A752">
        <v>1037326624</v>
      </c>
      <c r="B752" s="3" t="s">
        <v>2268</v>
      </c>
      <c r="C752">
        <v>66</v>
      </c>
      <c r="D752" t="s">
        <v>27</v>
      </c>
      <c r="E752" t="s">
        <v>29</v>
      </c>
      <c r="F752" t="s">
        <v>29</v>
      </c>
      <c r="G752" t="s">
        <v>29</v>
      </c>
      <c r="H752">
        <v>7</v>
      </c>
      <c r="I752" t="s">
        <v>30</v>
      </c>
      <c r="J752" t="s">
        <v>146</v>
      </c>
      <c r="K752" t="s">
        <v>147</v>
      </c>
      <c r="M752" s="4" t="s">
        <v>34</v>
      </c>
      <c r="N752" t="s">
        <v>44</v>
      </c>
      <c r="P752" s="3" t="s">
        <v>36</v>
      </c>
      <c r="Q752" s="3" t="s">
        <v>107</v>
      </c>
      <c r="R752">
        <v>2</v>
      </c>
      <c r="S752" s="5">
        <v>45465</v>
      </c>
      <c r="T752" t="s">
        <v>38</v>
      </c>
      <c r="U752">
        <f t="shared" ca="1" si="66"/>
        <v>0</v>
      </c>
      <c r="V752" s="6">
        <f t="shared" ca="1" si="67"/>
        <v>46002</v>
      </c>
      <c r="W752" s="6">
        <f t="shared" ca="1" si="68"/>
        <v>46008</v>
      </c>
      <c r="X752" t="str">
        <f t="shared" ca="1" si="69"/>
        <v>Dec 11 to Dec 17</v>
      </c>
      <c r="Y752" t="str">
        <f t="shared" ca="1" si="70"/>
        <v>🟡 IMMINENT (within 3 days)</v>
      </c>
      <c r="Z752" t="str">
        <f t="shared" ca="1" si="71"/>
        <v>Prepare medications TODAY</v>
      </c>
    </row>
    <row r="753" spans="1:26">
      <c r="A753">
        <v>1037347505</v>
      </c>
      <c r="B753" s="3" t="s">
        <v>2269</v>
      </c>
      <c r="C753">
        <v>66</v>
      </c>
      <c r="D753" t="s">
        <v>27</v>
      </c>
      <c r="E753" t="s">
        <v>29</v>
      </c>
      <c r="F753" t="s">
        <v>29</v>
      </c>
      <c r="G753" t="s">
        <v>29</v>
      </c>
      <c r="H753">
        <v>6</v>
      </c>
      <c r="I753" t="s">
        <v>30</v>
      </c>
      <c r="J753" t="s">
        <v>2270</v>
      </c>
      <c r="K753" t="s">
        <v>2271</v>
      </c>
      <c r="L753" t="s">
        <v>50</v>
      </c>
      <c r="M753" s="4" t="s">
        <v>43</v>
      </c>
      <c r="N753" t="s">
        <v>76</v>
      </c>
      <c r="P753" s="3" t="s">
        <v>36</v>
      </c>
      <c r="Q753" s="3" t="s">
        <v>90</v>
      </c>
      <c r="R753">
        <v>1</v>
      </c>
      <c r="S753" s="5">
        <v>45906</v>
      </c>
      <c r="T753" t="s">
        <v>38</v>
      </c>
      <c r="U753">
        <f t="shared" ca="1" si="66"/>
        <v>21</v>
      </c>
      <c r="V753" s="6">
        <f t="shared" ca="1" si="67"/>
        <v>46023</v>
      </c>
      <c r="W753" s="6">
        <f t="shared" ca="1" si="68"/>
        <v>46029</v>
      </c>
      <c r="X753" t="str">
        <f t="shared" ca="1" si="69"/>
        <v>Jan 1 to Jan 7</v>
      </c>
      <c r="Y753" t="str">
        <f t="shared" ca="1" si="70"/>
        <v>⚪ SCHEDULED</v>
      </c>
      <c r="Z753" t="str">
        <f t="shared" ca="1" si="71"/>
        <v>No action needed yet</v>
      </c>
    </row>
    <row r="754" spans="1:26">
      <c r="A754">
        <v>1037435417</v>
      </c>
      <c r="B754" s="3" t="s">
        <v>2272</v>
      </c>
      <c r="C754">
        <v>47</v>
      </c>
      <c r="D754" t="s">
        <v>47</v>
      </c>
      <c r="E754" t="s">
        <v>29</v>
      </c>
      <c r="F754" t="s">
        <v>28</v>
      </c>
      <c r="G754" t="s">
        <v>28</v>
      </c>
      <c r="H754">
        <v>3</v>
      </c>
      <c r="I754" t="s">
        <v>66</v>
      </c>
      <c r="J754" t="s">
        <v>2273</v>
      </c>
      <c r="K754" t="s">
        <v>2274</v>
      </c>
      <c r="L754" t="s">
        <v>105</v>
      </c>
      <c r="M754" s="4" t="s">
        <v>43</v>
      </c>
      <c r="N754" t="s">
        <v>162</v>
      </c>
      <c r="P754" s="3" t="s">
        <v>36</v>
      </c>
      <c r="Q754" s="3" t="s">
        <v>90</v>
      </c>
      <c r="R754">
        <v>1</v>
      </c>
      <c r="S754" s="5">
        <v>45882</v>
      </c>
      <c r="T754" t="s">
        <v>38</v>
      </c>
      <c r="U754">
        <f t="shared" ca="1" si="66"/>
        <v>27</v>
      </c>
      <c r="V754" s="6">
        <f t="shared" ca="1" si="67"/>
        <v>46029</v>
      </c>
      <c r="W754" s="6">
        <f t="shared" ca="1" si="68"/>
        <v>46035</v>
      </c>
      <c r="X754" t="str">
        <f t="shared" ca="1" si="69"/>
        <v>Jan 7 to Jan 13</v>
      </c>
      <c r="Y754" t="str">
        <f t="shared" ca="1" si="70"/>
        <v>⚪ SCHEDULED</v>
      </c>
      <c r="Z754" t="str">
        <f t="shared" ca="1" si="71"/>
        <v>No action needed yet</v>
      </c>
    </row>
    <row r="755" spans="1:26">
      <c r="A755">
        <v>1037469341</v>
      </c>
      <c r="B755" s="3" t="s">
        <v>2275</v>
      </c>
      <c r="C755">
        <v>68</v>
      </c>
      <c r="D755" t="s">
        <v>47</v>
      </c>
      <c r="E755" t="s">
        <v>29</v>
      </c>
      <c r="F755" t="s">
        <v>28</v>
      </c>
      <c r="G755" t="s">
        <v>29</v>
      </c>
      <c r="H755">
        <v>5</v>
      </c>
      <c r="I755" t="s">
        <v>30</v>
      </c>
      <c r="J755" t="s">
        <v>1045</v>
      </c>
      <c r="K755" t="s">
        <v>2276</v>
      </c>
      <c r="M755" s="4" t="s">
        <v>94</v>
      </c>
      <c r="N755" t="s">
        <v>95</v>
      </c>
      <c r="P755" s="3" t="s">
        <v>36</v>
      </c>
      <c r="Q755" s="3" t="s">
        <v>381</v>
      </c>
      <c r="R755">
        <v>1</v>
      </c>
      <c r="S755" s="5">
        <v>45940</v>
      </c>
      <c r="T755" t="s">
        <v>38</v>
      </c>
      <c r="U755">
        <f t="shared" ca="1" si="66"/>
        <v>25</v>
      </c>
      <c r="V755" s="6">
        <f t="shared" ca="1" si="67"/>
        <v>46027</v>
      </c>
      <c r="W755" s="6">
        <f t="shared" ca="1" si="68"/>
        <v>46033</v>
      </c>
      <c r="X755" t="str">
        <f t="shared" ca="1" si="69"/>
        <v>Jan 5 to Jan 11</v>
      </c>
      <c r="Y755" t="str">
        <f t="shared" ca="1" si="70"/>
        <v>⚪ SCHEDULED</v>
      </c>
      <c r="Z755" t="str">
        <f t="shared" ca="1" si="71"/>
        <v>No action needed yet</v>
      </c>
    </row>
    <row r="756" spans="1:26">
      <c r="A756">
        <v>1037526942</v>
      </c>
      <c r="B756" s="3" t="s">
        <v>2277</v>
      </c>
      <c r="C756">
        <v>60</v>
      </c>
      <c r="D756" t="s">
        <v>47</v>
      </c>
      <c r="E756" t="s">
        <v>28</v>
      </c>
      <c r="F756" t="s">
        <v>28</v>
      </c>
      <c r="G756" t="s">
        <v>28</v>
      </c>
      <c r="H756">
        <v>3</v>
      </c>
      <c r="I756" t="s">
        <v>66</v>
      </c>
      <c r="J756" t="s">
        <v>398</v>
      </c>
      <c r="K756" t="s">
        <v>964</v>
      </c>
      <c r="L756" t="s">
        <v>69</v>
      </c>
      <c r="M756" s="4" t="s">
        <v>94</v>
      </c>
      <c r="N756" t="s">
        <v>59</v>
      </c>
      <c r="P756" s="3" t="s">
        <v>36</v>
      </c>
      <c r="Q756" s="3" t="s">
        <v>381</v>
      </c>
      <c r="R756">
        <v>2</v>
      </c>
      <c r="S756" s="5">
        <v>45960</v>
      </c>
      <c r="T756" t="s">
        <v>38</v>
      </c>
      <c r="U756">
        <f t="shared" ca="1" si="66"/>
        <v>15</v>
      </c>
      <c r="V756" s="6">
        <f t="shared" ca="1" si="67"/>
        <v>46017</v>
      </c>
      <c r="W756" s="6">
        <f t="shared" ca="1" si="68"/>
        <v>46023</v>
      </c>
      <c r="X756" t="str">
        <f t="shared" ca="1" si="69"/>
        <v>Dec 26 to Jan 1</v>
      </c>
      <c r="Y756" t="str">
        <f t="shared" ca="1" si="70"/>
        <v>⚪ SCHEDULED</v>
      </c>
      <c r="Z756" t="str">
        <f t="shared" ca="1" si="71"/>
        <v>No action needed yet</v>
      </c>
    </row>
    <row r="757" spans="1:26">
      <c r="A757">
        <v>1037553664</v>
      </c>
      <c r="B757" s="3" t="s">
        <v>2278</v>
      </c>
      <c r="C757">
        <v>60</v>
      </c>
      <c r="D757" t="s">
        <v>27</v>
      </c>
      <c r="E757" t="s">
        <v>28</v>
      </c>
      <c r="F757" t="s">
        <v>29</v>
      </c>
      <c r="G757" t="s">
        <v>28</v>
      </c>
      <c r="H757">
        <v>5</v>
      </c>
      <c r="I757" t="s">
        <v>30</v>
      </c>
      <c r="J757" t="s">
        <v>2279</v>
      </c>
      <c r="K757" t="s">
        <v>2280</v>
      </c>
      <c r="L757" t="s">
        <v>69</v>
      </c>
      <c r="M757" s="4" t="s">
        <v>43</v>
      </c>
      <c r="N757" t="s">
        <v>70</v>
      </c>
      <c r="P757" s="3" t="s">
        <v>36</v>
      </c>
      <c r="Q757" s="3" t="s">
        <v>1475</v>
      </c>
      <c r="R757">
        <v>1</v>
      </c>
      <c r="S757" s="5">
        <v>45896</v>
      </c>
      <c r="T757" t="s">
        <v>38</v>
      </c>
      <c r="U757">
        <f t="shared" ca="1" si="66"/>
        <v>11</v>
      </c>
      <c r="V757" s="6">
        <f t="shared" ca="1" si="67"/>
        <v>46013</v>
      </c>
      <c r="W757" s="6">
        <f t="shared" ca="1" si="68"/>
        <v>46019</v>
      </c>
      <c r="X757" t="str">
        <f t="shared" ca="1" si="69"/>
        <v>Dec 22 to Dec 28</v>
      </c>
      <c r="Y757" t="str">
        <f t="shared" ca="1" si="70"/>
        <v>🔵 NEXT 2 WEEKS</v>
      </c>
      <c r="Z757" t="str">
        <f t="shared" ca="1" si="71"/>
        <v>Send reminder SMS</v>
      </c>
    </row>
    <row r="758" spans="1:26">
      <c r="A758">
        <v>1037635453</v>
      </c>
      <c r="B758" s="3" t="s">
        <v>2281</v>
      </c>
      <c r="C758">
        <v>44</v>
      </c>
      <c r="D758" t="s">
        <v>27</v>
      </c>
      <c r="E758" t="s">
        <v>29</v>
      </c>
      <c r="F758" t="s">
        <v>28</v>
      </c>
      <c r="G758" t="s">
        <v>28</v>
      </c>
      <c r="H758">
        <v>2</v>
      </c>
      <c r="I758" t="s">
        <v>55</v>
      </c>
      <c r="J758" t="s">
        <v>2282</v>
      </c>
      <c r="K758" t="s">
        <v>2283</v>
      </c>
      <c r="L758" t="s">
        <v>105</v>
      </c>
      <c r="M758" s="4" t="s">
        <v>34</v>
      </c>
      <c r="N758" t="s">
        <v>162</v>
      </c>
      <c r="P758" s="3" t="s">
        <v>36</v>
      </c>
      <c r="Q758" s="3" t="s">
        <v>313</v>
      </c>
      <c r="R758">
        <v>2</v>
      </c>
      <c r="S758" s="5">
        <v>45558</v>
      </c>
      <c r="T758" t="s">
        <v>60</v>
      </c>
      <c r="U758">
        <f t="shared" ca="1" si="66"/>
        <v>33</v>
      </c>
      <c r="V758" s="6">
        <f t="shared" ca="1" si="67"/>
        <v>46035</v>
      </c>
      <c r="W758" s="6">
        <f t="shared" ca="1" si="68"/>
        <v>46041</v>
      </c>
      <c r="X758" t="str">
        <f t="shared" ca="1" si="69"/>
        <v>Jan 13 to Jan 19</v>
      </c>
      <c r="Y758" t="str">
        <f t="shared" ca="1" si="70"/>
        <v>⚪ SCHEDULED</v>
      </c>
      <c r="Z758" t="str">
        <f t="shared" ca="1" si="71"/>
        <v>No action needed yet</v>
      </c>
    </row>
    <row r="759" spans="1:26">
      <c r="A759">
        <v>1037717780</v>
      </c>
      <c r="B759" s="3" t="s">
        <v>2284</v>
      </c>
      <c r="C759">
        <v>76</v>
      </c>
      <c r="D759" t="s">
        <v>47</v>
      </c>
      <c r="E759" t="s">
        <v>29</v>
      </c>
      <c r="F759" t="s">
        <v>29</v>
      </c>
      <c r="G759" t="s">
        <v>29</v>
      </c>
      <c r="H759">
        <v>7</v>
      </c>
      <c r="I759" t="s">
        <v>30</v>
      </c>
      <c r="J759" t="s">
        <v>2285</v>
      </c>
      <c r="K759" t="s">
        <v>2286</v>
      </c>
      <c r="L759" t="s">
        <v>213</v>
      </c>
      <c r="M759" s="4" t="s">
        <v>94</v>
      </c>
      <c r="N759" t="s">
        <v>201</v>
      </c>
      <c r="P759" s="3" t="s">
        <v>36</v>
      </c>
      <c r="Q759" s="3" t="s">
        <v>969</v>
      </c>
      <c r="R759">
        <v>2</v>
      </c>
      <c r="S759" s="5">
        <v>45954</v>
      </c>
      <c r="T759" t="s">
        <v>38</v>
      </c>
      <c r="U759">
        <f t="shared" ca="1" si="66"/>
        <v>9</v>
      </c>
      <c r="V759" s="6">
        <f t="shared" ca="1" si="67"/>
        <v>46011</v>
      </c>
      <c r="W759" s="6">
        <f t="shared" ca="1" si="68"/>
        <v>46017</v>
      </c>
      <c r="X759" t="str">
        <f t="shared" ca="1" si="69"/>
        <v>Dec 20 to Dec 26</v>
      </c>
      <c r="Y759" t="str">
        <f t="shared" ca="1" si="70"/>
        <v>🔵 NEXT 2 WEEKS</v>
      </c>
      <c r="Z759" t="str">
        <f t="shared" ca="1" si="71"/>
        <v>Send reminder SMS</v>
      </c>
    </row>
    <row r="760" spans="1:26">
      <c r="A760">
        <v>1037751169</v>
      </c>
      <c r="B760" s="3" t="s">
        <v>2287</v>
      </c>
      <c r="C760">
        <v>61</v>
      </c>
      <c r="D760" t="s">
        <v>27</v>
      </c>
      <c r="E760" t="s">
        <v>29</v>
      </c>
      <c r="F760" t="s">
        <v>28</v>
      </c>
      <c r="G760" t="s">
        <v>29</v>
      </c>
      <c r="H760">
        <v>5</v>
      </c>
      <c r="I760" t="s">
        <v>30</v>
      </c>
      <c r="J760" t="s">
        <v>260</v>
      </c>
      <c r="K760" t="s">
        <v>2288</v>
      </c>
      <c r="M760" s="4" t="s">
        <v>43</v>
      </c>
      <c r="N760" t="s">
        <v>95</v>
      </c>
      <c r="P760" s="3" t="s">
        <v>36</v>
      </c>
      <c r="Q760" s="3" t="s">
        <v>123</v>
      </c>
      <c r="R760">
        <v>2</v>
      </c>
      <c r="S760" s="5">
        <v>45917</v>
      </c>
      <c r="T760" t="s">
        <v>38</v>
      </c>
      <c r="U760">
        <f t="shared" ca="1" si="66"/>
        <v>2</v>
      </c>
      <c r="V760" s="6">
        <f t="shared" ca="1" si="67"/>
        <v>46004</v>
      </c>
      <c r="W760" s="6">
        <f t="shared" ca="1" si="68"/>
        <v>46010</v>
      </c>
      <c r="X760" t="str">
        <f t="shared" ca="1" si="69"/>
        <v>Dec 13 to Dec 19</v>
      </c>
      <c r="Y760" t="str">
        <f t="shared" ca="1" si="70"/>
        <v>🟡 IMMINENT (within 3 days)</v>
      </c>
      <c r="Z760" t="str">
        <f t="shared" ca="1" si="71"/>
        <v>Prepare medications TODAY</v>
      </c>
    </row>
    <row r="761" spans="1:26">
      <c r="A761">
        <v>1037751201</v>
      </c>
      <c r="B761" s="3" t="s">
        <v>2289</v>
      </c>
      <c r="C761">
        <v>44</v>
      </c>
      <c r="D761" t="s">
        <v>47</v>
      </c>
      <c r="E761" t="s">
        <v>29</v>
      </c>
      <c r="F761" t="s">
        <v>29</v>
      </c>
      <c r="G761" t="s">
        <v>28</v>
      </c>
      <c r="H761">
        <v>3</v>
      </c>
      <c r="I761" t="s">
        <v>66</v>
      </c>
      <c r="J761" t="s">
        <v>2290</v>
      </c>
      <c r="K761" t="s">
        <v>2291</v>
      </c>
      <c r="M761" s="4" t="s">
        <v>94</v>
      </c>
      <c r="N761" t="s">
        <v>144</v>
      </c>
      <c r="P761" s="3" t="s">
        <v>36</v>
      </c>
      <c r="Q761" s="3" t="s">
        <v>77</v>
      </c>
      <c r="R761">
        <v>2</v>
      </c>
      <c r="S761" s="5">
        <v>45947</v>
      </c>
      <c r="T761" t="s">
        <v>38</v>
      </c>
      <c r="U761">
        <f t="shared" ca="1" si="66"/>
        <v>2</v>
      </c>
      <c r="V761" s="6">
        <f t="shared" ca="1" si="67"/>
        <v>46004</v>
      </c>
      <c r="W761" s="6">
        <f t="shared" ca="1" si="68"/>
        <v>46010</v>
      </c>
      <c r="X761" t="str">
        <f t="shared" ca="1" si="69"/>
        <v>Dec 13 to Dec 19</v>
      </c>
      <c r="Y761" t="str">
        <f t="shared" ca="1" si="70"/>
        <v>🟡 IMMINENT (within 3 days)</v>
      </c>
      <c r="Z761" t="str">
        <f t="shared" ca="1" si="71"/>
        <v>Prepare medications TODAY</v>
      </c>
    </row>
    <row r="762" spans="1:26">
      <c r="A762">
        <v>1037778543</v>
      </c>
      <c r="B762" s="3" t="s">
        <v>2292</v>
      </c>
      <c r="C762">
        <v>53</v>
      </c>
      <c r="D762" t="s">
        <v>47</v>
      </c>
      <c r="E762" t="s">
        <v>29</v>
      </c>
      <c r="F762" t="s">
        <v>29</v>
      </c>
      <c r="G762" t="s">
        <v>29</v>
      </c>
      <c r="H762">
        <v>5</v>
      </c>
      <c r="I762" t="s">
        <v>30</v>
      </c>
      <c r="J762" t="s">
        <v>125</v>
      </c>
      <c r="K762" t="s">
        <v>2293</v>
      </c>
      <c r="L762" t="s">
        <v>69</v>
      </c>
      <c r="M762" s="4" t="s">
        <v>43</v>
      </c>
      <c r="N762" t="s">
        <v>127</v>
      </c>
      <c r="P762" s="3" t="s">
        <v>36</v>
      </c>
      <c r="Q762" s="3" t="s">
        <v>958</v>
      </c>
      <c r="R762">
        <v>2</v>
      </c>
      <c r="S762" s="5">
        <v>45864</v>
      </c>
      <c r="T762" t="s">
        <v>38</v>
      </c>
      <c r="U762">
        <f t="shared" ca="1" si="66"/>
        <v>9</v>
      </c>
      <c r="V762" s="6">
        <f t="shared" ca="1" si="67"/>
        <v>46011</v>
      </c>
      <c r="W762" s="6">
        <f t="shared" ca="1" si="68"/>
        <v>46017</v>
      </c>
      <c r="X762" t="str">
        <f t="shared" ca="1" si="69"/>
        <v>Dec 20 to Dec 26</v>
      </c>
      <c r="Y762" t="str">
        <f t="shared" ca="1" si="70"/>
        <v>🔵 NEXT 2 WEEKS</v>
      </c>
      <c r="Z762" t="str">
        <f t="shared" ca="1" si="71"/>
        <v>Send reminder SMS</v>
      </c>
    </row>
    <row r="763" spans="1:26">
      <c r="A763">
        <v>1037956644</v>
      </c>
      <c r="B763" s="3" t="s">
        <v>2294</v>
      </c>
      <c r="C763">
        <v>57</v>
      </c>
      <c r="D763" t="s">
        <v>47</v>
      </c>
      <c r="E763" t="s">
        <v>29</v>
      </c>
      <c r="F763" t="s">
        <v>28</v>
      </c>
      <c r="G763" t="s">
        <v>29</v>
      </c>
      <c r="H763">
        <v>5</v>
      </c>
      <c r="I763" t="s">
        <v>30</v>
      </c>
      <c r="J763" t="s">
        <v>2295</v>
      </c>
      <c r="K763" t="s">
        <v>2296</v>
      </c>
      <c r="L763" t="s">
        <v>105</v>
      </c>
      <c r="M763" s="4" t="s">
        <v>34</v>
      </c>
      <c r="N763" t="s">
        <v>182</v>
      </c>
      <c r="P763" s="3" t="s">
        <v>36</v>
      </c>
      <c r="Q763" s="3" t="s">
        <v>84</v>
      </c>
      <c r="R763">
        <v>1</v>
      </c>
      <c r="S763" s="5">
        <v>45820</v>
      </c>
      <c r="T763" t="s">
        <v>38</v>
      </c>
      <c r="U763">
        <f t="shared" ca="1" si="66"/>
        <v>25</v>
      </c>
      <c r="V763" s="6">
        <f t="shared" ca="1" si="67"/>
        <v>46027</v>
      </c>
      <c r="W763" s="6">
        <f t="shared" ca="1" si="68"/>
        <v>46033</v>
      </c>
      <c r="X763" t="str">
        <f t="shared" ca="1" si="69"/>
        <v>Jan 5 to Jan 11</v>
      </c>
      <c r="Y763" t="str">
        <f t="shared" ca="1" si="70"/>
        <v>⚪ SCHEDULED</v>
      </c>
      <c r="Z763" t="str">
        <f t="shared" ca="1" si="71"/>
        <v>No action needed yet</v>
      </c>
    </row>
    <row r="764" spans="1:26">
      <c r="A764">
        <v>1038128631</v>
      </c>
      <c r="B764" s="3" t="s">
        <v>2297</v>
      </c>
      <c r="C764">
        <v>53</v>
      </c>
      <c r="D764" t="s">
        <v>47</v>
      </c>
      <c r="E764" t="s">
        <v>28</v>
      </c>
      <c r="F764" t="s">
        <v>28</v>
      </c>
      <c r="G764" t="s">
        <v>29</v>
      </c>
      <c r="H764">
        <v>3</v>
      </c>
      <c r="I764" t="s">
        <v>66</v>
      </c>
      <c r="J764" t="s">
        <v>2298</v>
      </c>
      <c r="K764" t="s">
        <v>2299</v>
      </c>
      <c r="L764" t="s">
        <v>139</v>
      </c>
      <c r="M764" s="4" t="s">
        <v>34</v>
      </c>
      <c r="N764" t="s">
        <v>140</v>
      </c>
      <c r="P764" s="3" t="s">
        <v>36</v>
      </c>
      <c r="Q764" s="3" t="s">
        <v>84</v>
      </c>
      <c r="R764">
        <v>1</v>
      </c>
      <c r="S764" s="5">
        <v>45743</v>
      </c>
      <c r="T764" t="s">
        <v>38</v>
      </c>
      <c r="U764">
        <f t="shared" ca="1" si="66"/>
        <v>8</v>
      </c>
      <c r="V764" s="6">
        <f t="shared" ca="1" si="67"/>
        <v>46010</v>
      </c>
      <c r="W764" s="6">
        <f t="shared" ca="1" si="68"/>
        <v>46016</v>
      </c>
      <c r="X764" t="str">
        <f t="shared" ca="1" si="69"/>
        <v>Dec 19 to Dec 25</v>
      </c>
      <c r="Y764" t="str">
        <f t="shared" ca="1" si="70"/>
        <v>🔵 NEXT 2 WEEKS</v>
      </c>
      <c r="Z764" t="str">
        <f t="shared" ca="1" si="71"/>
        <v>Send reminder SMS</v>
      </c>
    </row>
    <row r="765" spans="1:26">
      <c r="A765">
        <v>1038184006</v>
      </c>
      <c r="B765" s="3" t="s">
        <v>2300</v>
      </c>
      <c r="C765">
        <v>55</v>
      </c>
      <c r="D765" t="s">
        <v>27</v>
      </c>
      <c r="E765" t="s">
        <v>29</v>
      </c>
      <c r="F765" t="s">
        <v>29</v>
      </c>
      <c r="G765" t="s">
        <v>29</v>
      </c>
      <c r="H765">
        <v>6</v>
      </c>
      <c r="I765" t="s">
        <v>30</v>
      </c>
      <c r="J765" t="s">
        <v>2301</v>
      </c>
      <c r="K765" t="s">
        <v>2302</v>
      </c>
      <c r="L765" t="s">
        <v>208</v>
      </c>
      <c r="M765" s="4" t="s">
        <v>94</v>
      </c>
      <c r="N765" t="s">
        <v>201</v>
      </c>
      <c r="P765" s="3" t="s">
        <v>36</v>
      </c>
      <c r="Q765" s="3" t="s">
        <v>45</v>
      </c>
      <c r="R765">
        <v>1</v>
      </c>
      <c r="S765" s="5">
        <v>45952</v>
      </c>
      <c r="T765" t="s">
        <v>38</v>
      </c>
      <c r="U765">
        <f t="shared" ca="1" si="66"/>
        <v>7</v>
      </c>
      <c r="V765" s="6">
        <f t="shared" ca="1" si="67"/>
        <v>46009</v>
      </c>
      <c r="W765" s="6">
        <f t="shared" ca="1" si="68"/>
        <v>46015</v>
      </c>
      <c r="X765" t="str">
        <f t="shared" ca="1" si="69"/>
        <v>Dec 18 to Dec 24</v>
      </c>
      <c r="Y765" t="str">
        <f t="shared" ca="1" si="70"/>
        <v>🟢 THIS WEEK</v>
      </c>
      <c r="Z765" t="str">
        <f t="shared" ca="1" si="71"/>
        <v>Confirm appointment</v>
      </c>
    </row>
    <row r="766" spans="1:26">
      <c r="A766">
        <v>1038242960</v>
      </c>
      <c r="B766" s="3" t="s">
        <v>2303</v>
      </c>
      <c r="C766">
        <v>42</v>
      </c>
      <c r="D766" t="s">
        <v>27</v>
      </c>
      <c r="E766" t="s">
        <v>28</v>
      </c>
      <c r="F766" t="s">
        <v>28</v>
      </c>
      <c r="G766" t="s">
        <v>28</v>
      </c>
      <c r="H766">
        <v>1</v>
      </c>
      <c r="I766" t="s">
        <v>55</v>
      </c>
      <c r="J766" t="s">
        <v>2304</v>
      </c>
      <c r="K766" t="s">
        <v>2305</v>
      </c>
      <c r="L766" t="s">
        <v>139</v>
      </c>
      <c r="M766" s="4" t="s">
        <v>34</v>
      </c>
      <c r="N766" t="s">
        <v>59</v>
      </c>
      <c r="P766" s="3" t="s">
        <v>36</v>
      </c>
      <c r="Q766" s="3" t="s">
        <v>84</v>
      </c>
      <c r="R766">
        <v>2</v>
      </c>
      <c r="S766" s="5">
        <v>45404</v>
      </c>
      <c r="T766" t="s">
        <v>393</v>
      </c>
      <c r="U766">
        <f t="shared" ca="1" si="66"/>
        <v>29</v>
      </c>
      <c r="V766" s="6">
        <f t="shared" ca="1" si="67"/>
        <v>46031</v>
      </c>
      <c r="W766" s="6">
        <f t="shared" ca="1" si="68"/>
        <v>46037</v>
      </c>
      <c r="X766" t="str">
        <f t="shared" ca="1" si="69"/>
        <v>Jan 9 to Jan 15</v>
      </c>
      <c r="Y766" t="str">
        <f t="shared" ca="1" si="70"/>
        <v>⚪ SCHEDULED</v>
      </c>
      <c r="Z766" t="str">
        <f t="shared" ca="1" si="71"/>
        <v>No action needed yet</v>
      </c>
    </row>
    <row r="767" spans="1:26">
      <c r="A767">
        <v>1038244354</v>
      </c>
      <c r="B767" s="3" t="s">
        <v>2306</v>
      </c>
      <c r="C767">
        <v>57</v>
      </c>
      <c r="D767" t="s">
        <v>47</v>
      </c>
      <c r="E767" t="s">
        <v>29</v>
      </c>
      <c r="F767" t="s">
        <v>28</v>
      </c>
      <c r="G767" t="s">
        <v>28</v>
      </c>
      <c r="H767">
        <v>3</v>
      </c>
      <c r="I767" t="s">
        <v>66</v>
      </c>
      <c r="J767" t="s">
        <v>2307</v>
      </c>
      <c r="K767" t="s">
        <v>2308</v>
      </c>
      <c r="M767" s="4" t="s">
        <v>43</v>
      </c>
      <c r="N767" t="s">
        <v>148</v>
      </c>
      <c r="P767" s="3" t="s">
        <v>36</v>
      </c>
      <c r="Q767" s="3" t="s">
        <v>96</v>
      </c>
      <c r="R767">
        <v>2</v>
      </c>
      <c r="S767" s="5">
        <v>45877</v>
      </c>
      <c r="T767" t="s">
        <v>38</v>
      </c>
      <c r="U767">
        <f t="shared" ca="1" si="66"/>
        <v>22</v>
      </c>
      <c r="V767" s="6">
        <f t="shared" ca="1" si="67"/>
        <v>46024</v>
      </c>
      <c r="W767" s="6">
        <f t="shared" ca="1" si="68"/>
        <v>46030</v>
      </c>
      <c r="X767" t="str">
        <f t="shared" ca="1" si="69"/>
        <v>Jan 2 to Jan 8</v>
      </c>
      <c r="Y767" t="str">
        <f t="shared" ca="1" si="70"/>
        <v>⚪ SCHEDULED</v>
      </c>
      <c r="Z767" t="str">
        <f t="shared" ca="1" si="71"/>
        <v>No action needed yet</v>
      </c>
    </row>
    <row r="768" spans="1:26">
      <c r="A768">
        <v>1038378103</v>
      </c>
      <c r="B768" s="3" t="s">
        <v>2309</v>
      </c>
      <c r="C768">
        <v>66</v>
      </c>
      <c r="D768" t="s">
        <v>27</v>
      </c>
      <c r="E768" t="s">
        <v>29</v>
      </c>
      <c r="F768" t="s">
        <v>29</v>
      </c>
      <c r="G768" t="s">
        <v>29</v>
      </c>
      <c r="H768">
        <v>7</v>
      </c>
      <c r="I768" t="s">
        <v>30</v>
      </c>
      <c r="J768" t="s">
        <v>2310</v>
      </c>
      <c r="K768" t="s">
        <v>2311</v>
      </c>
      <c r="L768" t="s">
        <v>606</v>
      </c>
      <c r="M768" s="4" t="s">
        <v>34</v>
      </c>
      <c r="N768" t="s">
        <v>76</v>
      </c>
      <c r="P768" s="3" t="s">
        <v>36</v>
      </c>
      <c r="Q768" s="3" t="s">
        <v>107</v>
      </c>
      <c r="R768">
        <v>2</v>
      </c>
      <c r="S768" s="5">
        <v>45591</v>
      </c>
      <c r="T768" t="s">
        <v>38</v>
      </c>
      <c r="U768">
        <f t="shared" ca="1" si="66"/>
        <v>6</v>
      </c>
      <c r="V768" s="6">
        <f t="shared" ca="1" si="67"/>
        <v>46008</v>
      </c>
      <c r="W768" s="6">
        <f t="shared" ca="1" si="68"/>
        <v>46014</v>
      </c>
      <c r="X768" t="str">
        <f t="shared" ca="1" si="69"/>
        <v>Dec 17 to Dec 23</v>
      </c>
      <c r="Y768" t="str">
        <f t="shared" ca="1" si="70"/>
        <v>🟢 THIS WEEK</v>
      </c>
      <c r="Z768" t="str">
        <f t="shared" ca="1" si="71"/>
        <v>Confirm appointment</v>
      </c>
    </row>
    <row r="769" spans="1:26">
      <c r="A769">
        <v>1038705776</v>
      </c>
      <c r="B769" s="3" t="s">
        <v>2312</v>
      </c>
      <c r="C769">
        <v>56</v>
      </c>
      <c r="D769" t="s">
        <v>27</v>
      </c>
      <c r="E769" t="s">
        <v>28</v>
      </c>
      <c r="F769" t="s">
        <v>29</v>
      </c>
      <c r="G769" t="s">
        <v>29</v>
      </c>
      <c r="H769">
        <v>5</v>
      </c>
      <c r="I769" t="s">
        <v>30</v>
      </c>
      <c r="J769" t="s">
        <v>2313</v>
      </c>
      <c r="K769" t="s">
        <v>2314</v>
      </c>
      <c r="L769" t="s">
        <v>166</v>
      </c>
      <c r="M769" s="4" t="s">
        <v>94</v>
      </c>
      <c r="N769" t="s">
        <v>333</v>
      </c>
      <c r="P769" s="3" t="s">
        <v>36</v>
      </c>
      <c r="Q769" s="3" t="s">
        <v>96</v>
      </c>
      <c r="R769">
        <v>2</v>
      </c>
      <c r="S769" s="5">
        <v>45941</v>
      </c>
      <c r="T769" t="s">
        <v>38</v>
      </c>
      <c r="U769">
        <f t="shared" ca="1" si="66"/>
        <v>26</v>
      </c>
      <c r="V769" s="6">
        <f t="shared" ca="1" si="67"/>
        <v>46028</v>
      </c>
      <c r="W769" s="6">
        <f t="shared" ca="1" si="68"/>
        <v>46034</v>
      </c>
      <c r="X769" t="str">
        <f t="shared" ca="1" si="69"/>
        <v>Jan 6 to Jan 12</v>
      </c>
      <c r="Y769" t="str">
        <f t="shared" ca="1" si="70"/>
        <v>⚪ SCHEDULED</v>
      </c>
      <c r="Z769" t="str">
        <f t="shared" ca="1" si="71"/>
        <v>No action needed yet</v>
      </c>
    </row>
    <row r="770" spans="1:26">
      <c r="A770">
        <v>1038814693</v>
      </c>
      <c r="B770" s="3" t="s">
        <v>2315</v>
      </c>
      <c r="C770">
        <v>57</v>
      </c>
      <c r="D770" t="s">
        <v>27</v>
      </c>
      <c r="E770" t="s">
        <v>29</v>
      </c>
      <c r="F770" t="s">
        <v>28</v>
      </c>
      <c r="G770" t="s">
        <v>29</v>
      </c>
      <c r="H770">
        <v>5</v>
      </c>
      <c r="I770" t="s">
        <v>30</v>
      </c>
      <c r="J770" t="s">
        <v>430</v>
      </c>
      <c r="K770" t="s">
        <v>2316</v>
      </c>
      <c r="M770" s="4" t="s">
        <v>43</v>
      </c>
      <c r="N770" t="s">
        <v>95</v>
      </c>
      <c r="P770" s="3" t="s">
        <v>36</v>
      </c>
      <c r="Q770" s="3" t="s">
        <v>45</v>
      </c>
      <c r="R770">
        <v>2</v>
      </c>
      <c r="S770" s="5">
        <v>45884</v>
      </c>
      <c r="T770" t="s">
        <v>38</v>
      </c>
      <c r="U770">
        <f t="shared" ref="U770:U833" ca="1" si="72">IF(S770&gt;=TODAY(),S770,S770+CEILING((TODAY()-S770)/IF(T770="Monthly",30,IF(T770="Bi-Monthly",60,90)),1)*IF(T770="Monthly",30,IF(T770="Bi-Monthly",60,90)))-TODAY()</f>
        <v>29</v>
      </c>
      <c r="V770" s="6">
        <f t="shared" ref="V770:V833" ca="1" si="73">IF(S770&gt;=TODAY(),S770,S770+CEILING((TODAY()-S770)/IF(T770="Monthly",30,IF(T770="Bi-Monthly",60,90)),1)*IF(T770="Monthly",30,IF(T770="Bi-Monthly",60,90)))-3</f>
        <v>46031</v>
      </c>
      <c r="W770" s="6">
        <f t="shared" ref="W770:W833" ca="1" si="74">IF(S770&gt;=TODAY(),S770,S770+CEILING((TODAY()-S770)/IF(T770="Monthly",30,IF(T770="Bi-Monthly",60,90)),1)*IF(T770="Monthly",30,IF(T770="Bi-Monthly",60,90)))+3</f>
        <v>46037</v>
      </c>
      <c r="X770" t="str">
        <f t="shared" ref="X770:X833" ca="1" si="75">TEXT(V770,"MMM D")&amp;" to "&amp;TEXT(W770,"MMM D")</f>
        <v>Jan 9 to Jan 15</v>
      </c>
      <c r="Y770" t="str">
        <f t="shared" ref="Y770:Y833" ca="1" si="76">IF(U770&lt;=3,"🟡 IMMINENT (within 3 days)",IF(U770&lt;=7,"🟢 THIS WEEK",IF(U770&lt;=14,"🔵 NEXT 2 WEEKS","⚪ SCHEDULED")))</f>
        <v>⚪ SCHEDULED</v>
      </c>
      <c r="Z770" t="str">
        <f t="shared" ref="Z770:Z833" ca="1" si="77">IF(U770&lt;=3,"Prepare medications TODAY",IF(U770&lt;=7,"Confirm appointment",IF(U770&lt;=14,"Send reminder SMS","No action needed yet")))</f>
        <v>No action needed yet</v>
      </c>
    </row>
    <row r="771" spans="1:26">
      <c r="A771">
        <v>1038825509</v>
      </c>
      <c r="B771" s="3" t="s">
        <v>2317</v>
      </c>
      <c r="C771">
        <v>47</v>
      </c>
      <c r="D771" t="s">
        <v>47</v>
      </c>
      <c r="E771" t="s">
        <v>28</v>
      </c>
      <c r="F771" t="s">
        <v>29</v>
      </c>
      <c r="G771" t="s">
        <v>28</v>
      </c>
      <c r="H771">
        <v>4</v>
      </c>
      <c r="I771" t="s">
        <v>66</v>
      </c>
      <c r="J771" t="s">
        <v>458</v>
      </c>
      <c r="K771" t="s">
        <v>2318</v>
      </c>
      <c r="M771" s="4" t="s">
        <v>43</v>
      </c>
      <c r="N771" t="s">
        <v>64</v>
      </c>
      <c r="P771" s="3" t="s">
        <v>36</v>
      </c>
      <c r="Q771" s="3" t="s">
        <v>45</v>
      </c>
      <c r="R771">
        <v>2</v>
      </c>
      <c r="S771" s="5">
        <v>45916</v>
      </c>
      <c r="T771" t="s">
        <v>38</v>
      </c>
      <c r="U771">
        <f t="shared" ca="1" si="72"/>
        <v>1</v>
      </c>
      <c r="V771" s="6">
        <f t="shared" ca="1" si="73"/>
        <v>46003</v>
      </c>
      <c r="W771" s="6">
        <f t="shared" ca="1" si="74"/>
        <v>46009</v>
      </c>
      <c r="X771" t="str">
        <f t="shared" ca="1" si="75"/>
        <v>Dec 12 to Dec 18</v>
      </c>
      <c r="Y771" t="str">
        <f t="shared" ca="1" si="76"/>
        <v>🟡 IMMINENT (within 3 days)</v>
      </c>
      <c r="Z771" t="str">
        <f t="shared" ca="1" si="77"/>
        <v>Prepare medications TODAY</v>
      </c>
    </row>
    <row r="772" spans="1:26">
      <c r="A772">
        <v>1039073851</v>
      </c>
      <c r="B772" s="3" t="s">
        <v>2319</v>
      </c>
      <c r="C772">
        <v>54</v>
      </c>
      <c r="D772" t="s">
        <v>47</v>
      </c>
      <c r="E772" t="s">
        <v>29</v>
      </c>
      <c r="F772" t="s">
        <v>29</v>
      </c>
      <c r="G772" t="s">
        <v>29</v>
      </c>
      <c r="H772">
        <v>5</v>
      </c>
      <c r="I772" t="s">
        <v>30</v>
      </c>
      <c r="J772" t="s">
        <v>398</v>
      </c>
      <c r="K772" t="s">
        <v>1690</v>
      </c>
      <c r="L772" t="s">
        <v>69</v>
      </c>
      <c r="M772" s="4" t="s">
        <v>94</v>
      </c>
      <c r="N772" t="s">
        <v>127</v>
      </c>
      <c r="P772" s="3" t="s">
        <v>36</v>
      </c>
      <c r="Q772" s="3" t="s">
        <v>313</v>
      </c>
      <c r="R772">
        <v>1</v>
      </c>
      <c r="S772" s="5">
        <v>45958</v>
      </c>
      <c r="T772" t="s">
        <v>38</v>
      </c>
      <c r="U772">
        <f t="shared" ca="1" si="72"/>
        <v>13</v>
      </c>
      <c r="V772" s="6">
        <f t="shared" ca="1" si="73"/>
        <v>46015</v>
      </c>
      <c r="W772" s="6">
        <f t="shared" ca="1" si="74"/>
        <v>46021</v>
      </c>
      <c r="X772" t="str">
        <f t="shared" ca="1" si="75"/>
        <v>Dec 24 to Dec 30</v>
      </c>
      <c r="Y772" t="str">
        <f t="shared" ca="1" si="76"/>
        <v>🔵 NEXT 2 WEEKS</v>
      </c>
      <c r="Z772" t="str">
        <f t="shared" ca="1" si="77"/>
        <v>Send reminder SMS</v>
      </c>
    </row>
    <row r="773" spans="1:26">
      <c r="A773">
        <v>1039100423</v>
      </c>
      <c r="B773" s="3" t="s">
        <v>2320</v>
      </c>
      <c r="C773">
        <v>55</v>
      </c>
      <c r="D773" t="s">
        <v>27</v>
      </c>
      <c r="E773" t="s">
        <v>29</v>
      </c>
      <c r="F773" t="s">
        <v>29</v>
      </c>
      <c r="G773" t="s">
        <v>29</v>
      </c>
      <c r="H773">
        <v>6</v>
      </c>
      <c r="I773" t="s">
        <v>30</v>
      </c>
      <c r="J773" t="s">
        <v>2321</v>
      </c>
      <c r="K773" t="s">
        <v>2322</v>
      </c>
      <c r="L773" t="s">
        <v>75</v>
      </c>
      <c r="M773" s="4" t="s">
        <v>43</v>
      </c>
      <c r="N773" t="s">
        <v>76</v>
      </c>
      <c r="P773" s="3" t="s">
        <v>36</v>
      </c>
      <c r="Q773" s="3" t="s">
        <v>77</v>
      </c>
      <c r="R773">
        <v>2</v>
      </c>
      <c r="S773" s="5">
        <v>45927</v>
      </c>
      <c r="T773" t="s">
        <v>38</v>
      </c>
      <c r="U773">
        <f t="shared" ca="1" si="72"/>
        <v>12</v>
      </c>
      <c r="V773" s="6">
        <f t="shared" ca="1" si="73"/>
        <v>46014</v>
      </c>
      <c r="W773" s="6">
        <f t="shared" ca="1" si="74"/>
        <v>46020</v>
      </c>
      <c r="X773" t="str">
        <f t="shared" ca="1" si="75"/>
        <v>Dec 23 to Dec 29</v>
      </c>
      <c r="Y773" t="str">
        <f t="shared" ca="1" si="76"/>
        <v>🔵 NEXT 2 WEEKS</v>
      </c>
      <c r="Z773" t="str">
        <f t="shared" ca="1" si="77"/>
        <v>Send reminder SMS</v>
      </c>
    </row>
    <row r="774" spans="1:26">
      <c r="A774">
        <v>1039299498</v>
      </c>
      <c r="B774" s="3" t="s">
        <v>2323</v>
      </c>
      <c r="C774">
        <v>60</v>
      </c>
      <c r="D774" t="s">
        <v>47</v>
      </c>
      <c r="E774" t="s">
        <v>29</v>
      </c>
      <c r="F774" t="s">
        <v>29</v>
      </c>
      <c r="G774" t="s">
        <v>29</v>
      </c>
      <c r="H774">
        <v>6</v>
      </c>
      <c r="I774" t="s">
        <v>30</v>
      </c>
      <c r="J774" t="s">
        <v>146</v>
      </c>
      <c r="K774" t="s">
        <v>2324</v>
      </c>
      <c r="M774" s="4" t="s">
        <v>94</v>
      </c>
      <c r="N774" t="s">
        <v>44</v>
      </c>
      <c r="P774" s="3" t="s">
        <v>36</v>
      </c>
      <c r="Q774" s="3" t="s">
        <v>381</v>
      </c>
      <c r="R774">
        <v>2</v>
      </c>
      <c r="S774" s="5">
        <v>45945</v>
      </c>
      <c r="T774" t="s">
        <v>38</v>
      </c>
      <c r="U774">
        <f t="shared" ca="1" si="72"/>
        <v>0</v>
      </c>
      <c r="V774" s="6">
        <f t="shared" ca="1" si="73"/>
        <v>46002</v>
      </c>
      <c r="W774" s="6">
        <f t="shared" ca="1" si="74"/>
        <v>46008</v>
      </c>
      <c r="X774" t="str">
        <f t="shared" ca="1" si="75"/>
        <v>Dec 11 to Dec 17</v>
      </c>
      <c r="Y774" t="str">
        <f t="shared" ca="1" si="76"/>
        <v>🟡 IMMINENT (within 3 days)</v>
      </c>
      <c r="Z774" t="str">
        <f t="shared" ca="1" si="77"/>
        <v>Prepare medications TODAY</v>
      </c>
    </row>
    <row r="775" spans="1:26">
      <c r="A775">
        <v>1039345432</v>
      </c>
      <c r="B775" s="3" t="s">
        <v>2325</v>
      </c>
      <c r="C775">
        <v>69</v>
      </c>
      <c r="D775" t="s">
        <v>27</v>
      </c>
      <c r="E775" t="s">
        <v>29</v>
      </c>
      <c r="F775" t="s">
        <v>28</v>
      </c>
      <c r="G775" t="s">
        <v>28</v>
      </c>
      <c r="H775">
        <v>4</v>
      </c>
      <c r="I775" t="s">
        <v>66</v>
      </c>
      <c r="J775" t="s">
        <v>2326</v>
      </c>
      <c r="K775" t="s">
        <v>2327</v>
      </c>
      <c r="L775" t="s">
        <v>105</v>
      </c>
      <c r="M775" s="4" t="s">
        <v>43</v>
      </c>
      <c r="N775" t="s">
        <v>162</v>
      </c>
      <c r="P775" s="3" t="s">
        <v>36</v>
      </c>
      <c r="Q775" s="3" t="s">
        <v>77</v>
      </c>
      <c r="R775">
        <v>2</v>
      </c>
      <c r="S775" s="5">
        <v>45905</v>
      </c>
      <c r="T775" t="s">
        <v>38</v>
      </c>
      <c r="U775">
        <f t="shared" ca="1" si="72"/>
        <v>20</v>
      </c>
      <c r="V775" s="6">
        <f t="shared" ca="1" si="73"/>
        <v>46022</v>
      </c>
      <c r="W775" s="6">
        <f t="shared" ca="1" si="74"/>
        <v>46028</v>
      </c>
      <c r="X775" t="str">
        <f t="shared" ca="1" si="75"/>
        <v>Dec 31 to Jan 6</v>
      </c>
      <c r="Y775" t="str">
        <f t="shared" ca="1" si="76"/>
        <v>⚪ SCHEDULED</v>
      </c>
      <c r="Z775" t="str">
        <f t="shared" ca="1" si="77"/>
        <v>No action needed yet</v>
      </c>
    </row>
    <row r="776" spans="1:26">
      <c r="A776">
        <v>1039658297</v>
      </c>
      <c r="B776" s="3" t="s">
        <v>2328</v>
      </c>
      <c r="C776">
        <v>47</v>
      </c>
      <c r="D776" t="s">
        <v>27</v>
      </c>
      <c r="E776" t="s">
        <v>29</v>
      </c>
      <c r="F776" t="s">
        <v>28</v>
      </c>
      <c r="G776" t="s">
        <v>28</v>
      </c>
      <c r="H776">
        <v>3</v>
      </c>
      <c r="I776" t="s">
        <v>66</v>
      </c>
      <c r="J776" t="s">
        <v>458</v>
      </c>
      <c r="K776" t="s">
        <v>836</v>
      </c>
      <c r="M776" s="4" t="s">
        <v>43</v>
      </c>
      <c r="N776" t="s">
        <v>148</v>
      </c>
      <c r="P776" s="3" t="s">
        <v>36</v>
      </c>
      <c r="Q776" s="3" t="s">
        <v>107</v>
      </c>
      <c r="R776">
        <v>1</v>
      </c>
      <c r="S776" s="5">
        <v>45898</v>
      </c>
      <c r="T776" t="s">
        <v>38</v>
      </c>
      <c r="U776">
        <f t="shared" ca="1" si="72"/>
        <v>13</v>
      </c>
      <c r="V776" s="6">
        <f t="shared" ca="1" si="73"/>
        <v>46015</v>
      </c>
      <c r="W776" s="6">
        <f t="shared" ca="1" si="74"/>
        <v>46021</v>
      </c>
      <c r="X776" t="str">
        <f t="shared" ca="1" si="75"/>
        <v>Dec 24 to Dec 30</v>
      </c>
      <c r="Y776" t="str">
        <f t="shared" ca="1" si="76"/>
        <v>🔵 NEXT 2 WEEKS</v>
      </c>
      <c r="Z776" t="str">
        <f t="shared" ca="1" si="77"/>
        <v>Send reminder SMS</v>
      </c>
    </row>
    <row r="777" spans="1:26">
      <c r="A777">
        <v>1039727092</v>
      </c>
      <c r="B777" s="3" t="s">
        <v>2329</v>
      </c>
      <c r="C777">
        <v>48</v>
      </c>
      <c r="D777" t="s">
        <v>47</v>
      </c>
      <c r="E777" t="s">
        <v>28</v>
      </c>
      <c r="F777" t="s">
        <v>28</v>
      </c>
      <c r="G777" t="s">
        <v>29</v>
      </c>
      <c r="H777">
        <v>3</v>
      </c>
      <c r="I777" t="s">
        <v>66</v>
      </c>
      <c r="J777" t="s">
        <v>519</v>
      </c>
      <c r="K777" t="s">
        <v>2330</v>
      </c>
      <c r="L777" t="s">
        <v>114</v>
      </c>
      <c r="M777" s="4" t="s">
        <v>34</v>
      </c>
      <c r="N777" t="s">
        <v>140</v>
      </c>
      <c r="P777" s="3" t="s">
        <v>36</v>
      </c>
      <c r="Q777" s="3" t="s">
        <v>1718</v>
      </c>
      <c r="R777">
        <v>1</v>
      </c>
      <c r="S777" s="5">
        <v>45806</v>
      </c>
      <c r="T777" t="s">
        <v>38</v>
      </c>
      <c r="U777">
        <f t="shared" ca="1" si="72"/>
        <v>11</v>
      </c>
      <c r="V777" s="6">
        <f t="shared" ca="1" si="73"/>
        <v>46013</v>
      </c>
      <c r="W777" s="6">
        <f t="shared" ca="1" si="74"/>
        <v>46019</v>
      </c>
      <c r="X777" t="str">
        <f t="shared" ca="1" si="75"/>
        <v>Dec 22 to Dec 28</v>
      </c>
      <c r="Y777" t="str">
        <f t="shared" ca="1" si="76"/>
        <v>🔵 NEXT 2 WEEKS</v>
      </c>
      <c r="Z777" t="str">
        <f t="shared" ca="1" si="77"/>
        <v>Send reminder SMS</v>
      </c>
    </row>
    <row r="778" spans="1:26">
      <c r="A778">
        <v>1039828460</v>
      </c>
      <c r="B778" s="3" t="s">
        <v>2331</v>
      </c>
      <c r="C778">
        <v>55</v>
      </c>
      <c r="D778" t="s">
        <v>27</v>
      </c>
      <c r="E778" t="s">
        <v>28</v>
      </c>
      <c r="F778" t="s">
        <v>29</v>
      </c>
      <c r="G778" t="s">
        <v>28</v>
      </c>
      <c r="H778">
        <v>4</v>
      </c>
      <c r="I778" t="s">
        <v>66</v>
      </c>
      <c r="J778" t="s">
        <v>2332</v>
      </c>
      <c r="K778" t="s">
        <v>2333</v>
      </c>
      <c r="L778" t="s">
        <v>428</v>
      </c>
      <c r="M778" s="4" t="s">
        <v>43</v>
      </c>
      <c r="N778" t="s">
        <v>70</v>
      </c>
      <c r="P778" s="3" t="s">
        <v>36</v>
      </c>
      <c r="Q778" s="3" t="s">
        <v>45</v>
      </c>
      <c r="R778">
        <v>2</v>
      </c>
      <c r="S778" s="5">
        <v>45926</v>
      </c>
      <c r="T778" t="s">
        <v>38</v>
      </c>
      <c r="U778">
        <f t="shared" ca="1" si="72"/>
        <v>11</v>
      </c>
      <c r="V778" s="6">
        <f t="shared" ca="1" si="73"/>
        <v>46013</v>
      </c>
      <c r="W778" s="6">
        <f t="shared" ca="1" si="74"/>
        <v>46019</v>
      </c>
      <c r="X778" t="str">
        <f t="shared" ca="1" si="75"/>
        <v>Dec 22 to Dec 28</v>
      </c>
      <c r="Y778" t="str">
        <f t="shared" ca="1" si="76"/>
        <v>🔵 NEXT 2 WEEKS</v>
      </c>
      <c r="Z778" t="str">
        <f t="shared" ca="1" si="77"/>
        <v>Send reminder SMS</v>
      </c>
    </row>
    <row r="779" spans="1:26">
      <c r="A779">
        <v>1039952047</v>
      </c>
      <c r="B779" s="3" t="s">
        <v>2334</v>
      </c>
      <c r="C779">
        <v>49</v>
      </c>
      <c r="D779" t="s">
        <v>47</v>
      </c>
      <c r="E779" t="s">
        <v>29</v>
      </c>
      <c r="F779" t="s">
        <v>29</v>
      </c>
      <c r="G779" t="s">
        <v>28</v>
      </c>
      <c r="H779">
        <v>4</v>
      </c>
      <c r="I779" t="s">
        <v>66</v>
      </c>
      <c r="J779" t="s">
        <v>455</v>
      </c>
      <c r="K779" t="s">
        <v>2335</v>
      </c>
      <c r="M779" s="4" t="s">
        <v>43</v>
      </c>
      <c r="N779" t="s">
        <v>144</v>
      </c>
      <c r="P779" s="3" t="s">
        <v>36</v>
      </c>
      <c r="Q779" s="3" t="s">
        <v>175</v>
      </c>
      <c r="R779">
        <v>1</v>
      </c>
      <c r="S779" s="5">
        <v>45925</v>
      </c>
      <c r="T779" t="s">
        <v>38</v>
      </c>
      <c r="U779">
        <f t="shared" ca="1" si="72"/>
        <v>10</v>
      </c>
      <c r="V779" s="6">
        <f t="shared" ca="1" si="73"/>
        <v>46012</v>
      </c>
      <c r="W779" s="6">
        <f t="shared" ca="1" si="74"/>
        <v>46018</v>
      </c>
      <c r="X779" t="str">
        <f t="shared" ca="1" si="75"/>
        <v>Dec 21 to Dec 27</v>
      </c>
      <c r="Y779" t="str">
        <f t="shared" ca="1" si="76"/>
        <v>🔵 NEXT 2 WEEKS</v>
      </c>
      <c r="Z779" t="str">
        <f t="shared" ca="1" si="77"/>
        <v>Send reminder SMS</v>
      </c>
    </row>
    <row r="780" spans="1:26">
      <c r="A780">
        <v>1039999998</v>
      </c>
      <c r="B780" s="3" t="s">
        <v>2336</v>
      </c>
      <c r="C780">
        <v>66</v>
      </c>
      <c r="D780" t="s">
        <v>27</v>
      </c>
      <c r="E780" t="s">
        <v>28</v>
      </c>
      <c r="F780" t="s">
        <v>28</v>
      </c>
      <c r="G780" t="s">
        <v>28</v>
      </c>
      <c r="H780">
        <v>3</v>
      </c>
      <c r="I780" t="s">
        <v>66</v>
      </c>
      <c r="J780" t="s">
        <v>632</v>
      </c>
      <c r="K780" t="s">
        <v>2337</v>
      </c>
      <c r="L780" t="s">
        <v>170</v>
      </c>
      <c r="M780" s="4" t="s">
        <v>43</v>
      </c>
      <c r="N780" t="s">
        <v>59</v>
      </c>
      <c r="P780" s="3" t="s">
        <v>36</v>
      </c>
      <c r="Q780" s="3" t="s">
        <v>175</v>
      </c>
      <c r="R780">
        <v>2</v>
      </c>
      <c r="S780" s="5">
        <v>45862</v>
      </c>
      <c r="T780" t="s">
        <v>38</v>
      </c>
      <c r="U780">
        <f t="shared" ca="1" si="72"/>
        <v>7</v>
      </c>
      <c r="V780" s="6">
        <f t="shared" ca="1" si="73"/>
        <v>46009</v>
      </c>
      <c r="W780" s="6">
        <f t="shared" ca="1" si="74"/>
        <v>46015</v>
      </c>
      <c r="X780" t="str">
        <f t="shared" ca="1" si="75"/>
        <v>Dec 18 to Dec 24</v>
      </c>
      <c r="Y780" t="str">
        <f t="shared" ca="1" si="76"/>
        <v>🟢 THIS WEEK</v>
      </c>
      <c r="Z780" t="str">
        <f t="shared" ca="1" si="77"/>
        <v>Confirm appointment</v>
      </c>
    </row>
    <row r="781" spans="1:26">
      <c r="A781">
        <v>1040129163</v>
      </c>
      <c r="B781" s="3" t="s">
        <v>2338</v>
      </c>
      <c r="C781">
        <v>59</v>
      </c>
      <c r="D781" t="s">
        <v>47</v>
      </c>
      <c r="E781" t="s">
        <v>29</v>
      </c>
      <c r="F781" t="s">
        <v>28</v>
      </c>
      <c r="G781" t="s">
        <v>29</v>
      </c>
      <c r="H781">
        <v>4</v>
      </c>
      <c r="I781" t="s">
        <v>66</v>
      </c>
      <c r="J781" t="s">
        <v>2339</v>
      </c>
      <c r="K781" t="s">
        <v>2340</v>
      </c>
      <c r="L781" t="s">
        <v>234</v>
      </c>
      <c r="M781" s="4" t="s">
        <v>43</v>
      </c>
      <c r="N781" t="s">
        <v>51</v>
      </c>
      <c r="P781" s="3" t="s">
        <v>36</v>
      </c>
      <c r="Q781" t="s">
        <v>54</v>
      </c>
      <c r="R781">
        <v>2</v>
      </c>
      <c r="S781" s="5">
        <v>45890</v>
      </c>
      <c r="T781" t="s">
        <v>38</v>
      </c>
      <c r="U781">
        <f t="shared" ca="1" si="72"/>
        <v>5</v>
      </c>
      <c r="V781" s="6">
        <f t="shared" ca="1" si="73"/>
        <v>46007</v>
      </c>
      <c r="W781" s="6">
        <f t="shared" ca="1" si="74"/>
        <v>46013</v>
      </c>
      <c r="X781" t="str">
        <f t="shared" ca="1" si="75"/>
        <v>Dec 16 to Dec 22</v>
      </c>
      <c r="Y781" t="str">
        <f t="shared" ca="1" si="76"/>
        <v>🟢 THIS WEEK</v>
      </c>
      <c r="Z781" t="str">
        <f t="shared" ca="1" si="77"/>
        <v>Confirm appointment</v>
      </c>
    </row>
    <row r="782" spans="1:26">
      <c r="A782">
        <v>1040141333</v>
      </c>
      <c r="B782" s="3" t="s">
        <v>2341</v>
      </c>
      <c r="C782">
        <v>57</v>
      </c>
      <c r="D782" t="s">
        <v>27</v>
      </c>
      <c r="E782" t="s">
        <v>29</v>
      </c>
      <c r="F782" t="s">
        <v>28</v>
      </c>
      <c r="G782" t="s">
        <v>29</v>
      </c>
      <c r="H782">
        <v>5</v>
      </c>
      <c r="I782" t="s">
        <v>30</v>
      </c>
      <c r="J782" t="s">
        <v>1097</v>
      </c>
      <c r="K782" t="s">
        <v>2342</v>
      </c>
      <c r="M782" s="4" t="s">
        <v>34</v>
      </c>
      <c r="N782" t="s">
        <v>95</v>
      </c>
      <c r="P782" s="3" t="s">
        <v>36</v>
      </c>
      <c r="Q782" s="3" t="s">
        <v>107</v>
      </c>
      <c r="R782">
        <v>2</v>
      </c>
      <c r="S782" s="5">
        <v>45689</v>
      </c>
      <c r="T782" t="s">
        <v>38</v>
      </c>
      <c r="U782">
        <f t="shared" ca="1" si="72"/>
        <v>14</v>
      </c>
      <c r="V782" s="6">
        <f t="shared" ca="1" si="73"/>
        <v>46016</v>
      </c>
      <c r="W782" s="6">
        <f t="shared" ca="1" si="74"/>
        <v>46022</v>
      </c>
      <c r="X782" t="str">
        <f t="shared" ca="1" si="75"/>
        <v>Dec 25 to Dec 31</v>
      </c>
      <c r="Y782" t="str">
        <f t="shared" ca="1" si="76"/>
        <v>🔵 NEXT 2 WEEKS</v>
      </c>
      <c r="Z782" t="str">
        <f t="shared" ca="1" si="77"/>
        <v>Send reminder SMS</v>
      </c>
    </row>
    <row r="783" spans="1:26">
      <c r="A783">
        <v>1040145615</v>
      </c>
      <c r="B783" s="3" t="s">
        <v>2343</v>
      </c>
      <c r="C783">
        <v>73</v>
      </c>
      <c r="D783" t="s">
        <v>27</v>
      </c>
      <c r="E783" t="s">
        <v>29</v>
      </c>
      <c r="F783" t="s">
        <v>28</v>
      </c>
      <c r="G783" t="s">
        <v>29</v>
      </c>
      <c r="H783">
        <v>6</v>
      </c>
      <c r="I783" t="s">
        <v>30</v>
      </c>
      <c r="J783" t="s">
        <v>2344</v>
      </c>
      <c r="K783" t="s">
        <v>2345</v>
      </c>
      <c r="L783" t="s">
        <v>2346</v>
      </c>
      <c r="M783" s="4" t="s">
        <v>43</v>
      </c>
      <c r="N783" t="s">
        <v>51</v>
      </c>
      <c r="P783" s="3" t="s">
        <v>36</v>
      </c>
      <c r="Q783" s="3" t="s">
        <v>90</v>
      </c>
      <c r="R783">
        <v>1</v>
      </c>
      <c r="S783" s="5">
        <v>45896</v>
      </c>
      <c r="T783" t="s">
        <v>38</v>
      </c>
      <c r="U783">
        <f t="shared" ca="1" si="72"/>
        <v>11</v>
      </c>
      <c r="V783" s="6">
        <f t="shared" ca="1" si="73"/>
        <v>46013</v>
      </c>
      <c r="W783" s="6">
        <f t="shared" ca="1" si="74"/>
        <v>46019</v>
      </c>
      <c r="X783" t="str">
        <f t="shared" ca="1" si="75"/>
        <v>Dec 22 to Dec 28</v>
      </c>
      <c r="Y783" t="str">
        <f t="shared" ca="1" si="76"/>
        <v>🔵 NEXT 2 WEEKS</v>
      </c>
      <c r="Z783" t="str">
        <f t="shared" ca="1" si="77"/>
        <v>Send reminder SMS</v>
      </c>
    </row>
    <row r="784" spans="1:26">
      <c r="A784">
        <v>1040161513</v>
      </c>
      <c r="B784" s="3" t="s">
        <v>2347</v>
      </c>
      <c r="C784">
        <v>55</v>
      </c>
      <c r="D784" t="s">
        <v>47</v>
      </c>
      <c r="E784" t="s">
        <v>29</v>
      </c>
      <c r="F784" t="s">
        <v>29</v>
      </c>
      <c r="G784" t="s">
        <v>28</v>
      </c>
      <c r="H784">
        <v>4</v>
      </c>
      <c r="I784" t="s">
        <v>66</v>
      </c>
      <c r="J784" t="s">
        <v>2348</v>
      </c>
      <c r="K784" t="s">
        <v>2349</v>
      </c>
      <c r="L784" t="s">
        <v>355</v>
      </c>
      <c r="M784" s="4" t="s">
        <v>34</v>
      </c>
      <c r="N784" t="s">
        <v>119</v>
      </c>
      <c r="P784" s="3" t="s">
        <v>36</v>
      </c>
      <c r="Q784" s="3" t="s">
        <v>84</v>
      </c>
      <c r="R784">
        <v>2</v>
      </c>
      <c r="S784" s="5">
        <v>45505</v>
      </c>
      <c r="T784" t="s">
        <v>38</v>
      </c>
      <c r="U784">
        <f t="shared" ca="1" si="72"/>
        <v>10</v>
      </c>
      <c r="V784" s="6">
        <f t="shared" ca="1" si="73"/>
        <v>46012</v>
      </c>
      <c r="W784" s="6">
        <f t="shared" ca="1" si="74"/>
        <v>46018</v>
      </c>
      <c r="X784" t="str">
        <f t="shared" ca="1" si="75"/>
        <v>Dec 21 to Dec 27</v>
      </c>
      <c r="Y784" t="str">
        <f t="shared" ca="1" si="76"/>
        <v>🔵 NEXT 2 WEEKS</v>
      </c>
      <c r="Z784" t="str">
        <f t="shared" ca="1" si="77"/>
        <v>Send reminder SMS</v>
      </c>
    </row>
    <row r="785" spans="1:26">
      <c r="A785">
        <v>1040294355</v>
      </c>
      <c r="B785" s="3" t="s">
        <v>2350</v>
      </c>
      <c r="C785">
        <v>60</v>
      </c>
      <c r="D785" t="s">
        <v>47</v>
      </c>
      <c r="E785" t="s">
        <v>29</v>
      </c>
      <c r="F785" t="s">
        <v>28</v>
      </c>
      <c r="G785" t="s">
        <v>28</v>
      </c>
      <c r="H785">
        <v>4</v>
      </c>
      <c r="I785" t="s">
        <v>66</v>
      </c>
      <c r="J785" t="s">
        <v>2351</v>
      </c>
      <c r="K785" t="s">
        <v>2352</v>
      </c>
      <c r="M785" s="4" t="s">
        <v>94</v>
      </c>
      <c r="N785" t="s">
        <v>148</v>
      </c>
      <c r="P785" s="3" t="s">
        <v>36</v>
      </c>
      <c r="Q785" s="3" t="s">
        <v>84</v>
      </c>
      <c r="R785">
        <v>1</v>
      </c>
      <c r="S785" s="5">
        <v>45939</v>
      </c>
      <c r="T785" t="s">
        <v>38</v>
      </c>
      <c r="U785">
        <f t="shared" ca="1" si="72"/>
        <v>24</v>
      </c>
      <c r="V785" s="6">
        <f t="shared" ca="1" si="73"/>
        <v>46026</v>
      </c>
      <c r="W785" s="6">
        <f t="shared" ca="1" si="74"/>
        <v>46032</v>
      </c>
      <c r="X785" t="str">
        <f t="shared" ca="1" si="75"/>
        <v>Jan 4 to Jan 10</v>
      </c>
      <c r="Y785" t="str">
        <f t="shared" ca="1" si="76"/>
        <v>⚪ SCHEDULED</v>
      </c>
      <c r="Z785" t="str">
        <f t="shared" ca="1" si="77"/>
        <v>No action needed yet</v>
      </c>
    </row>
    <row r="786" spans="1:26">
      <c r="A786">
        <v>1040367391</v>
      </c>
      <c r="B786" s="3" t="s">
        <v>2353</v>
      </c>
      <c r="C786">
        <v>55</v>
      </c>
      <c r="D786" t="s">
        <v>47</v>
      </c>
      <c r="E786" t="s">
        <v>29</v>
      </c>
      <c r="F786" t="s">
        <v>29</v>
      </c>
      <c r="G786" t="s">
        <v>28</v>
      </c>
      <c r="H786">
        <v>5</v>
      </c>
      <c r="I786" t="s">
        <v>30</v>
      </c>
      <c r="J786" t="s">
        <v>1334</v>
      </c>
      <c r="K786" t="s">
        <v>2354</v>
      </c>
      <c r="M786" s="4" t="s">
        <v>94</v>
      </c>
      <c r="N786" t="s">
        <v>144</v>
      </c>
      <c r="P786" s="3" t="s">
        <v>36</v>
      </c>
      <c r="Q786" s="3" t="s">
        <v>96</v>
      </c>
      <c r="R786">
        <v>1</v>
      </c>
      <c r="S786" s="5">
        <v>45937</v>
      </c>
      <c r="T786" t="s">
        <v>38</v>
      </c>
      <c r="U786">
        <f t="shared" ca="1" si="72"/>
        <v>22</v>
      </c>
      <c r="V786" s="6">
        <f t="shared" ca="1" si="73"/>
        <v>46024</v>
      </c>
      <c r="W786" s="6">
        <f t="shared" ca="1" si="74"/>
        <v>46030</v>
      </c>
      <c r="X786" t="str">
        <f t="shared" ca="1" si="75"/>
        <v>Jan 2 to Jan 8</v>
      </c>
      <c r="Y786" t="str">
        <f t="shared" ca="1" si="76"/>
        <v>⚪ SCHEDULED</v>
      </c>
      <c r="Z786" t="str">
        <f t="shared" ca="1" si="77"/>
        <v>No action needed yet</v>
      </c>
    </row>
    <row r="787" spans="1:26">
      <c r="A787">
        <v>1040447433</v>
      </c>
      <c r="B787" s="3" t="s">
        <v>2355</v>
      </c>
      <c r="C787">
        <v>47</v>
      </c>
      <c r="D787" t="s">
        <v>47</v>
      </c>
      <c r="E787" t="s">
        <v>29</v>
      </c>
      <c r="F787" t="s">
        <v>29</v>
      </c>
      <c r="G787" t="s">
        <v>28</v>
      </c>
      <c r="H787">
        <v>4</v>
      </c>
      <c r="I787" t="s">
        <v>66</v>
      </c>
      <c r="J787" t="s">
        <v>458</v>
      </c>
      <c r="K787" t="s">
        <v>2356</v>
      </c>
      <c r="M787" s="4" t="s">
        <v>43</v>
      </c>
      <c r="N787" t="s">
        <v>144</v>
      </c>
      <c r="P787" s="3" t="s">
        <v>36</v>
      </c>
      <c r="Q787" s="3" t="s">
        <v>1095</v>
      </c>
      <c r="R787">
        <v>2</v>
      </c>
      <c r="S787" s="5">
        <v>45877</v>
      </c>
      <c r="T787" t="s">
        <v>38</v>
      </c>
      <c r="U787">
        <f t="shared" ca="1" si="72"/>
        <v>22</v>
      </c>
      <c r="V787" s="6">
        <f t="shared" ca="1" si="73"/>
        <v>46024</v>
      </c>
      <c r="W787" s="6">
        <f t="shared" ca="1" si="74"/>
        <v>46030</v>
      </c>
      <c r="X787" t="str">
        <f t="shared" ca="1" si="75"/>
        <v>Jan 2 to Jan 8</v>
      </c>
      <c r="Y787" t="str">
        <f t="shared" ca="1" si="76"/>
        <v>⚪ SCHEDULED</v>
      </c>
      <c r="Z787" t="str">
        <f t="shared" ca="1" si="77"/>
        <v>No action needed yet</v>
      </c>
    </row>
    <row r="788" spans="1:26">
      <c r="A788">
        <v>1040465781</v>
      </c>
      <c r="B788" s="3" t="s">
        <v>2357</v>
      </c>
      <c r="C788">
        <v>55</v>
      </c>
      <c r="D788" t="s">
        <v>47</v>
      </c>
      <c r="E788" t="s">
        <v>28</v>
      </c>
      <c r="F788" t="s">
        <v>29</v>
      </c>
      <c r="G788" t="s">
        <v>29</v>
      </c>
      <c r="H788">
        <v>4</v>
      </c>
      <c r="I788" t="s">
        <v>66</v>
      </c>
      <c r="J788" t="s">
        <v>2358</v>
      </c>
      <c r="K788" t="s">
        <v>2359</v>
      </c>
      <c r="L788" t="s">
        <v>166</v>
      </c>
      <c r="M788" s="4" t="s">
        <v>34</v>
      </c>
      <c r="N788" t="s">
        <v>333</v>
      </c>
      <c r="P788" s="3" t="s">
        <v>36</v>
      </c>
      <c r="Q788" s="3" t="s">
        <v>107</v>
      </c>
      <c r="R788">
        <v>1</v>
      </c>
      <c r="S788" s="5">
        <v>45794</v>
      </c>
      <c r="T788" t="s">
        <v>38</v>
      </c>
      <c r="U788">
        <f t="shared" ca="1" si="72"/>
        <v>29</v>
      </c>
      <c r="V788" s="6">
        <f t="shared" ca="1" si="73"/>
        <v>46031</v>
      </c>
      <c r="W788" s="6">
        <f t="shared" ca="1" si="74"/>
        <v>46037</v>
      </c>
      <c r="X788" t="str">
        <f t="shared" ca="1" si="75"/>
        <v>Jan 9 to Jan 15</v>
      </c>
      <c r="Y788" t="str">
        <f t="shared" ca="1" si="76"/>
        <v>⚪ SCHEDULED</v>
      </c>
      <c r="Z788" t="str">
        <f t="shared" ca="1" si="77"/>
        <v>No action needed yet</v>
      </c>
    </row>
    <row r="789" spans="1:26">
      <c r="A789">
        <v>1040578039</v>
      </c>
      <c r="B789" s="3" t="s">
        <v>2360</v>
      </c>
      <c r="C789">
        <v>61</v>
      </c>
      <c r="D789" t="s">
        <v>47</v>
      </c>
      <c r="E789" t="s">
        <v>29</v>
      </c>
      <c r="F789" t="s">
        <v>28</v>
      </c>
      <c r="G789" t="s">
        <v>29</v>
      </c>
      <c r="H789">
        <v>6</v>
      </c>
      <c r="I789" t="s">
        <v>30</v>
      </c>
      <c r="J789" t="s">
        <v>2361</v>
      </c>
      <c r="K789" t="s">
        <v>2362</v>
      </c>
      <c r="L789" t="s">
        <v>200</v>
      </c>
      <c r="M789" s="4" t="s">
        <v>34</v>
      </c>
      <c r="N789" t="s">
        <v>51</v>
      </c>
      <c r="P789" s="3" t="s">
        <v>36</v>
      </c>
      <c r="Q789" s="3" t="s">
        <v>107</v>
      </c>
      <c r="R789">
        <v>1</v>
      </c>
      <c r="S789" s="5">
        <v>45785</v>
      </c>
      <c r="T789" t="s">
        <v>38</v>
      </c>
      <c r="U789">
        <f t="shared" ca="1" si="72"/>
        <v>20</v>
      </c>
      <c r="V789" s="6">
        <f t="shared" ca="1" si="73"/>
        <v>46022</v>
      </c>
      <c r="W789" s="6">
        <f t="shared" ca="1" si="74"/>
        <v>46028</v>
      </c>
      <c r="X789" t="str">
        <f t="shared" ca="1" si="75"/>
        <v>Dec 31 to Jan 6</v>
      </c>
      <c r="Y789" t="str">
        <f t="shared" ca="1" si="76"/>
        <v>⚪ SCHEDULED</v>
      </c>
      <c r="Z789" t="str">
        <f t="shared" ca="1" si="77"/>
        <v>No action needed yet</v>
      </c>
    </row>
    <row r="790" spans="1:26">
      <c r="A790">
        <v>1040601658</v>
      </c>
      <c r="B790" s="3" t="s">
        <v>2363</v>
      </c>
      <c r="C790">
        <v>56</v>
      </c>
      <c r="D790" t="s">
        <v>47</v>
      </c>
      <c r="E790" t="s">
        <v>54</v>
      </c>
      <c r="F790" t="s">
        <v>54</v>
      </c>
      <c r="G790" t="s">
        <v>54</v>
      </c>
      <c r="H790">
        <v>2</v>
      </c>
      <c r="I790" t="s">
        <v>55</v>
      </c>
      <c r="J790" t="s">
        <v>1808</v>
      </c>
      <c r="K790" t="s">
        <v>2364</v>
      </c>
      <c r="L790" t="s">
        <v>166</v>
      </c>
      <c r="M790" s="4" t="s">
        <v>34</v>
      </c>
      <c r="N790" t="s">
        <v>59</v>
      </c>
      <c r="P790" s="3" t="s">
        <v>36</v>
      </c>
      <c r="Q790" s="3" t="s">
        <v>230</v>
      </c>
      <c r="R790">
        <v>1</v>
      </c>
      <c r="S790" s="5">
        <v>45752</v>
      </c>
      <c r="T790" t="s">
        <v>60</v>
      </c>
      <c r="U790">
        <f t="shared" ca="1" si="72"/>
        <v>47</v>
      </c>
      <c r="V790" s="6">
        <f t="shared" ca="1" si="73"/>
        <v>46049</v>
      </c>
      <c r="W790" s="6">
        <f t="shared" ca="1" si="74"/>
        <v>46055</v>
      </c>
      <c r="X790" t="str">
        <f t="shared" ca="1" si="75"/>
        <v>Jan 27 to Feb 2</v>
      </c>
      <c r="Y790" t="str">
        <f t="shared" ca="1" si="76"/>
        <v>⚪ SCHEDULED</v>
      </c>
      <c r="Z790" t="str">
        <f t="shared" ca="1" si="77"/>
        <v>No action needed yet</v>
      </c>
    </row>
    <row r="791" spans="1:26">
      <c r="A791">
        <v>1040863266</v>
      </c>
      <c r="B791" s="3" t="s">
        <v>2365</v>
      </c>
      <c r="C791">
        <v>58</v>
      </c>
      <c r="D791" t="s">
        <v>47</v>
      </c>
      <c r="E791" t="s">
        <v>28</v>
      </c>
      <c r="F791" t="s">
        <v>29</v>
      </c>
      <c r="G791" t="s">
        <v>28</v>
      </c>
      <c r="H791">
        <v>3</v>
      </c>
      <c r="I791" t="s">
        <v>66</v>
      </c>
      <c r="J791" t="s">
        <v>2251</v>
      </c>
      <c r="K791" t="s">
        <v>2366</v>
      </c>
      <c r="L791" t="s">
        <v>69</v>
      </c>
      <c r="M791" s="4" t="s">
        <v>34</v>
      </c>
      <c r="N791" t="s">
        <v>70</v>
      </c>
      <c r="P791" s="3" t="s">
        <v>36</v>
      </c>
      <c r="Q791" s="3" t="s">
        <v>84</v>
      </c>
      <c r="R791">
        <v>1</v>
      </c>
      <c r="S791" s="5">
        <v>45409</v>
      </c>
      <c r="T791" t="s">
        <v>38</v>
      </c>
      <c r="U791">
        <f t="shared" ca="1" si="72"/>
        <v>4</v>
      </c>
      <c r="V791" s="6">
        <f t="shared" ca="1" si="73"/>
        <v>46006</v>
      </c>
      <c r="W791" s="6">
        <f t="shared" ca="1" si="74"/>
        <v>46012</v>
      </c>
      <c r="X791" t="str">
        <f t="shared" ca="1" si="75"/>
        <v>Dec 15 to Dec 21</v>
      </c>
      <c r="Y791" t="str">
        <f t="shared" ca="1" si="76"/>
        <v>🟢 THIS WEEK</v>
      </c>
      <c r="Z791" t="str">
        <f t="shared" ca="1" si="77"/>
        <v>Confirm appointment</v>
      </c>
    </row>
    <row r="792" spans="1:26">
      <c r="A792">
        <v>1040955518</v>
      </c>
      <c r="B792" s="3" t="s">
        <v>2367</v>
      </c>
      <c r="C792">
        <v>59</v>
      </c>
      <c r="D792" t="s">
        <v>27</v>
      </c>
      <c r="E792" t="s">
        <v>29</v>
      </c>
      <c r="F792" t="s">
        <v>29</v>
      </c>
      <c r="G792" t="s">
        <v>28</v>
      </c>
      <c r="H792">
        <v>4</v>
      </c>
      <c r="I792" t="s">
        <v>66</v>
      </c>
      <c r="J792" t="s">
        <v>2368</v>
      </c>
      <c r="K792" t="s">
        <v>2369</v>
      </c>
      <c r="L792" t="s">
        <v>58</v>
      </c>
      <c r="M792" s="4" t="s">
        <v>94</v>
      </c>
      <c r="N792" t="s">
        <v>119</v>
      </c>
      <c r="P792" s="3" t="s">
        <v>36</v>
      </c>
      <c r="Q792" s="3" t="s">
        <v>90</v>
      </c>
      <c r="R792">
        <v>2</v>
      </c>
      <c r="S792" s="5">
        <v>45934</v>
      </c>
      <c r="T792" t="s">
        <v>38</v>
      </c>
      <c r="U792">
        <f t="shared" ca="1" si="72"/>
        <v>19</v>
      </c>
      <c r="V792" s="6">
        <f t="shared" ca="1" si="73"/>
        <v>46021</v>
      </c>
      <c r="W792" s="6">
        <f t="shared" ca="1" si="74"/>
        <v>46027</v>
      </c>
      <c r="X792" t="str">
        <f t="shared" ca="1" si="75"/>
        <v>Dec 30 to Jan 5</v>
      </c>
      <c r="Y792" t="str">
        <f t="shared" ca="1" si="76"/>
        <v>⚪ SCHEDULED</v>
      </c>
      <c r="Z792" t="str">
        <f t="shared" ca="1" si="77"/>
        <v>No action needed yet</v>
      </c>
    </row>
    <row r="793" spans="1:26">
      <c r="A793">
        <v>1041143973</v>
      </c>
      <c r="B793" s="3" t="s">
        <v>2370</v>
      </c>
      <c r="C793">
        <v>55</v>
      </c>
      <c r="D793" t="s">
        <v>47</v>
      </c>
      <c r="E793" t="s">
        <v>29</v>
      </c>
      <c r="F793" t="s">
        <v>29</v>
      </c>
      <c r="G793" t="s">
        <v>28</v>
      </c>
      <c r="H793">
        <v>4</v>
      </c>
      <c r="I793" t="s">
        <v>66</v>
      </c>
      <c r="J793" t="s">
        <v>430</v>
      </c>
      <c r="K793" t="s">
        <v>2371</v>
      </c>
      <c r="M793" s="4" t="s">
        <v>94</v>
      </c>
      <c r="N793" t="s">
        <v>144</v>
      </c>
      <c r="P793" s="3" t="s">
        <v>36</v>
      </c>
      <c r="Q793" s="3" t="s">
        <v>84</v>
      </c>
      <c r="R793">
        <v>2</v>
      </c>
      <c r="S793" s="5">
        <v>45940</v>
      </c>
      <c r="T793" t="s">
        <v>38</v>
      </c>
      <c r="U793">
        <f t="shared" ca="1" si="72"/>
        <v>25</v>
      </c>
      <c r="V793" s="6">
        <f t="shared" ca="1" si="73"/>
        <v>46027</v>
      </c>
      <c r="W793" s="6">
        <f t="shared" ca="1" si="74"/>
        <v>46033</v>
      </c>
      <c r="X793" t="str">
        <f t="shared" ca="1" si="75"/>
        <v>Jan 5 to Jan 11</v>
      </c>
      <c r="Y793" t="str">
        <f t="shared" ca="1" si="76"/>
        <v>⚪ SCHEDULED</v>
      </c>
      <c r="Z793" t="str">
        <f t="shared" ca="1" si="77"/>
        <v>No action needed yet</v>
      </c>
    </row>
    <row r="794" spans="1:26">
      <c r="A794">
        <v>1041155746</v>
      </c>
      <c r="B794" s="3" t="s">
        <v>2372</v>
      </c>
      <c r="C794">
        <v>53</v>
      </c>
      <c r="D794" t="s">
        <v>27</v>
      </c>
      <c r="E794" t="s">
        <v>29</v>
      </c>
      <c r="F794" t="s">
        <v>28</v>
      </c>
      <c r="G794" t="s">
        <v>29</v>
      </c>
      <c r="H794">
        <v>4</v>
      </c>
      <c r="I794" t="s">
        <v>66</v>
      </c>
      <c r="J794" t="s">
        <v>1510</v>
      </c>
      <c r="K794" t="s">
        <v>2373</v>
      </c>
      <c r="L794" t="s">
        <v>208</v>
      </c>
      <c r="M794" s="4" t="s">
        <v>34</v>
      </c>
      <c r="N794" t="s">
        <v>51</v>
      </c>
      <c r="P794" s="3" t="s">
        <v>36</v>
      </c>
      <c r="Q794" s="3" t="s">
        <v>84</v>
      </c>
      <c r="R794">
        <v>1</v>
      </c>
      <c r="S794" s="5">
        <v>45786</v>
      </c>
      <c r="T794" t="s">
        <v>38</v>
      </c>
      <c r="U794">
        <f t="shared" ca="1" si="72"/>
        <v>21</v>
      </c>
      <c r="V794" s="6">
        <f t="shared" ca="1" si="73"/>
        <v>46023</v>
      </c>
      <c r="W794" s="6">
        <f t="shared" ca="1" si="74"/>
        <v>46029</v>
      </c>
      <c r="X794" t="str">
        <f t="shared" ca="1" si="75"/>
        <v>Jan 1 to Jan 7</v>
      </c>
      <c r="Y794" t="str">
        <f t="shared" ca="1" si="76"/>
        <v>⚪ SCHEDULED</v>
      </c>
      <c r="Z794" t="str">
        <f t="shared" ca="1" si="77"/>
        <v>No action needed yet</v>
      </c>
    </row>
    <row r="795" spans="1:26">
      <c r="A795">
        <v>1041185495</v>
      </c>
      <c r="B795" s="3" t="s">
        <v>2374</v>
      </c>
      <c r="C795">
        <v>47</v>
      </c>
      <c r="D795" t="s">
        <v>47</v>
      </c>
      <c r="E795" t="s">
        <v>29</v>
      </c>
      <c r="F795" t="s">
        <v>28</v>
      </c>
      <c r="G795" t="s">
        <v>28</v>
      </c>
      <c r="H795">
        <v>2</v>
      </c>
      <c r="I795" t="s">
        <v>55</v>
      </c>
      <c r="J795" t="s">
        <v>702</v>
      </c>
      <c r="K795" t="s">
        <v>2375</v>
      </c>
      <c r="L795" t="s">
        <v>170</v>
      </c>
      <c r="M795" s="4" t="s">
        <v>94</v>
      </c>
      <c r="N795" t="s">
        <v>162</v>
      </c>
      <c r="P795" s="3" t="s">
        <v>36</v>
      </c>
      <c r="Q795" t="s">
        <v>54</v>
      </c>
      <c r="R795">
        <v>1</v>
      </c>
      <c r="S795" s="5">
        <v>45985</v>
      </c>
      <c r="T795" t="s">
        <v>60</v>
      </c>
      <c r="U795">
        <f t="shared" ca="1" si="72"/>
        <v>40</v>
      </c>
      <c r="V795" s="6">
        <f t="shared" ca="1" si="73"/>
        <v>46042</v>
      </c>
      <c r="W795" s="6">
        <f t="shared" ca="1" si="74"/>
        <v>46048</v>
      </c>
      <c r="X795" t="str">
        <f t="shared" ca="1" si="75"/>
        <v>Jan 20 to Jan 26</v>
      </c>
      <c r="Y795" t="str">
        <f t="shared" ca="1" si="76"/>
        <v>⚪ SCHEDULED</v>
      </c>
      <c r="Z795" t="str">
        <f t="shared" ca="1" si="77"/>
        <v>No action needed yet</v>
      </c>
    </row>
    <row r="796" spans="1:26">
      <c r="A796">
        <v>1041274331</v>
      </c>
      <c r="B796" s="3" t="s">
        <v>2376</v>
      </c>
      <c r="C796">
        <v>50</v>
      </c>
      <c r="D796" t="s">
        <v>27</v>
      </c>
      <c r="E796" t="s">
        <v>29</v>
      </c>
      <c r="F796" t="s">
        <v>28</v>
      </c>
      <c r="G796" t="s">
        <v>28</v>
      </c>
      <c r="H796">
        <v>4</v>
      </c>
      <c r="I796" t="s">
        <v>66</v>
      </c>
      <c r="J796" t="s">
        <v>253</v>
      </c>
      <c r="K796" t="s">
        <v>1312</v>
      </c>
      <c r="L796" t="s">
        <v>33</v>
      </c>
      <c r="M796" s="4" t="s">
        <v>94</v>
      </c>
      <c r="N796" t="s">
        <v>148</v>
      </c>
      <c r="P796" s="3" t="s">
        <v>36</v>
      </c>
      <c r="Q796" s="3" t="s">
        <v>175</v>
      </c>
      <c r="R796">
        <v>2</v>
      </c>
      <c r="S796" s="5">
        <v>45952</v>
      </c>
      <c r="T796" t="s">
        <v>38</v>
      </c>
      <c r="U796">
        <f t="shared" ca="1" si="72"/>
        <v>7</v>
      </c>
      <c r="V796" s="6">
        <f t="shared" ca="1" si="73"/>
        <v>46009</v>
      </c>
      <c r="W796" s="6">
        <f t="shared" ca="1" si="74"/>
        <v>46015</v>
      </c>
      <c r="X796" t="str">
        <f t="shared" ca="1" si="75"/>
        <v>Dec 18 to Dec 24</v>
      </c>
      <c r="Y796" t="str">
        <f t="shared" ca="1" si="76"/>
        <v>🟢 THIS WEEK</v>
      </c>
      <c r="Z796" t="str">
        <f t="shared" ca="1" si="77"/>
        <v>Confirm appointment</v>
      </c>
    </row>
    <row r="797" spans="1:26">
      <c r="A797">
        <v>1041385053</v>
      </c>
      <c r="B797" s="3" t="s">
        <v>2377</v>
      </c>
      <c r="C797">
        <v>54</v>
      </c>
      <c r="D797" t="s">
        <v>47</v>
      </c>
      <c r="E797" t="s">
        <v>29</v>
      </c>
      <c r="F797" t="s">
        <v>29</v>
      </c>
      <c r="G797" t="s">
        <v>29</v>
      </c>
      <c r="H797">
        <v>5</v>
      </c>
      <c r="I797" t="s">
        <v>30</v>
      </c>
      <c r="J797" t="s">
        <v>2378</v>
      </c>
      <c r="K797" t="s">
        <v>2379</v>
      </c>
      <c r="L797" t="s">
        <v>105</v>
      </c>
      <c r="M797" s="4" t="s">
        <v>34</v>
      </c>
      <c r="N797" t="s">
        <v>171</v>
      </c>
      <c r="P797" s="3" t="s">
        <v>36</v>
      </c>
      <c r="Q797" s="3" t="s">
        <v>84</v>
      </c>
      <c r="R797">
        <v>2</v>
      </c>
      <c r="S797" s="5">
        <v>45813</v>
      </c>
      <c r="T797" t="s">
        <v>38</v>
      </c>
      <c r="U797">
        <f t="shared" ca="1" si="72"/>
        <v>18</v>
      </c>
      <c r="V797" s="6">
        <f t="shared" ca="1" si="73"/>
        <v>46020</v>
      </c>
      <c r="W797" s="6">
        <f t="shared" ca="1" si="74"/>
        <v>46026</v>
      </c>
      <c r="X797" t="str">
        <f t="shared" ca="1" si="75"/>
        <v>Dec 29 to Jan 4</v>
      </c>
      <c r="Y797" t="str">
        <f t="shared" ca="1" si="76"/>
        <v>⚪ SCHEDULED</v>
      </c>
      <c r="Z797" t="str">
        <f t="shared" ca="1" si="77"/>
        <v>No action needed yet</v>
      </c>
    </row>
    <row r="798" spans="1:26">
      <c r="A798">
        <v>1041419571</v>
      </c>
      <c r="B798" s="3" t="s">
        <v>2380</v>
      </c>
      <c r="C798">
        <v>55</v>
      </c>
      <c r="D798" t="s">
        <v>47</v>
      </c>
      <c r="E798" t="s">
        <v>29</v>
      </c>
      <c r="F798" t="s">
        <v>28</v>
      </c>
      <c r="G798" t="s">
        <v>28</v>
      </c>
      <c r="H798">
        <v>3</v>
      </c>
      <c r="I798" t="s">
        <v>66</v>
      </c>
      <c r="J798" t="s">
        <v>2381</v>
      </c>
      <c r="K798" t="s">
        <v>2382</v>
      </c>
      <c r="L798" t="s">
        <v>105</v>
      </c>
      <c r="M798" s="4" t="s">
        <v>43</v>
      </c>
      <c r="N798" t="s">
        <v>162</v>
      </c>
      <c r="P798" s="3" t="s">
        <v>36</v>
      </c>
      <c r="Q798" s="3" t="s">
        <v>90</v>
      </c>
      <c r="R798">
        <v>2</v>
      </c>
      <c r="S798" s="5">
        <v>45906</v>
      </c>
      <c r="T798" t="s">
        <v>38</v>
      </c>
      <c r="U798">
        <f t="shared" ca="1" si="72"/>
        <v>21</v>
      </c>
      <c r="V798" s="6">
        <f t="shared" ca="1" si="73"/>
        <v>46023</v>
      </c>
      <c r="W798" s="6">
        <f t="shared" ca="1" si="74"/>
        <v>46029</v>
      </c>
      <c r="X798" t="str">
        <f t="shared" ca="1" si="75"/>
        <v>Jan 1 to Jan 7</v>
      </c>
      <c r="Y798" t="str">
        <f t="shared" ca="1" si="76"/>
        <v>⚪ SCHEDULED</v>
      </c>
      <c r="Z798" t="str">
        <f t="shared" ca="1" si="77"/>
        <v>No action needed yet</v>
      </c>
    </row>
    <row r="799" spans="1:26">
      <c r="A799">
        <v>1041558378</v>
      </c>
      <c r="B799" s="3" t="s">
        <v>2383</v>
      </c>
      <c r="C799">
        <v>43</v>
      </c>
      <c r="D799" t="s">
        <v>47</v>
      </c>
      <c r="E799" t="s">
        <v>29</v>
      </c>
      <c r="F799" t="s">
        <v>28</v>
      </c>
      <c r="G799" t="s">
        <v>28</v>
      </c>
      <c r="H799">
        <v>3</v>
      </c>
      <c r="I799" t="s">
        <v>66</v>
      </c>
      <c r="J799" t="s">
        <v>2384</v>
      </c>
      <c r="K799" t="s">
        <v>2385</v>
      </c>
      <c r="M799" s="4" t="s">
        <v>94</v>
      </c>
      <c r="N799" t="s">
        <v>148</v>
      </c>
      <c r="P799" s="3" t="s">
        <v>36</v>
      </c>
      <c r="Q799" s="3" t="s">
        <v>84</v>
      </c>
      <c r="R799">
        <v>2</v>
      </c>
      <c r="S799" s="5">
        <v>45938</v>
      </c>
      <c r="T799" t="s">
        <v>38</v>
      </c>
      <c r="U799">
        <f t="shared" ca="1" si="72"/>
        <v>23</v>
      </c>
      <c r="V799" s="6">
        <f t="shared" ca="1" si="73"/>
        <v>46025</v>
      </c>
      <c r="W799" s="6">
        <f t="shared" ca="1" si="74"/>
        <v>46031</v>
      </c>
      <c r="X799" t="str">
        <f t="shared" ca="1" si="75"/>
        <v>Jan 3 to Jan 9</v>
      </c>
      <c r="Y799" t="str">
        <f t="shared" ca="1" si="76"/>
        <v>⚪ SCHEDULED</v>
      </c>
      <c r="Z799" t="str">
        <f t="shared" ca="1" si="77"/>
        <v>No action needed yet</v>
      </c>
    </row>
    <row r="800" spans="1:26">
      <c r="A800">
        <v>1041664663</v>
      </c>
      <c r="B800" s="3" t="s">
        <v>2386</v>
      </c>
      <c r="C800">
        <v>45</v>
      </c>
      <c r="D800" t="s">
        <v>47</v>
      </c>
      <c r="E800" t="s">
        <v>28</v>
      </c>
      <c r="F800" t="s">
        <v>28</v>
      </c>
      <c r="G800" t="s">
        <v>28</v>
      </c>
      <c r="H800">
        <v>2</v>
      </c>
      <c r="I800" t="s">
        <v>55</v>
      </c>
      <c r="J800" t="s">
        <v>2387</v>
      </c>
      <c r="K800" t="s">
        <v>2388</v>
      </c>
      <c r="M800" s="4" t="s">
        <v>43</v>
      </c>
      <c r="N800" t="s">
        <v>59</v>
      </c>
      <c r="P800" s="3" t="s">
        <v>36</v>
      </c>
      <c r="Q800" s="3" t="s">
        <v>1566</v>
      </c>
      <c r="R800">
        <v>2</v>
      </c>
      <c r="S800" s="5">
        <v>45911</v>
      </c>
      <c r="T800" t="s">
        <v>60</v>
      </c>
      <c r="U800">
        <f t="shared" ca="1" si="72"/>
        <v>26</v>
      </c>
      <c r="V800" s="6">
        <f t="shared" ca="1" si="73"/>
        <v>46028</v>
      </c>
      <c r="W800" s="6">
        <f t="shared" ca="1" si="74"/>
        <v>46034</v>
      </c>
      <c r="X800" t="str">
        <f t="shared" ca="1" si="75"/>
        <v>Jan 6 to Jan 12</v>
      </c>
      <c r="Y800" t="str">
        <f t="shared" ca="1" si="76"/>
        <v>⚪ SCHEDULED</v>
      </c>
      <c r="Z800" t="str">
        <f t="shared" ca="1" si="77"/>
        <v>No action needed yet</v>
      </c>
    </row>
    <row r="801" spans="1:26">
      <c r="A801">
        <v>1041762186</v>
      </c>
      <c r="B801" s="3" t="s">
        <v>2389</v>
      </c>
      <c r="C801">
        <v>53</v>
      </c>
      <c r="D801" t="s">
        <v>47</v>
      </c>
      <c r="E801" t="s">
        <v>28</v>
      </c>
      <c r="F801" t="s">
        <v>29</v>
      </c>
      <c r="G801" t="s">
        <v>29</v>
      </c>
      <c r="H801">
        <v>5</v>
      </c>
      <c r="I801" t="s">
        <v>30</v>
      </c>
      <c r="J801" t="s">
        <v>146</v>
      </c>
      <c r="K801" t="s">
        <v>2390</v>
      </c>
      <c r="M801" s="4" t="s">
        <v>94</v>
      </c>
      <c r="N801" t="s">
        <v>35</v>
      </c>
      <c r="P801" s="3" t="s">
        <v>36</v>
      </c>
      <c r="Q801" t="s">
        <v>54</v>
      </c>
      <c r="R801">
        <v>1</v>
      </c>
      <c r="S801" s="5">
        <v>45931</v>
      </c>
      <c r="T801" t="s">
        <v>38</v>
      </c>
      <c r="U801">
        <f t="shared" ca="1" si="72"/>
        <v>16</v>
      </c>
      <c r="V801" s="6">
        <f t="shared" ca="1" si="73"/>
        <v>46018</v>
      </c>
      <c r="W801" s="6">
        <f t="shared" ca="1" si="74"/>
        <v>46024</v>
      </c>
      <c r="X801" t="str">
        <f t="shared" ca="1" si="75"/>
        <v>Dec 27 to Jan 2</v>
      </c>
      <c r="Y801" t="str">
        <f t="shared" ca="1" si="76"/>
        <v>⚪ SCHEDULED</v>
      </c>
      <c r="Z801" t="str">
        <f t="shared" ca="1" si="77"/>
        <v>No action needed yet</v>
      </c>
    </row>
    <row r="802" spans="1:26">
      <c r="A802">
        <v>1041771336</v>
      </c>
      <c r="B802" s="3" t="s">
        <v>2391</v>
      </c>
      <c r="C802">
        <v>60</v>
      </c>
      <c r="D802" t="s">
        <v>47</v>
      </c>
      <c r="E802" t="s">
        <v>29</v>
      </c>
      <c r="F802" t="s">
        <v>29</v>
      </c>
      <c r="G802" t="s">
        <v>29</v>
      </c>
      <c r="H802">
        <v>7</v>
      </c>
      <c r="I802" t="s">
        <v>30</v>
      </c>
      <c r="J802" t="s">
        <v>2392</v>
      </c>
      <c r="K802" t="s">
        <v>2393</v>
      </c>
      <c r="L802" t="s">
        <v>1447</v>
      </c>
      <c r="M802" s="4" t="s">
        <v>43</v>
      </c>
      <c r="N802" t="s">
        <v>470</v>
      </c>
      <c r="P802" s="3" t="s">
        <v>36</v>
      </c>
      <c r="Q802" s="3" t="s">
        <v>45</v>
      </c>
      <c r="R802">
        <v>2</v>
      </c>
      <c r="S802" s="5">
        <v>45890</v>
      </c>
      <c r="T802" t="s">
        <v>38</v>
      </c>
      <c r="U802">
        <f t="shared" ca="1" si="72"/>
        <v>5</v>
      </c>
      <c r="V802" s="6">
        <f t="shared" ca="1" si="73"/>
        <v>46007</v>
      </c>
      <c r="W802" s="6">
        <f t="shared" ca="1" si="74"/>
        <v>46013</v>
      </c>
      <c r="X802" t="str">
        <f t="shared" ca="1" si="75"/>
        <v>Dec 16 to Dec 22</v>
      </c>
      <c r="Y802" t="str">
        <f t="shared" ca="1" si="76"/>
        <v>🟢 THIS WEEK</v>
      </c>
      <c r="Z802" t="str">
        <f t="shared" ca="1" si="77"/>
        <v>Confirm appointment</v>
      </c>
    </row>
    <row r="803" spans="1:26">
      <c r="A803">
        <v>1042127231</v>
      </c>
      <c r="B803" s="3" t="s">
        <v>2394</v>
      </c>
      <c r="C803">
        <v>45</v>
      </c>
      <c r="D803" t="s">
        <v>47</v>
      </c>
      <c r="E803" t="s">
        <v>29</v>
      </c>
      <c r="F803" t="s">
        <v>28</v>
      </c>
      <c r="G803" t="s">
        <v>28</v>
      </c>
      <c r="H803">
        <v>3</v>
      </c>
      <c r="I803" t="s">
        <v>66</v>
      </c>
      <c r="J803" t="s">
        <v>2395</v>
      </c>
      <c r="K803" t="s">
        <v>2396</v>
      </c>
      <c r="L803" t="s">
        <v>58</v>
      </c>
      <c r="M803" s="4" t="s">
        <v>34</v>
      </c>
      <c r="N803" t="s">
        <v>162</v>
      </c>
      <c r="P803" s="3" t="s">
        <v>36</v>
      </c>
      <c r="Q803" s="3" t="s">
        <v>107</v>
      </c>
      <c r="R803">
        <v>1</v>
      </c>
      <c r="S803" s="5">
        <v>45352</v>
      </c>
      <c r="T803" t="s">
        <v>38</v>
      </c>
      <c r="U803">
        <f t="shared" ca="1" si="72"/>
        <v>7</v>
      </c>
      <c r="V803" s="6">
        <f t="shared" ca="1" si="73"/>
        <v>46009</v>
      </c>
      <c r="W803" s="6">
        <f t="shared" ca="1" si="74"/>
        <v>46015</v>
      </c>
      <c r="X803" t="str">
        <f t="shared" ca="1" si="75"/>
        <v>Dec 18 to Dec 24</v>
      </c>
      <c r="Y803" t="str">
        <f t="shared" ca="1" si="76"/>
        <v>🟢 THIS WEEK</v>
      </c>
      <c r="Z803" t="str">
        <f t="shared" ca="1" si="77"/>
        <v>Confirm appointment</v>
      </c>
    </row>
    <row r="804" spans="1:26">
      <c r="A804">
        <v>1042328292</v>
      </c>
      <c r="B804" s="3" t="s">
        <v>2397</v>
      </c>
      <c r="C804">
        <v>47</v>
      </c>
      <c r="D804" t="s">
        <v>27</v>
      </c>
      <c r="E804" t="s">
        <v>29</v>
      </c>
      <c r="F804" t="s">
        <v>29</v>
      </c>
      <c r="G804" t="s">
        <v>28</v>
      </c>
      <c r="H804">
        <v>3</v>
      </c>
      <c r="I804" t="s">
        <v>66</v>
      </c>
      <c r="J804" t="s">
        <v>2398</v>
      </c>
      <c r="K804" t="s">
        <v>2399</v>
      </c>
      <c r="L804" t="s">
        <v>88</v>
      </c>
      <c r="M804" s="4" t="s">
        <v>34</v>
      </c>
      <c r="N804" t="s">
        <v>119</v>
      </c>
      <c r="P804" s="3" t="s">
        <v>36</v>
      </c>
      <c r="Q804" s="3" t="s">
        <v>230</v>
      </c>
      <c r="R804">
        <v>1</v>
      </c>
      <c r="S804" s="5">
        <v>45797</v>
      </c>
      <c r="T804" t="s">
        <v>38</v>
      </c>
      <c r="U804">
        <f t="shared" ca="1" si="72"/>
        <v>2</v>
      </c>
      <c r="V804" s="6">
        <f t="shared" ca="1" si="73"/>
        <v>46004</v>
      </c>
      <c r="W804" s="6">
        <f t="shared" ca="1" si="74"/>
        <v>46010</v>
      </c>
      <c r="X804" t="str">
        <f t="shared" ca="1" si="75"/>
        <v>Dec 13 to Dec 19</v>
      </c>
      <c r="Y804" t="str">
        <f t="shared" ca="1" si="76"/>
        <v>🟡 IMMINENT (within 3 days)</v>
      </c>
      <c r="Z804" t="str">
        <f t="shared" ca="1" si="77"/>
        <v>Prepare medications TODAY</v>
      </c>
    </row>
    <row r="805" spans="1:26">
      <c r="A805">
        <v>1042391407</v>
      </c>
      <c r="B805" s="3" t="s">
        <v>2400</v>
      </c>
      <c r="C805">
        <v>52</v>
      </c>
      <c r="D805" t="s">
        <v>27</v>
      </c>
      <c r="E805" t="s">
        <v>29</v>
      </c>
      <c r="F805" t="s">
        <v>28</v>
      </c>
      <c r="G805" t="s">
        <v>28</v>
      </c>
      <c r="H805">
        <v>4</v>
      </c>
      <c r="I805" t="s">
        <v>66</v>
      </c>
      <c r="J805" t="s">
        <v>2401</v>
      </c>
      <c r="K805" t="s">
        <v>2402</v>
      </c>
      <c r="M805" s="4" t="s">
        <v>34</v>
      </c>
      <c r="N805" t="s">
        <v>148</v>
      </c>
      <c r="P805" s="3" t="s">
        <v>36</v>
      </c>
      <c r="Q805" s="3" t="s">
        <v>45</v>
      </c>
      <c r="R805">
        <v>2</v>
      </c>
      <c r="S805" s="5">
        <v>45517</v>
      </c>
      <c r="T805" t="s">
        <v>38</v>
      </c>
      <c r="U805">
        <f t="shared" ca="1" si="72"/>
        <v>22</v>
      </c>
      <c r="V805" s="6">
        <f t="shared" ca="1" si="73"/>
        <v>46024</v>
      </c>
      <c r="W805" s="6">
        <f t="shared" ca="1" si="74"/>
        <v>46030</v>
      </c>
      <c r="X805" t="str">
        <f t="shared" ca="1" si="75"/>
        <v>Jan 2 to Jan 8</v>
      </c>
      <c r="Y805" t="str">
        <f t="shared" ca="1" si="76"/>
        <v>⚪ SCHEDULED</v>
      </c>
      <c r="Z805" t="str">
        <f t="shared" ca="1" si="77"/>
        <v>No action needed yet</v>
      </c>
    </row>
    <row r="806" spans="1:26">
      <c r="A806">
        <v>1042531952</v>
      </c>
      <c r="B806" s="3" t="s">
        <v>2403</v>
      </c>
      <c r="C806">
        <v>63</v>
      </c>
      <c r="D806" t="s">
        <v>27</v>
      </c>
      <c r="E806" t="s">
        <v>29</v>
      </c>
      <c r="F806" t="s">
        <v>29</v>
      </c>
      <c r="G806" t="s">
        <v>29</v>
      </c>
      <c r="H806">
        <v>7</v>
      </c>
      <c r="I806" t="s">
        <v>30</v>
      </c>
      <c r="J806" t="s">
        <v>109</v>
      </c>
      <c r="K806" t="s">
        <v>2404</v>
      </c>
      <c r="M806" s="4" t="s">
        <v>43</v>
      </c>
      <c r="N806" t="s">
        <v>44</v>
      </c>
      <c r="P806" s="3" t="s">
        <v>36</v>
      </c>
      <c r="Q806" s="3" t="s">
        <v>90</v>
      </c>
      <c r="R806">
        <v>1</v>
      </c>
      <c r="S806" s="5">
        <v>45897</v>
      </c>
      <c r="T806" t="s">
        <v>38</v>
      </c>
      <c r="U806">
        <f t="shared" ca="1" si="72"/>
        <v>12</v>
      </c>
      <c r="V806" s="6">
        <f t="shared" ca="1" si="73"/>
        <v>46014</v>
      </c>
      <c r="W806" s="6">
        <f t="shared" ca="1" si="74"/>
        <v>46020</v>
      </c>
      <c r="X806" t="str">
        <f t="shared" ca="1" si="75"/>
        <v>Dec 23 to Dec 29</v>
      </c>
      <c r="Y806" t="str">
        <f t="shared" ca="1" si="76"/>
        <v>🔵 NEXT 2 WEEKS</v>
      </c>
      <c r="Z806" t="str">
        <f t="shared" ca="1" si="77"/>
        <v>Send reminder SMS</v>
      </c>
    </row>
    <row r="807" spans="1:26">
      <c r="A807">
        <v>1042616381</v>
      </c>
      <c r="B807" s="3" t="s">
        <v>2405</v>
      </c>
      <c r="C807">
        <v>40</v>
      </c>
      <c r="D807" t="s">
        <v>47</v>
      </c>
      <c r="E807" t="s">
        <v>29</v>
      </c>
      <c r="F807" t="s">
        <v>28</v>
      </c>
      <c r="G807" t="s">
        <v>28</v>
      </c>
      <c r="H807">
        <v>3</v>
      </c>
      <c r="I807" t="s">
        <v>66</v>
      </c>
      <c r="J807" t="s">
        <v>2406</v>
      </c>
      <c r="K807" t="s">
        <v>2407</v>
      </c>
      <c r="L807" t="s">
        <v>170</v>
      </c>
      <c r="M807" s="4" t="s">
        <v>34</v>
      </c>
      <c r="N807" t="s">
        <v>162</v>
      </c>
      <c r="P807" s="3" t="s">
        <v>36</v>
      </c>
      <c r="Q807" s="3" t="s">
        <v>45</v>
      </c>
      <c r="R807">
        <v>1</v>
      </c>
      <c r="S807" s="5">
        <v>45759</v>
      </c>
      <c r="T807" t="s">
        <v>38</v>
      </c>
      <c r="U807">
        <f t="shared" ca="1" si="72"/>
        <v>24</v>
      </c>
      <c r="V807" s="6">
        <f t="shared" ca="1" si="73"/>
        <v>46026</v>
      </c>
      <c r="W807" s="6">
        <f t="shared" ca="1" si="74"/>
        <v>46032</v>
      </c>
      <c r="X807" t="str">
        <f t="shared" ca="1" si="75"/>
        <v>Jan 4 to Jan 10</v>
      </c>
      <c r="Y807" t="str">
        <f t="shared" ca="1" si="76"/>
        <v>⚪ SCHEDULED</v>
      </c>
      <c r="Z807" t="str">
        <f t="shared" ca="1" si="77"/>
        <v>No action needed yet</v>
      </c>
    </row>
    <row r="808" spans="1:26">
      <c r="A808">
        <v>1042620904</v>
      </c>
      <c r="B808" s="3" t="s">
        <v>2408</v>
      </c>
      <c r="C808">
        <v>60</v>
      </c>
      <c r="D808" t="s">
        <v>27</v>
      </c>
      <c r="E808" t="s">
        <v>29</v>
      </c>
      <c r="F808" t="s">
        <v>28</v>
      </c>
      <c r="G808" t="s">
        <v>29</v>
      </c>
      <c r="H808">
        <v>6</v>
      </c>
      <c r="I808" t="s">
        <v>30</v>
      </c>
      <c r="J808" t="s">
        <v>2409</v>
      </c>
      <c r="K808" t="s">
        <v>2410</v>
      </c>
      <c r="L808" t="s">
        <v>186</v>
      </c>
      <c r="M808" s="4" t="s">
        <v>94</v>
      </c>
      <c r="N808" t="s">
        <v>95</v>
      </c>
      <c r="P808" s="3" t="s">
        <v>36</v>
      </c>
      <c r="Q808" s="3" t="s">
        <v>313</v>
      </c>
      <c r="R808">
        <v>1</v>
      </c>
      <c r="S808" s="5">
        <v>45938</v>
      </c>
      <c r="T808" t="s">
        <v>38</v>
      </c>
      <c r="U808">
        <f t="shared" ca="1" si="72"/>
        <v>23</v>
      </c>
      <c r="V808" s="6">
        <f t="shared" ca="1" si="73"/>
        <v>46025</v>
      </c>
      <c r="W808" s="6">
        <f t="shared" ca="1" si="74"/>
        <v>46031</v>
      </c>
      <c r="X808" t="str">
        <f t="shared" ca="1" si="75"/>
        <v>Jan 3 to Jan 9</v>
      </c>
      <c r="Y808" t="str">
        <f t="shared" ca="1" si="76"/>
        <v>⚪ SCHEDULED</v>
      </c>
      <c r="Z808" t="str">
        <f t="shared" ca="1" si="77"/>
        <v>No action needed yet</v>
      </c>
    </row>
    <row r="809" spans="1:26">
      <c r="A809">
        <v>1042620912</v>
      </c>
      <c r="B809" s="3" t="s">
        <v>2411</v>
      </c>
      <c r="C809">
        <v>57</v>
      </c>
      <c r="D809" t="s">
        <v>27</v>
      </c>
      <c r="E809" t="s">
        <v>29</v>
      </c>
      <c r="F809" t="s">
        <v>28</v>
      </c>
      <c r="G809" t="s">
        <v>28</v>
      </c>
      <c r="H809">
        <v>4</v>
      </c>
      <c r="I809" t="s">
        <v>66</v>
      </c>
      <c r="J809" t="s">
        <v>2412</v>
      </c>
      <c r="K809" t="s">
        <v>2413</v>
      </c>
      <c r="M809" s="4" t="s">
        <v>43</v>
      </c>
      <c r="N809" t="s">
        <v>148</v>
      </c>
      <c r="P809" s="3" t="s">
        <v>36</v>
      </c>
      <c r="Q809" s="3" t="s">
        <v>84</v>
      </c>
      <c r="R809">
        <v>2</v>
      </c>
      <c r="S809" s="5">
        <v>45861</v>
      </c>
      <c r="T809" t="s">
        <v>38</v>
      </c>
      <c r="U809">
        <f t="shared" ca="1" si="72"/>
        <v>6</v>
      </c>
      <c r="V809" s="6">
        <f t="shared" ca="1" si="73"/>
        <v>46008</v>
      </c>
      <c r="W809" s="6">
        <f t="shared" ca="1" si="74"/>
        <v>46014</v>
      </c>
      <c r="X809" t="str">
        <f t="shared" ca="1" si="75"/>
        <v>Dec 17 to Dec 23</v>
      </c>
      <c r="Y809" t="str">
        <f t="shared" ca="1" si="76"/>
        <v>🟢 THIS WEEK</v>
      </c>
      <c r="Z809" t="str">
        <f t="shared" ca="1" si="77"/>
        <v>Confirm appointment</v>
      </c>
    </row>
    <row r="810" spans="1:26">
      <c r="A810">
        <v>1042824852</v>
      </c>
      <c r="B810" s="3" t="s">
        <v>2414</v>
      </c>
      <c r="C810">
        <v>69</v>
      </c>
      <c r="D810" t="s">
        <v>47</v>
      </c>
      <c r="E810" t="s">
        <v>29</v>
      </c>
      <c r="F810" t="s">
        <v>29</v>
      </c>
      <c r="G810" t="s">
        <v>29</v>
      </c>
      <c r="H810">
        <v>6</v>
      </c>
      <c r="I810" t="s">
        <v>30</v>
      </c>
      <c r="J810" t="s">
        <v>125</v>
      </c>
      <c r="K810" t="s">
        <v>1245</v>
      </c>
      <c r="L810" t="s">
        <v>69</v>
      </c>
      <c r="M810" s="4" t="s">
        <v>43</v>
      </c>
      <c r="N810" t="s">
        <v>127</v>
      </c>
      <c r="P810" s="3" t="s">
        <v>36</v>
      </c>
      <c r="Q810" s="3" t="s">
        <v>107</v>
      </c>
      <c r="R810">
        <v>2</v>
      </c>
      <c r="S810" s="5">
        <v>45868</v>
      </c>
      <c r="T810" t="s">
        <v>38</v>
      </c>
      <c r="U810">
        <f t="shared" ca="1" si="72"/>
        <v>13</v>
      </c>
      <c r="V810" s="6">
        <f t="shared" ca="1" si="73"/>
        <v>46015</v>
      </c>
      <c r="W810" s="6">
        <f t="shared" ca="1" si="74"/>
        <v>46021</v>
      </c>
      <c r="X810" t="str">
        <f t="shared" ca="1" si="75"/>
        <v>Dec 24 to Dec 30</v>
      </c>
      <c r="Y810" t="str">
        <f t="shared" ca="1" si="76"/>
        <v>🔵 NEXT 2 WEEKS</v>
      </c>
      <c r="Z810" t="str">
        <f t="shared" ca="1" si="77"/>
        <v>Send reminder SMS</v>
      </c>
    </row>
    <row r="811" spans="1:26">
      <c r="A811">
        <v>1042977429</v>
      </c>
      <c r="B811" s="3" t="s">
        <v>2415</v>
      </c>
      <c r="C811">
        <v>64</v>
      </c>
      <c r="D811" t="s">
        <v>47</v>
      </c>
      <c r="E811" t="s">
        <v>29</v>
      </c>
      <c r="F811" t="s">
        <v>29</v>
      </c>
      <c r="G811" t="s">
        <v>29</v>
      </c>
      <c r="H811">
        <v>7</v>
      </c>
      <c r="I811" t="s">
        <v>30</v>
      </c>
      <c r="J811" t="s">
        <v>2416</v>
      </c>
      <c r="K811" t="s">
        <v>2417</v>
      </c>
      <c r="L811" t="s">
        <v>2418</v>
      </c>
      <c r="M811" s="4" t="s">
        <v>34</v>
      </c>
      <c r="N811" t="s">
        <v>76</v>
      </c>
      <c r="P811" s="3" t="s">
        <v>36</v>
      </c>
      <c r="Q811" s="3" t="s">
        <v>45</v>
      </c>
      <c r="R811">
        <v>1</v>
      </c>
      <c r="S811" s="5">
        <v>45468</v>
      </c>
      <c r="T811" t="s">
        <v>38</v>
      </c>
      <c r="U811">
        <f t="shared" ca="1" si="72"/>
        <v>3</v>
      </c>
      <c r="V811" s="6">
        <f t="shared" ca="1" si="73"/>
        <v>46005</v>
      </c>
      <c r="W811" s="6">
        <f t="shared" ca="1" si="74"/>
        <v>46011</v>
      </c>
      <c r="X811" t="str">
        <f t="shared" ca="1" si="75"/>
        <v>Dec 14 to Dec 20</v>
      </c>
      <c r="Y811" t="str">
        <f t="shared" ca="1" si="76"/>
        <v>🟡 IMMINENT (within 3 days)</v>
      </c>
      <c r="Z811" t="str">
        <f t="shared" ca="1" si="77"/>
        <v>Prepare medications TODAY</v>
      </c>
    </row>
    <row r="812" spans="1:26">
      <c r="A812">
        <v>1043032521</v>
      </c>
      <c r="B812" s="3" t="s">
        <v>2419</v>
      </c>
      <c r="C812">
        <v>70</v>
      </c>
      <c r="D812" t="s">
        <v>27</v>
      </c>
      <c r="E812" t="s">
        <v>29</v>
      </c>
      <c r="F812" t="s">
        <v>29</v>
      </c>
      <c r="G812" t="s">
        <v>28</v>
      </c>
      <c r="H812">
        <v>7</v>
      </c>
      <c r="I812" t="s">
        <v>30</v>
      </c>
      <c r="J812" t="s">
        <v>2420</v>
      </c>
      <c r="K812" t="s">
        <v>2421</v>
      </c>
      <c r="L812" t="s">
        <v>524</v>
      </c>
      <c r="M812" s="4" t="s">
        <v>43</v>
      </c>
      <c r="N812" t="s">
        <v>144</v>
      </c>
      <c r="P812" s="3" t="s">
        <v>36</v>
      </c>
      <c r="Q812" s="3" t="s">
        <v>175</v>
      </c>
      <c r="R812">
        <v>2</v>
      </c>
      <c r="S812" s="5">
        <v>45923</v>
      </c>
      <c r="T812" t="s">
        <v>38</v>
      </c>
      <c r="U812">
        <f t="shared" ca="1" si="72"/>
        <v>8</v>
      </c>
      <c r="V812" s="6">
        <f t="shared" ca="1" si="73"/>
        <v>46010</v>
      </c>
      <c r="W812" s="6">
        <f t="shared" ca="1" si="74"/>
        <v>46016</v>
      </c>
      <c r="X812" t="str">
        <f t="shared" ca="1" si="75"/>
        <v>Dec 19 to Dec 25</v>
      </c>
      <c r="Y812" t="str">
        <f t="shared" ca="1" si="76"/>
        <v>🔵 NEXT 2 WEEKS</v>
      </c>
      <c r="Z812" t="str">
        <f t="shared" ca="1" si="77"/>
        <v>Send reminder SMS</v>
      </c>
    </row>
    <row r="813" spans="1:26">
      <c r="A813">
        <v>1043032539</v>
      </c>
      <c r="B813" s="3" t="s">
        <v>2422</v>
      </c>
      <c r="C813">
        <v>53</v>
      </c>
      <c r="D813" t="s">
        <v>27</v>
      </c>
      <c r="E813" t="s">
        <v>54</v>
      </c>
      <c r="F813" t="s">
        <v>54</v>
      </c>
      <c r="G813" t="s">
        <v>54</v>
      </c>
      <c r="H813">
        <v>2</v>
      </c>
      <c r="I813" t="s">
        <v>55</v>
      </c>
      <c r="J813" t="s">
        <v>398</v>
      </c>
      <c r="K813" t="s">
        <v>2208</v>
      </c>
      <c r="L813" t="s">
        <v>69</v>
      </c>
      <c r="M813" s="4" t="s">
        <v>34</v>
      </c>
      <c r="N813" t="s">
        <v>59</v>
      </c>
      <c r="P813" s="3" t="s">
        <v>36</v>
      </c>
      <c r="Q813" t="s">
        <v>54</v>
      </c>
      <c r="R813">
        <v>1</v>
      </c>
      <c r="S813" s="5">
        <v>45764</v>
      </c>
      <c r="T813" t="s">
        <v>60</v>
      </c>
      <c r="U813">
        <f t="shared" ca="1" si="72"/>
        <v>59</v>
      </c>
      <c r="V813" s="6">
        <f t="shared" ca="1" si="73"/>
        <v>46061</v>
      </c>
      <c r="W813" s="6">
        <f t="shared" ca="1" si="74"/>
        <v>46067</v>
      </c>
      <c r="X813" t="str">
        <f t="shared" ca="1" si="75"/>
        <v>Feb 8 to Feb 14</v>
      </c>
      <c r="Y813" t="str">
        <f t="shared" ca="1" si="76"/>
        <v>⚪ SCHEDULED</v>
      </c>
      <c r="Z813" t="str">
        <f t="shared" ca="1" si="77"/>
        <v>No action needed yet</v>
      </c>
    </row>
    <row r="814" spans="1:26">
      <c r="A814">
        <v>1043104031</v>
      </c>
      <c r="B814" s="3" t="s">
        <v>2423</v>
      </c>
      <c r="C814">
        <v>46</v>
      </c>
      <c r="D814" t="s">
        <v>27</v>
      </c>
      <c r="E814" t="s">
        <v>29</v>
      </c>
      <c r="F814" t="s">
        <v>29</v>
      </c>
      <c r="G814" t="s">
        <v>29</v>
      </c>
      <c r="H814">
        <v>5</v>
      </c>
      <c r="I814" t="s">
        <v>30</v>
      </c>
      <c r="J814" t="s">
        <v>2424</v>
      </c>
      <c r="K814" t="s">
        <v>2425</v>
      </c>
      <c r="L814" t="s">
        <v>139</v>
      </c>
      <c r="M814" s="4" t="s">
        <v>43</v>
      </c>
      <c r="N814" t="s">
        <v>470</v>
      </c>
      <c r="P814" s="3" t="s">
        <v>36</v>
      </c>
      <c r="Q814" s="3" t="s">
        <v>804</v>
      </c>
      <c r="R814">
        <v>1</v>
      </c>
      <c r="S814" s="5">
        <v>45917</v>
      </c>
      <c r="T814" t="s">
        <v>38</v>
      </c>
      <c r="U814">
        <f t="shared" ca="1" si="72"/>
        <v>2</v>
      </c>
      <c r="V814" s="6">
        <f t="shared" ca="1" si="73"/>
        <v>46004</v>
      </c>
      <c r="W814" s="6">
        <f t="shared" ca="1" si="74"/>
        <v>46010</v>
      </c>
      <c r="X814" t="str">
        <f t="shared" ca="1" si="75"/>
        <v>Dec 13 to Dec 19</v>
      </c>
      <c r="Y814" t="str">
        <f t="shared" ca="1" si="76"/>
        <v>🟡 IMMINENT (within 3 days)</v>
      </c>
      <c r="Z814" t="str">
        <f t="shared" ca="1" si="77"/>
        <v>Prepare medications TODAY</v>
      </c>
    </row>
    <row r="815" spans="1:26">
      <c r="A815">
        <v>1043229267</v>
      </c>
      <c r="B815" s="3" t="s">
        <v>2426</v>
      </c>
      <c r="C815">
        <v>53</v>
      </c>
      <c r="D815" t="s">
        <v>47</v>
      </c>
      <c r="E815" t="s">
        <v>29</v>
      </c>
      <c r="F815" t="s">
        <v>28</v>
      </c>
      <c r="G815" t="s">
        <v>29</v>
      </c>
      <c r="H815">
        <v>6</v>
      </c>
      <c r="I815" t="s">
        <v>30</v>
      </c>
      <c r="J815" t="s">
        <v>168</v>
      </c>
      <c r="K815" t="s">
        <v>1536</v>
      </c>
      <c r="L815" t="s">
        <v>170</v>
      </c>
      <c r="M815" s="4" t="s">
        <v>94</v>
      </c>
      <c r="N815" t="s">
        <v>182</v>
      </c>
      <c r="P815" s="3" t="s">
        <v>36</v>
      </c>
      <c r="Q815" s="3" t="s">
        <v>84</v>
      </c>
      <c r="R815">
        <v>2</v>
      </c>
      <c r="S815" s="5">
        <v>45937</v>
      </c>
      <c r="T815" t="s">
        <v>38</v>
      </c>
      <c r="U815">
        <f t="shared" ca="1" si="72"/>
        <v>22</v>
      </c>
      <c r="V815" s="6">
        <f t="shared" ca="1" si="73"/>
        <v>46024</v>
      </c>
      <c r="W815" s="6">
        <f t="shared" ca="1" si="74"/>
        <v>46030</v>
      </c>
      <c r="X815" t="str">
        <f t="shared" ca="1" si="75"/>
        <v>Jan 2 to Jan 8</v>
      </c>
      <c r="Y815" t="str">
        <f t="shared" ca="1" si="76"/>
        <v>⚪ SCHEDULED</v>
      </c>
      <c r="Z815" t="str">
        <f t="shared" ca="1" si="77"/>
        <v>No action needed yet</v>
      </c>
    </row>
    <row r="816" spans="1:26">
      <c r="A816">
        <v>1043263365</v>
      </c>
      <c r="B816" s="3" t="s">
        <v>2427</v>
      </c>
      <c r="C816">
        <v>84</v>
      </c>
      <c r="D816" t="s">
        <v>27</v>
      </c>
      <c r="E816" t="s">
        <v>29</v>
      </c>
      <c r="F816" t="s">
        <v>29</v>
      </c>
      <c r="G816" t="s">
        <v>29</v>
      </c>
      <c r="H816">
        <v>8</v>
      </c>
      <c r="I816" t="s">
        <v>30</v>
      </c>
      <c r="J816" t="s">
        <v>2428</v>
      </c>
      <c r="K816" t="s">
        <v>2429</v>
      </c>
      <c r="L816" t="s">
        <v>1226</v>
      </c>
      <c r="M816" s="4" t="s">
        <v>34</v>
      </c>
      <c r="N816" t="s">
        <v>201</v>
      </c>
      <c r="P816" s="3" t="s">
        <v>36</v>
      </c>
      <c r="Q816" s="3" t="s">
        <v>45</v>
      </c>
      <c r="R816">
        <v>1</v>
      </c>
      <c r="S816" s="5">
        <v>45770</v>
      </c>
      <c r="T816" t="s">
        <v>38</v>
      </c>
      <c r="U816">
        <f t="shared" ca="1" si="72"/>
        <v>5</v>
      </c>
      <c r="V816" s="6">
        <f t="shared" ca="1" si="73"/>
        <v>46007</v>
      </c>
      <c r="W816" s="6">
        <f t="shared" ca="1" si="74"/>
        <v>46013</v>
      </c>
      <c r="X816" t="str">
        <f t="shared" ca="1" si="75"/>
        <v>Dec 16 to Dec 22</v>
      </c>
      <c r="Y816" t="str">
        <f t="shared" ca="1" si="76"/>
        <v>🟢 THIS WEEK</v>
      </c>
      <c r="Z816" t="str">
        <f t="shared" ca="1" si="77"/>
        <v>Confirm appointment</v>
      </c>
    </row>
    <row r="817" spans="1:26">
      <c r="A817">
        <v>1043284155</v>
      </c>
      <c r="B817" s="3" t="s">
        <v>2430</v>
      </c>
      <c r="C817">
        <v>65</v>
      </c>
      <c r="D817" t="s">
        <v>27</v>
      </c>
      <c r="E817" t="s">
        <v>28</v>
      </c>
      <c r="F817" t="s">
        <v>28</v>
      </c>
      <c r="G817" t="s">
        <v>28</v>
      </c>
      <c r="H817">
        <v>4</v>
      </c>
      <c r="I817" t="s">
        <v>66</v>
      </c>
      <c r="J817" t="s">
        <v>2431</v>
      </c>
      <c r="K817" t="s">
        <v>2432</v>
      </c>
      <c r="L817" t="s">
        <v>783</v>
      </c>
      <c r="M817" s="4" t="s">
        <v>34</v>
      </c>
      <c r="N817" t="s">
        <v>59</v>
      </c>
      <c r="P817" s="3" t="s">
        <v>36</v>
      </c>
      <c r="Q817" s="3" t="s">
        <v>1566</v>
      </c>
      <c r="R817">
        <v>1</v>
      </c>
      <c r="S817" s="5">
        <v>45709</v>
      </c>
      <c r="T817" t="s">
        <v>38</v>
      </c>
      <c r="U817">
        <f t="shared" ca="1" si="72"/>
        <v>4</v>
      </c>
      <c r="V817" s="6">
        <f t="shared" ca="1" si="73"/>
        <v>46006</v>
      </c>
      <c r="W817" s="6">
        <f t="shared" ca="1" si="74"/>
        <v>46012</v>
      </c>
      <c r="X817" t="str">
        <f t="shared" ca="1" si="75"/>
        <v>Dec 15 to Dec 21</v>
      </c>
      <c r="Y817" t="str">
        <f t="shared" ca="1" si="76"/>
        <v>🟢 THIS WEEK</v>
      </c>
      <c r="Z817" t="str">
        <f t="shared" ca="1" si="77"/>
        <v>Confirm appointment</v>
      </c>
    </row>
    <row r="818" spans="1:26">
      <c r="A818">
        <v>1043384559</v>
      </c>
      <c r="B818" s="3" t="s">
        <v>2433</v>
      </c>
      <c r="C818">
        <v>45</v>
      </c>
      <c r="D818" t="s">
        <v>47</v>
      </c>
      <c r="E818" t="s">
        <v>28</v>
      </c>
      <c r="F818" t="s">
        <v>29</v>
      </c>
      <c r="G818" t="s">
        <v>28</v>
      </c>
      <c r="H818">
        <v>2</v>
      </c>
      <c r="I818" t="s">
        <v>55</v>
      </c>
      <c r="J818" t="s">
        <v>157</v>
      </c>
      <c r="K818" t="s">
        <v>2434</v>
      </c>
      <c r="L818" t="s">
        <v>33</v>
      </c>
      <c r="M818" s="4" t="s">
        <v>94</v>
      </c>
      <c r="N818" t="s">
        <v>64</v>
      </c>
      <c r="P818" s="3" t="s">
        <v>36</v>
      </c>
      <c r="Q818" s="3" t="s">
        <v>84</v>
      </c>
      <c r="R818">
        <v>1</v>
      </c>
      <c r="S818" s="5">
        <v>45963</v>
      </c>
      <c r="T818" t="s">
        <v>60</v>
      </c>
      <c r="U818">
        <f t="shared" ca="1" si="72"/>
        <v>18</v>
      </c>
      <c r="V818" s="6">
        <f t="shared" ca="1" si="73"/>
        <v>46020</v>
      </c>
      <c r="W818" s="6">
        <f t="shared" ca="1" si="74"/>
        <v>46026</v>
      </c>
      <c r="X818" t="str">
        <f t="shared" ca="1" si="75"/>
        <v>Dec 29 to Jan 4</v>
      </c>
      <c r="Y818" t="str">
        <f t="shared" ca="1" si="76"/>
        <v>⚪ SCHEDULED</v>
      </c>
      <c r="Z818" t="str">
        <f t="shared" ca="1" si="77"/>
        <v>No action needed yet</v>
      </c>
    </row>
    <row r="819" spans="1:26">
      <c r="A819">
        <v>1043389855</v>
      </c>
      <c r="B819" s="3" t="s">
        <v>2435</v>
      </c>
      <c r="C819">
        <v>74</v>
      </c>
      <c r="D819" t="s">
        <v>47</v>
      </c>
      <c r="E819" t="s">
        <v>54</v>
      </c>
      <c r="F819" t="s">
        <v>54</v>
      </c>
      <c r="G819" t="s">
        <v>54</v>
      </c>
      <c r="H819">
        <v>4</v>
      </c>
      <c r="I819" t="s">
        <v>66</v>
      </c>
      <c r="J819" t="s">
        <v>2436</v>
      </c>
      <c r="K819" t="s">
        <v>2437</v>
      </c>
      <c r="L819" t="s">
        <v>100</v>
      </c>
      <c r="M819" s="4" t="s">
        <v>94</v>
      </c>
      <c r="N819" t="s">
        <v>59</v>
      </c>
      <c r="P819" s="3" t="s">
        <v>36</v>
      </c>
      <c r="Q819" s="3" t="s">
        <v>90</v>
      </c>
      <c r="R819">
        <v>1</v>
      </c>
      <c r="S819" s="5">
        <v>45934</v>
      </c>
      <c r="T819" t="s">
        <v>38</v>
      </c>
      <c r="U819">
        <f t="shared" ca="1" si="72"/>
        <v>19</v>
      </c>
      <c r="V819" s="6">
        <f t="shared" ca="1" si="73"/>
        <v>46021</v>
      </c>
      <c r="W819" s="6">
        <f t="shared" ca="1" si="74"/>
        <v>46027</v>
      </c>
      <c r="X819" t="str">
        <f t="shared" ca="1" si="75"/>
        <v>Dec 30 to Jan 5</v>
      </c>
      <c r="Y819" t="str">
        <f t="shared" ca="1" si="76"/>
        <v>⚪ SCHEDULED</v>
      </c>
      <c r="Z819" t="str">
        <f t="shared" ca="1" si="77"/>
        <v>No action needed yet</v>
      </c>
    </row>
    <row r="820" spans="1:26">
      <c r="A820">
        <v>1043540697</v>
      </c>
      <c r="B820" s="3" t="s">
        <v>2438</v>
      </c>
      <c r="C820">
        <v>51</v>
      </c>
      <c r="D820" t="s">
        <v>47</v>
      </c>
      <c r="E820" t="s">
        <v>29</v>
      </c>
      <c r="F820" t="s">
        <v>28</v>
      </c>
      <c r="G820" t="s">
        <v>28</v>
      </c>
      <c r="H820">
        <v>3</v>
      </c>
      <c r="I820" t="s">
        <v>66</v>
      </c>
      <c r="J820" t="s">
        <v>2439</v>
      </c>
      <c r="K820" t="s">
        <v>2440</v>
      </c>
      <c r="L820" t="s">
        <v>2441</v>
      </c>
      <c r="M820" s="4" t="s">
        <v>34</v>
      </c>
      <c r="N820" t="s">
        <v>162</v>
      </c>
      <c r="P820" s="3" t="s">
        <v>36</v>
      </c>
      <c r="Q820" s="3" t="s">
        <v>107</v>
      </c>
      <c r="R820">
        <v>2</v>
      </c>
      <c r="S820" s="5">
        <v>45624</v>
      </c>
      <c r="T820" t="s">
        <v>38</v>
      </c>
      <c r="U820">
        <f t="shared" ca="1" si="72"/>
        <v>9</v>
      </c>
      <c r="V820" s="6">
        <f t="shared" ca="1" si="73"/>
        <v>46011</v>
      </c>
      <c r="W820" s="6">
        <f t="shared" ca="1" si="74"/>
        <v>46017</v>
      </c>
      <c r="X820" t="str">
        <f t="shared" ca="1" si="75"/>
        <v>Dec 20 to Dec 26</v>
      </c>
      <c r="Y820" t="str">
        <f t="shared" ca="1" si="76"/>
        <v>🔵 NEXT 2 WEEKS</v>
      </c>
      <c r="Z820" t="str">
        <f t="shared" ca="1" si="77"/>
        <v>Send reminder SMS</v>
      </c>
    </row>
    <row r="821" spans="1:26">
      <c r="A821">
        <v>1043662434</v>
      </c>
      <c r="B821" s="3" t="s">
        <v>2442</v>
      </c>
      <c r="C821">
        <v>49</v>
      </c>
      <c r="D821" t="s">
        <v>47</v>
      </c>
      <c r="E821" t="s">
        <v>54</v>
      </c>
      <c r="F821" t="s">
        <v>54</v>
      </c>
      <c r="G821" t="s">
        <v>54</v>
      </c>
      <c r="H821">
        <v>1</v>
      </c>
      <c r="I821" t="s">
        <v>55</v>
      </c>
      <c r="J821" t="s">
        <v>1996</v>
      </c>
      <c r="K821" t="s">
        <v>2443</v>
      </c>
      <c r="L821" t="s">
        <v>170</v>
      </c>
      <c r="M821" s="4" t="s">
        <v>34</v>
      </c>
      <c r="N821" t="s">
        <v>59</v>
      </c>
      <c r="P821" s="3" t="s">
        <v>36</v>
      </c>
      <c r="Q821" s="3" t="s">
        <v>96</v>
      </c>
      <c r="R821">
        <v>2</v>
      </c>
      <c r="S821" s="5">
        <v>45887</v>
      </c>
      <c r="T821" t="s">
        <v>393</v>
      </c>
      <c r="U821">
        <f t="shared" ca="1" si="72"/>
        <v>62</v>
      </c>
      <c r="V821" s="6">
        <f t="shared" ca="1" si="73"/>
        <v>46064</v>
      </c>
      <c r="W821" s="6">
        <f t="shared" ca="1" si="74"/>
        <v>46070</v>
      </c>
      <c r="X821" t="str">
        <f t="shared" ca="1" si="75"/>
        <v>Feb 11 to Feb 17</v>
      </c>
      <c r="Y821" t="str">
        <f t="shared" ca="1" si="76"/>
        <v>⚪ SCHEDULED</v>
      </c>
      <c r="Z821" t="str">
        <f t="shared" ca="1" si="77"/>
        <v>No action needed yet</v>
      </c>
    </row>
    <row r="822" spans="1:26">
      <c r="A822">
        <v>1043785250</v>
      </c>
      <c r="B822" s="3" t="s">
        <v>2444</v>
      </c>
      <c r="C822">
        <v>38</v>
      </c>
      <c r="D822" t="s">
        <v>27</v>
      </c>
      <c r="E822" t="s">
        <v>29</v>
      </c>
      <c r="F822" t="s">
        <v>28</v>
      </c>
      <c r="G822" t="s">
        <v>28</v>
      </c>
      <c r="H822">
        <v>2</v>
      </c>
      <c r="I822" t="s">
        <v>55</v>
      </c>
      <c r="J822" t="s">
        <v>168</v>
      </c>
      <c r="K822" t="s">
        <v>2445</v>
      </c>
      <c r="L822" t="s">
        <v>170</v>
      </c>
      <c r="M822" s="4" t="s">
        <v>94</v>
      </c>
      <c r="N822" t="s">
        <v>162</v>
      </c>
      <c r="P822" s="3" t="s">
        <v>36</v>
      </c>
      <c r="Q822" s="3" t="s">
        <v>45</v>
      </c>
      <c r="R822">
        <v>1</v>
      </c>
      <c r="S822" s="5">
        <v>45978</v>
      </c>
      <c r="T822" t="s">
        <v>60</v>
      </c>
      <c r="U822">
        <f t="shared" ca="1" si="72"/>
        <v>33</v>
      </c>
      <c r="V822" s="6">
        <f t="shared" ca="1" si="73"/>
        <v>46035</v>
      </c>
      <c r="W822" s="6">
        <f t="shared" ca="1" si="74"/>
        <v>46041</v>
      </c>
      <c r="X822" t="str">
        <f t="shared" ca="1" si="75"/>
        <v>Jan 13 to Jan 19</v>
      </c>
      <c r="Y822" t="str">
        <f t="shared" ca="1" si="76"/>
        <v>⚪ SCHEDULED</v>
      </c>
      <c r="Z822" t="str">
        <f t="shared" ca="1" si="77"/>
        <v>No action needed yet</v>
      </c>
    </row>
    <row r="823" spans="1:26">
      <c r="A823">
        <v>1043806510</v>
      </c>
      <c r="B823" s="3" t="s">
        <v>2446</v>
      </c>
      <c r="C823">
        <v>82</v>
      </c>
      <c r="D823" t="s">
        <v>27</v>
      </c>
      <c r="E823" t="s">
        <v>29</v>
      </c>
      <c r="F823" t="s">
        <v>29</v>
      </c>
      <c r="G823" t="s">
        <v>28</v>
      </c>
      <c r="H823">
        <v>7</v>
      </c>
      <c r="I823" t="s">
        <v>30</v>
      </c>
      <c r="J823" t="s">
        <v>2447</v>
      </c>
      <c r="K823" t="s">
        <v>2448</v>
      </c>
      <c r="M823" s="4" t="s">
        <v>94</v>
      </c>
      <c r="N823" t="s">
        <v>144</v>
      </c>
      <c r="P823" s="3" t="s">
        <v>36</v>
      </c>
      <c r="Q823" s="3" t="s">
        <v>175</v>
      </c>
      <c r="R823">
        <v>1</v>
      </c>
      <c r="S823" s="5">
        <v>45930</v>
      </c>
      <c r="T823" t="s">
        <v>38</v>
      </c>
      <c r="U823">
        <f t="shared" ca="1" si="72"/>
        <v>15</v>
      </c>
      <c r="V823" s="6">
        <f t="shared" ca="1" si="73"/>
        <v>46017</v>
      </c>
      <c r="W823" s="6">
        <f t="shared" ca="1" si="74"/>
        <v>46023</v>
      </c>
      <c r="X823" t="str">
        <f t="shared" ca="1" si="75"/>
        <v>Dec 26 to Jan 1</v>
      </c>
      <c r="Y823" t="str">
        <f t="shared" ca="1" si="76"/>
        <v>⚪ SCHEDULED</v>
      </c>
      <c r="Z823" t="str">
        <f t="shared" ca="1" si="77"/>
        <v>No action needed yet</v>
      </c>
    </row>
    <row r="824" spans="1:26">
      <c r="A824">
        <v>1043850633</v>
      </c>
      <c r="B824" s="3" t="s">
        <v>2449</v>
      </c>
      <c r="C824">
        <v>72</v>
      </c>
      <c r="D824" t="s">
        <v>27</v>
      </c>
      <c r="E824" t="s">
        <v>29</v>
      </c>
      <c r="F824" t="s">
        <v>29</v>
      </c>
      <c r="G824" t="s">
        <v>29</v>
      </c>
      <c r="H824">
        <v>7</v>
      </c>
      <c r="I824" t="s">
        <v>30</v>
      </c>
      <c r="J824" t="s">
        <v>2450</v>
      </c>
      <c r="K824" t="s">
        <v>2451</v>
      </c>
      <c r="L824" t="s">
        <v>88</v>
      </c>
      <c r="M824" s="4" t="s">
        <v>34</v>
      </c>
      <c r="N824" t="s">
        <v>89</v>
      </c>
      <c r="P824" s="3" t="s">
        <v>36</v>
      </c>
      <c r="Q824" s="3" t="s">
        <v>230</v>
      </c>
      <c r="R824">
        <v>1</v>
      </c>
      <c r="S824" s="5">
        <v>45713</v>
      </c>
      <c r="T824" t="s">
        <v>38</v>
      </c>
      <c r="U824">
        <f t="shared" ca="1" si="72"/>
        <v>8</v>
      </c>
      <c r="V824" s="6">
        <f t="shared" ca="1" si="73"/>
        <v>46010</v>
      </c>
      <c r="W824" s="6">
        <f t="shared" ca="1" si="74"/>
        <v>46016</v>
      </c>
      <c r="X824" t="str">
        <f t="shared" ca="1" si="75"/>
        <v>Dec 19 to Dec 25</v>
      </c>
      <c r="Y824" t="str">
        <f t="shared" ca="1" si="76"/>
        <v>🔵 NEXT 2 WEEKS</v>
      </c>
      <c r="Z824" t="str">
        <f t="shared" ca="1" si="77"/>
        <v>Send reminder SMS</v>
      </c>
    </row>
    <row r="825" spans="1:26">
      <c r="A825">
        <v>1044056776</v>
      </c>
      <c r="B825" s="3" t="s">
        <v>2452</v>
      </c>
      <c r="C825">
        <v>38</v>
      </c>
      <c r="D825" t="s">
        <v>47</v>
      </c>
      <c r="E825" t="s">
        <v>29</v>
      </c>
      <c r="F825" t="s">
        <v>28</v>
      </c>
      <c r="G825" t="s">
        <v>28</v>
      </c>
      <c r="H825">
        <v>2</v>
      </c>
      <c r="I825" t="s">
        <v>55</v>
      </c>
      <c r="J825" t="s">
        <v>1504</v>
      </c>
      <c r="K825" t="s">
        <v>2453</v>
      </c>
      <c r="L825" t="s">
        <v>208</v>
      </c>
      <c r="M825" s="4" t="s">
        <v>94</v>
      </c>
      <c r="N825" t="s">
        <v>162</v>
      </c>
      <c r="P825" s="3" t="s">
        <v>36</v>
      </c>
      <c r="Q825" s="3" t="s">
        <v>107</v>
      </c>
      <c r="R825">
        <v>2</v>
      </c>
      <c r="S825" s="5">
        <v>45989</v>
      </c>
      <c r="T825" t="s">
        <v>60</v>
      </c>
      <c r="U825">
        <f t="shared" ca="1" si="72"/>
        <v>44</v>
      </c>
      <c r="V825" s="6">
        <f t="shared" ca="1" si="73"/>
        <v>46046</v>
      </c>
      <c r="W825" s="6">
        <f t="shared" ca="1" si="74"/>
        <v>46052</v>
      </c>
      <c r="X825" t="str">
        <f t="shared" ca="1" si="75"/>
        <v>Jan 24 to Jan 30</v>
      </c>
      <c r="Y825" t="str">
        <f t="shared" ca="1" si="76"/>
        <v>⚪ SCHEDULED</v>
      </c>
      <c r="Z825" t="str">
        <f t="shared" ca="1" si="77"/>
        <v>No action needed yet</v>
      </c>
    </row>
    <row r="826" spans="1:26">
      <c r="A826">
        <v>1044239976</v>
      </c>
      <c r="B826" s="3" t="s">
        <v>2454</v>
      </c>
      <c r="C826">
        <v>52</v>
      </c>
      <c r="D826" t="s">
        <v>27</v>
      </c>
      <c r="E826" t="s">
        <v>28</v>
      </c>
      <c r="F826" t="s">
        <v>28</v>
      </c>
      <c r="G826" t="s">
        <v>28</v>
      </c>
      <c r="H826">
        <v>3</v>
      </c>
      <c r="I826" t="s">
        <v>66</v>
      </c>
      <c r="J826" t="s">
        <v>168</v>
      </c>
      <c r="K826" t="s">
        <v>1038</v>
      </c>
      <c r="L826" t="s">
        <v>170</v>
      </c>
      <c r="M826" s="4" t="s">
        <v>34</v>
      </c>
      <c r="N826" t="s">
        <v>59</v>
      </c>
      <c r="P826" s="3" t="s">
        <v>36</v>
      </c>
      <c r="Q826" s="3" t="s">
        <v>96</v>
      </c>
      <c r="R826">
        <v>2</v>
      </c>
      <c r="S826" s="5">
        <v>45685</v>
      </c>
      <c r="T826" t="s">
        <v>38</v>
      </c>
      <c r="U826">
        <f t="shared" ca="1" si="72"/>
        <v>10</v>
      </c>
      <c r="V826" s="6">
        <f t="shared" ca="1" si="73"/>
        <v>46012</v>
      </c>
      <c r="W826" s="6">
        <f t="shared" ca="1" si="74"/>
        <v>46018</v>
      </c>
      <c r="X826" t="str">
        <f t="shared" ca="1" si="75"/>
        <v>Dec 21 to Dec 27</v>
      </c>
      <c r="Y826" t="str">
        <f t="shared" ca="1" si="76"/>
        <v>🔵 NEXT 2 WEEKS</v>
      </c>
      <c r="Z826" t="str">
        <f t="shared" ca="1" si="77"/>
        <v>Send reminder SMS</v>
      </c>
    </row>
    <row r="827" spans="1:26">
      <c r="A827">
        <v>1044264214</v>
      </c>
      <c r="B827" s="3" t="s">
        <v>2455</v>
      </c>
      <c r="C827">
        <v>64</v>
      </c>
      <c r="D827" t="s">
        <v>47</v>
      </c>
      <c r="E827" t="s">
        <v>29</v>
      </c>
      <c r="F827" t="s">
        <v>28</v>
      </c>
      <c r="G827" t="s">
        <v>28</v>
      </c>
      <c r="H827">
        <v>5</v>
      </c>
      <c r="I827" t="s">
        <v>30</v>
      </c>
      <c r="J827" t="s">
        <v>2456</v>
      </c>
      <c r="K827" t="s">
        <v>2457</v>
      </c>
      <c r="L827" t="s">
        <v>105</v>
      </c>
      <c r="M827" s="4" t="s">
        <v>34</v>
      </c>
      <c r="N827" t="s">
        <v>162</v>
      </c>
      <c r="P827" s="3" t="s">
        <v>36</v>
      </c>
      <c r="Q827" s="3" t="s">
        <v>84</v>
      </c>
      <c r="R827">
        <v>1</v>
      </c>
      <c r="S827" s="5">
        <v>45825</v>
      </c>
      <c r="T827" t="s">
        <v>38</v>
      </c>
      <c r="U827">
        <f t="shared" ca="1" si="72"/>
        <v>0</v>
      </c>
      <c r="V827" s="6">
        <f t="shared" ca="1" si="73"/>
        <v>46002</v>
      </c>
      <c r="W827" s="6">
        <f t="shared" ca="1" si="74"/>
        <v>46008</v>
      </c>
      <c r="X827" t="str">
        <f t="shared" ca="1" si="75"/>
        <v>Dec 11 to Dec 17</v>
      </c>
      <c r="Y827" t="str">
        <f t="shared" ca="1" si="76"/>
        <v>🟡 IMMINENT (within 3 days)</v>
      </c>
      <c r="Z827" t="str">
        <f t="shared" ca="1" si="77"/>
        <v>Prepare medications TODAY</v>
      </c>
    </row>
    <row r="828" spans="1:26">
      <c r="A828">
        <v>1044264222</v>
      </c>
      <c r="B828" s="3" t="s">
        <v>2458</v>
      </c>
      <c r="C828">
        <v>62</v>
      </c>
      <c r="D828" t="s">
        <v>27</v>
      </c>
      <c r="E828" t="s">
        <v>29</v>
      </c>
      <c r="F828" t="s">
        <v>28</v>
      </c>
      <c r="G828" t="s">
        <v>29</v>
      </c>
      <c r="H828">
        <v>5</v>
      </c>
      <c r="I828" t="s">
        <v>30</v>
      </c>
      <c r="J828" t="s">
        <v>2459</v>
      </c>
      <c r="K828" t="s">
        <v>2460</v>
      </c>
      <c r="L828" t="s">
        <v>208</v>
      </c>
      <c r="M828" s="4" t="s">
        <v>34</v>
      </c>
      <c r="N828" t="s">
        <v>51</v>
      </c>
      <c r="P828" s="3" t="s">
        <v>36</v>
      </c>
      <c r="Q828" s="3" t="s">
        <v>230</v>
      </c>
      <c r="R828">
        <v>2</v>
      </c>
      <c r="S828" s="5">
        <v>45826</v>
      </c>
      <c r="T828" t="s">
        <v>38</v>
      </c>
      <c r="U828">
        <f t="shared" ca="1" si="72"/>
        <v>1</v>
      </c>
      <c r="V828" s="6">
        <f t="shared" ca="1" si="73"/>
        <v>46003</v>
      </c>
      <c r="W828" s="6">
        <f t="shared" ca="1" si="74"/>
        <v>46009</v>
      </c>
      <c r="X828" t="str">
        <f t="shared" ca="1" si="75"/>
        <v>Dec 12 to Dec 18</v>
      </c>
      <c r="Y828" t="str">
        <f t="shared" ca="1" si="76"/>
        <v>🟡 IMMINENT (within 3 days)</v>
      </c>
      <c r="Z828" t="str">
        <f t="shared" ca="1" si="77"/>
        <v>Prepare medications TODAY</v>
      </c>
    </row>
    <row r="829" spans="1:26">
      <c r="A829">
        <v>1044359907</v>
      </c>
      <c r="B829" s="3" t="s">
        <v>2461</v>
      </c>
      <c r="C829">
        <v>60</v>
      </c>
      <c r="D829" t="s">
        <v>27</v>
      </c>
      <c r="E829" t="s">
        <v>29</v>
      </c>
      <c r="F829" t="s">
        <v>29</v>
      </c>
      <c r="G829" t="s">
        <v>29</v>
      </c>
      <c r="H829">
        <v>6</v>
      </c>
      <c r="I829" t="s">
        <v>30</v>
      </c>
      <c r="J829" t="s">
        <v>2462</v>
      </c>
      <c r="K829" t="s">
        <v>2463</v>
      </c>
      <c r="L829" t="s">
        <v>234</v>
      </c>
      <c r="M829" s="4" t="s">
        <v>34</v>
      </c>
      <c r="N829" t="s">
        <v>201</v>
      </c>
      <c r="P829" s="3" t="s">
        <v>36</v>
      </c>
      <c r="Q829" s="3" t="s">
        <v>90</v>
      </c>
      <c r="R829">
        <v>2</v>
      </c>
      <c r="S829" s="5">
        <v>45673</v>
      </c>
      <c r="T829" t="s">
        <v>38</v>
      </c>
      <c r="U829">
        <f t="shared" ca="1" si="72"/>
        <v>28</v>
      </c>
      <c r="V829" s="6">
        <f t="shared" ca="1" si="73"/>
        <v>46030</v>
      </c>
      <c r="W829" s="6">
        <f t="shared" ca="1" si="74"/>
        <v>46036</v>
      </c>
      <c r="X829" t="str">
        <f t="shared" ca="1" si="75"/>
        <v>Jan 8 to Jan 14</v>
      </c>
      <c r="Y829" t="str">
        <f t="shared" ca="1" si="76"/>
        <v>⚪ SCHEDULED</v>
      </c>
      <c r="Z829" t="str">
        <f t="shared" ca="1" si="77"/>
        <v>No action needed yet</v>
      </c>
    </row>
    <row r="830" spans="1:26">
      <c r="A830">
        <v>1044524054</v>
      </c>
      <c r="B830" s="3" t="s">
        <v>2464</v>
      </c>
      <c r="C830">
        <v>64</v>
      </c>
      <c r="D830" t="s">
        <v>27</v>
      </c>
      <c r="E830" t="s">
        <v>29</v>
      </c>
      <c r="F830" t="s">
        <v>29</v>
      </c>
      <c r="G830" t="s">
        <v>29</v>
      </c>
      <c r="H830">
        <v>7</v>
      </c>
      <c r="I830" t="s">
        <v>30</v>
      </c>
      <c r="J830" t="s">
        <v>2465</v>
      </c>
      <c r="K830" t="s">
        <v>2466</v>
      </c>
      <c r="L830" t="s">
        <v>69</v>
      </c>
      <c r="M830" s="4" t="s">
        <v>34</v>
      </c>
      <c r="N830" t="s">
        <v>127</v>
      </c>
      <c r="P830" s="3" t="s">
        <v>36</v>
      </c>
      <c r="Q830" s="3" t="s">
        <v>45</v>
      </c>
      <c r="R830">
        <v>2</v>
      </c>
      <c r="S830" s="5">
        <v>45813</v>
      </c>
      <c r="T830" t="s">
        <v>38</v>
      </c>
      <c r="U830">
        <f t="shared" ca="1" si="72"/>
        <v>18</v>
      </c>
      <c r="V830" s="6">
        <f t="shared" ca="1" si="73"/>
        <v>46020</v>
      </c>
      <c r="W830" s="6">
        <f t="shared" ca="1" si="74"/>
        <v>46026</v>
      </c>
      <c r="X830" t="str">
        <f t="shared" ca="1" si="75"/>
        <v>Dec 29 to Jan 4</v>
      </c>
      <c r="Y830" t="str">
        <f t="shared" ca="1" si="76"/>
        <v>⚪ SCHEDULED</v>
      </c>
      <c r="Z830" t="str">
        <f t="shared" ca="1" si="77"/>
        <v>No action needed yet</v>
      </c>
    </row>
    <row r="831" spans="1:26">
      <c r="A831">
        <v>1044605002</v>
      </c>
      <c r="B831" s="3" t="s">
        <v>2467</v>
      </c>
      <c r="C831">
        <v>65</v>
      </c>
      <c r="D831" t="s">
        <v>47</v>
      </c>
      <c r="E831" t="s">
        <v>28</v>
      </c>
      <c r="F831" t="s">
        <v>29</v>
      </c>
      <c r="G831" t="s">
        <v>29</v>
      </c>
      <c r="H831">
        <v>6</v>
      </c>
      <c r="I831" t="s">
        <v>30</v>
      </c>
      <c r="J831" t="s">
        <v>2468</v>
      </c>
      <c r="K831" t="s">
        <v>2469</v>
      </c>
      <c r="M831" s="4" t="s">
        <v>43</v>
      </c>
      <c r="N831" t="s">
        <v>35</v>
      </c>
      <c r="P831" s="3" t="s">
        <v>36</v>
      </c>
      <c r="Q831" s="3" t="s">
        <v>313</v>
      </c>
      <c r="R831">
        <v>1</v>
      </c>
      <c r="S831" s="5">
        <v>45927</v>
      </c>
      <c r="T831" t="s">
        <v>38</v>
      </c>
      <c r="U831">
        <f t="shared" ca="1" si="72"/>
        <v>12</v>
      </c>
      <c r="V831" s="6">
        <f t="shared" ca="1" si="73"/>
        <v>46014</v>
      </c>
      <c r="W831" s="6">
        <f t="shared" ca="1" si="74"/>
        <v>46020</v>
      </c>
      <c r="X831" t="str">
        <f t="shared" ca="1" si="75"/>
        <v>Dec 23 to Dec 29</v>
      </c>
      <c r="Y831" t="str">
        <f t="shared" ca="1" si="76"/>
        <v>🔵 NEXT 2 WEEKS</v>
      </c>
      <c r="Z831" t="str">
        <f t="shared" ca="1" si="77"/>
        <v>Send reminder SMS</v>
      </c>
    </row>
    <row r="832" spans="1:26">
      <c r="A832">
        <v>1044679056</v>
      </c>
      <c r="B832" s="3" t="s">
        <v>2470</v>
      </c>
      <c r="C832">
        <v>66</v>
      </c>
      <c r="D832" t="s">
        <v>47</v>
      </c>
      <c r="E832" t="s">
        <v>29</v>
      </c>
      <c r="F832" t="s">
        <v>28</v>
      </c>
      <c r="G832" t="s">
        <v>29</v>
      </c>
      <c r="H832">
        <v>6</v>
      </c>
      <c r="I832" t="s">
        <v>30</v>
      </c>
      <c r="J832" t="s">
        <v>2471</v>
      </c>
      <c r="K832" t="s">
        <v>2472</v>
      </c>
      <c r="M832" s="4" t="s">
        <v>94</v>
      </c>
      <c r="N832" t="s">
        <v>95</v>
      </c>
      <c r="P832" s="3" t="s">
        <v>36</v>
      </c>
      <c r="Q832" s="3" t="s">
        <v>84</v>
      </c>
      <c r="R832">
        <v>2</v>
      </c>
      <c r="S832" s="5">
        <v>45956</v>
      </c>
      <c r="T832" t="s">
        <v>38</v>
      </c>
      <c r="U832">
        <f t="shared" ca="1" si="72"/>
        <v>11</v>
      </c>
      <c r="V832" s="6">
        <f t="shared" ca="1" si="73"/>
        <v>46013</v>
      </c>
      <c r="W832" s="6">
        <f t="shared" ca="1" si="74"/>
        <v>46019</v>
      </c>
      <c r="X832" t="str">
        <f t="shared" ca="1" si="75"/>
        <v>Dec 22 to Dec 28</v>
      </c>
      <c r="Y832" t="str">
        <f t="shared" ca="1" si="76"/>
        <v>🔵 NEXT 2 WEEKS</v>
      </c>
      <c r="Z832" t="str">
        <f t="shared" ca="1" si="77"/>
        <v>Send reminder SMS</v>
      </c>
    </row>
    <row r="833" spans="1:26">
      <c r="A833">
        <v>1044734653</v>
      </c>
      <c r="B833" s="3" t="s">
        <v>2473</v>
      </c>
      <c r="C833">
        <v>64</v>
      </c>
      <c r="D833" t="s">
        <v>27</v>
      </c>
      <c r="E833" t="s">
        <v>28</v>
      </c>
      <c r="F833" t="s">
        <v>28</v>
      </c>
      <c r="G833" t="s">
        <v>29</v>
      </c>
      <c r="H833">
        <v>4</v>
      </c>
      <c r="I833" t="s">
        <v>66</v>
      </c>
      <c r="J833" t="s">
        <v>519</v>
      </c>
      <c r="K833" t="s">
        <v>1397</v>
      </c>
      <c r="L833" t="s">
        <v>114</v>
      </c>
      <c r="M833" s="4" t="s">
        <v>43</v>
      </c>
      <c r="N833" t="s">
        <v>140</v>
      </c>
      <c r="P833" s="3" t="s">
        <v>36</v>
      </c>
      <c r="Q833" s="3" t="s">
        <v>528</v>
      </c>
      <c r="R833">
        <v>2</v>
      </c>
      <c r="S833" s="5">
        <v>45925</v>
      </c>
      <c r="T833" t="s">
        <v>38</v>
      </c>
      <c r="U833">
        <f t="shared" ca="1" si="72"/>
        <v>10</v>
      </c>
      <c r="V833" s="6">
        <f t="shared" ca="1" si="73"/>
        <v>46012</v>
      </c>
      <c r="W833" s="6">
        <f t="shared" ca="1" si="74"/>
        <v>46018</v>
      </c>
      <c r="X833" t="str">
        <f t="shared" ca="1" si="75"/>
        <v>Dec 21 to Dec 27</v>
      </c>
      <c r="Y833" t="str">
        <f t="shared" ca="1" si="76"/>
        <v>🔵 NEXT 2 WEEKS</v>
      </c>
      <c r="Z833" t="str">
        <f t="shared" ca="1" si="77"/>
        <v>Send reminder SMS</v>
      </c>
    </row>
    <row r="834" spans="1:26">
      <c r="A834">
        <v>1044956082</v>
      </c>
      <c r="B834" s="3" t="s">
        <v>2474</v>
      </c>
      <c r="C834">
        <v>61</v>
      </c>
      <c r="D834" t="s">
        <v>47</v>
      </c>
      <c r="E834" t="s">
        <v>28</v>
      </c>
      <c r="F834" t="s">
        <v>29</v>
      </c>
      <c r="G834" t="s">
        <v>28</v>
      </c>
      <c r="H834">
        <v>5</v>
      </c>
      <c r="I834" t="s">
        <v>30</v>
      </c>
      <c r="J834" t="s">
        <v>2475</v>
      </c>
      <c r="K834" t="s">
        <v>2476</v>
      </c>
      <c r="L834" t="s">
        <v>2477</v>
      </c>
      <c r="M834" s="4" t="s">
        <v>34</v>
      </c>
      <c r="N834" t="s">
        <v>64</v>
      </c>
      <c r="P834" s="3" t="s">
        <v>36</v>
      </c>
      <c r="Q834" s="3" t="s">
        <v>969</v>
      </c>
      <c r="R834">
        <v>1</v>
      </c>
      <c r="S834" s="5">
        <v>45451</v>
      </c>
      <c r="T834" t="s">
        <v>38</v>
      </c>
      <c r="U834">
        <f t="shared" ref="U834:U897" ca="1" si="78">IF(S834&gt;=TODAY(),S834,S834+CEILING((TODAY()-S834)/IF(T834="Monthly",30,IF(T834="Bi-Monthly",60,90)),1)*IF(T834="Monthly",30,IF(T834="Bi-Monthly",60,90)))-TODAY()</f>
        <v>16</v>
      </c>
      <c r="V834" s="6">
        <f t="shared" ref="V834:V897" ca="1" si="79">IF(S834&gt;=TODAY(),S834,S834+CEILING((TODAY()-S834)/IF(T834="Monthly",30,IF(T834="Bi-Monthly",60,90)),1)*IF(T834="Monthly",30,IF(T834="Bi-Monthly",60,90)))-3</f>
        <v>46018</v>
      </c>
      <c r="W834" s="6">
        <f t="shared" ref="W834:W897" ca="1" si="80">IF(S834&gt;=TODAY(),S834,S834+CEILING((TODAY()-S834)/IF(T834="Monthly",30,IF(T834="Bi-Monthly",60,90)),1)*IF(T834="Monthly",30,IF(T834="Bi-Monthly",60,90)))+3</f>
        <v>46024</v>
      </c>
      <c r="X834" t="str">
        <f t="shared" ref="X834:X897" ca="1" si="81">TEXT(V834,"MMM D")&amp;" to "&amp;TEXT(W834,"MMM D")</f>
        <v>Dec 27 to Jan 2</v>
      </c>
      <c r="Y834" t="str">
        <f t="shared" ref="Y834:Y897" ca="1" si="82">IF(U834&lt;=3,"🟡 IMMINENT (within 3 days)",IF(U834&lt;=7,"🟢 THIS WEEK",IF(U834&lt;=14,"🔵 NEXT 2 WEEKS","⚪ SCHEDULED")))</f>
        <v>⚪ SCHEDULED</v>
      </c>
      <c r="Z834" t="str">
        <f t="shared" ref="Z834:Z897" ca="1" si="83">IF(U834&lt;=3,"Prepare medications TODAY",IF(U834&lt;=7,"Confirm appointment",IF(U834&lt;=14,"Send reminder SMS","No action needed yet")))</f>
        <v>No action needed yet</v>
      </c>
    </row>
    <row r="835" spans="1:26">
      <c r="A835">
        <v>1045017611</v>
      </c>
      <c r="B835" s="3" t="s">
        <v>2478</v>
      </c>
      <c r="C835">
        <v>60</v>
      </c>
      <c r="D835" t="s">
        <v>27</v>
      </c>
      <c r="E835" t="s">
        <v>28</v>
      </c>
      <c r="F835" t="s">
        <v>28</v>
      </c>
      <c r="G835" t="s">
        <v>29</v>
      </c>
      <c r="H835">
        <v>5</v>
      </c>
      <c r="I835" t="s">
        <v>30</v>
      </c>
      <c r="J835" t="s">
        <v>2479</v>
      </c>
      <c r="K835" t="s">
        <v>2480</v>
      </c>
      <c r="L835" t="s">
        <v>33</v>
      </c>
      <c r="M835" s="4" t="s">
        <v>43</v>
      </c>
      <c r="N835" t="s">
        <v>794</v>
      </c>
      <c r="P835" s="3" t="s">
        <v>36</v>
      </c>
      <c r="Q835" s="3" t="s">
        <v>90</v>
      </c>
      <c r="R835">
        <v>2</v>
      </c>
      <c r="S835" s="5">
        <v>45856</v>
      </c>
      <c r="T835" t="s">
        <v>38</v>
      </c>
      <c r="U835">
        <f t="shared" ca="1" si="78"/>
        <v>1</v>
      </c>
      <c r="V835" s="6">
        <f t="shared" ca="1" si="79"/>
        <v>46003</v>
      </c>
      <c r="W835" s="6">
        <f t="shared" ca="1" si="80"/>
        <v>46009</v>
      </c>
      <c r="X835" t="str">
        <f t="shared" ca="1" si="81"/>
        <v>Dec 12 to Dec 18</v>
      </c>
      <c r="Y835" t="str">
        <f t="shared" ca="1" si="82"/>
        <v>🟡 IMMINENT (within 3 days)</v>
      </c>
      <c r="Z835" t="str">
        <f t="shared" ca="1" si="83"/>
        <v>Prepare medications TODAY</v>
      </c>
    </row>
    <row r="836" spans="1:26">
      <c r="A836">
        <v>1045096201</v>
      </c>
      <c r="B836" s="3" t="s">
        <v>2481</v>
      </c>
      <c r="C836">
        <v>62</v>
      </c>
      <c r="D836" t="s">
        <v>47</v>
      </c>
      <c r="E836" t="s">
        <v>29</v>
      </c>
      <c r="F836" t="s">
        <v>28</v>
      </c>
      <c r="G836" t="s">
        <v>28</v>
      </c>
      <c r="H836">
        <v>4</v>
      </c>
      <c r="I836" t="s">
        <v>66</v>
      </c>
      <c r="J836" t="s">
        <v>2035</v>
      </c>
      <c r="K836" t="s">
        <v>2482</v>
      </c>
      <c r="M836" s="4" t="s">
        <v>43</v>
      </c>
      <c r="N836" t="s">
        <v>148</v>
      </c>
      <c r="P836" s="3" t="s">
        <v>36</v>
      </c>
      <c r="Q836" s="3" t="s">
        <v>313</v>
      </c>
      <c r="R836">
        <v>1</v>
      </c>
      <c r="S836" s="5">
        <v>45917</v>
      </c>
      <c r="T836" t="s">
        <v>38</v>
      </c>
      <c r="U836">
        <f t="shared" ca="1" si="78"/>
        <v>2</v>
      </c>
      <c r="V836" s="6">
        <f t="shared" ca="1" si="79"/>
        <v>46004</v>
      </c>
      <c r="W836" s="6">
        <f t="shared" ca="1" si="80"/>
        <v>46010</v>
      </c>
      <c r="X836" t="str">
        <f t="shared" ca="1" si="81"/>
        <v>Dec 13 to Dec 19</v>
      </c>
      <c r="Y836" t="str">
        <f t="shared" ca="1" si="82"/>
        <v>🟡 IMMINENT (within 3 days)</v>
      </c>
      <c r="Z836" t="str">
        <f t="shared" ca="1" si="83"/>
        <v>Prepare medications TODAY</v>
      </c>
    </row>
    <row r="837" spans="1:26">
      <c r="A837">
        <v>1045200357</v>
      </c>
      <c r="B837" s="3" t="s">
        <v>2483</v>
      </c>
      <c r="C837">
        <v>42</v>
      </c>
      <c r="D837" t="s">
        <v>47</v>
      </c>
      <c r="E837" t="s">
        <v>28</v>
      </c>
      <c r="F837" t="s">
        <v>29</v>
      </c>
      <c r="G837" t="s">
        <v>29</v>
      </c>
      <c r="H837">
        <v>3</v>
      </c>
      <c r="I837" t="s">
        <v>66</v>
      </c>
      <c r="J837" t="s">
        <v>2484</v>
      </c>
      <c r="K837" t="s">
        <v>2485</v>
      </c>
      <c r="M837" s="4" t="s">
        <v>94</v>
      </c>
      <c r="N837" t="s">
        <v>35</v>
      </c>
      <c r="P837" s="3" t="s">
        <v>36</v>
      </c>
      <c r="Q837" s="3" t="s">
        <v>230</v>
      </c>
      <c r="R837">
        <v>2</v>
      </c>
      <c r="S837" s="5">
        <v>45941</v>
      </c>
      <c r="T837" t="s">
        <v>38</v>
      </c>
      <c r="U837">
        <f t="shared" ca="1" si="78"/>
        <v>26</v>
      </c>
      <c r="V837" s="6">
        <f t="shared" ca="1" si="79"/>
        <v>46028</v>
      </c>
      <c r="W837" s="6">
        <f t="shared" ca="1" si="80"/>
        <v>46034</v>
      </c>
      <c r="X837" t="str">
        <f t="shared" ca="1" si="81"/>
        <v>Jan 6 to Jan 12</v>
      </c>
      <c r="Y837" t="str">
        <f t="shared" ca="1" si="82"/>
        <v>⚪ SCHEDULED</v>
      </c>
      <c r="Z837" t="str">
        <f t="shared" ca="1" si="83"/>
        <v>No action needed yet</v>
      </c>
    </row>
    <row r="838" spans="1:26">
      <c r="A838">
        <v>1045490800</v>
      </c>
      <c r="B838" s="3" t="s">
        <v>2486</v>
      </c>
      <c r="C838">
        <v>61</v>
      </c>
      <c r="D838" t="s">
        <v>47</v>
      </c>
      <c r="E838" t="s">
        <v>29</v>
      </c>
      <c r="F838" t="s">
        <v>29</v>
      </c>
      <c r="G838" t="s">
        <v>28</v>
      </c>
      <c r="H838">
        <v>5</v>
      </c>
      <c r="I838" t="s">
        <v>30</v>
      </c>
      <c r="J838" t="s">
        <v>2487</v>
      </c>
      <c r="K838" t="s">
        <v>2488</v>
      </c>
      <c r="M838" s="4" t="s">
        <v>34</v>
      </c>
      <c r="N838" t="s">
        <v>144</v>
      </c>
      <c r="P838" s="3" t="s">
        <v>36</v>
      </c>
      <c r="Q838" s="3" t="s">
        <v>90</v>
      </c>
      <c r="R838">
        <v>2</v>
      </c>
      <c r="S838" s="5">
        <v>45450</v>
      </c>
      <c r="T838" t="s">
        <v>38</v>
      </c>
      <c r="U838">
        <f t="shared" ca="1" si="78"/>
        <v>15</v>
      </c>
      <c r="V838" s="6">
        <f t="shared" ca="1" si="79"/>
        <v>46017</v>
      </c>
      <c r="W838" s="6">
        <f t="shared" ca="1" si="80"/>
        <v>46023</v>
      </c>
      <c r="X838" t="str">
        <f t="shared" ca="1" si="81"/>
        <v>Dec 26 to Jan 1</v>
      </c>
      <c r="Y838" t="str">
        <f t="shared" ca="1" si="82"/>
        <v>⚪ SCHEDULED</v>
      </c>
      <c r="Z838" t="str">
        <f t="shared" ca="1" si="83"/>
        <v>No action needed yet</v>
      </c>
    </row>
    <row r="839" spans="1:26">
      <c r="A839">
        <v>1045490990</v>
      </c>
      <c r="B839" s="3" t="s">
        <v>2489</v>
      </c>
      <c r="C839">
        <v>43</v>
      </c>
      <c r="D839" t="s">
        <v>47</v>
      </c>
      <c r="E839" t="s">
        <v>28</v>
      </c>
      <c r="F839" t="s">
        <v>29</v>
      </c>
      <c r="G839" t="s">
        <v>28</v>
      </c>
      <c r="H839">
        <v>3</v>
      </c>
      <c r="I839" t="s">
        <v>66</v>
      </c>
      <c r="J839" t="s">
        <v>2490</v>
      </c>
      <c r="K839" t="s">
        <v>2491</v>
      </c>
      <c r="L839" t="s">
        <v>33</v>
      </c>
      <c r="M839" s="4" t="s">
        <v>34</v>
      </c>
      <c r="N839" t="s">
        <v>64</v>
      </c>
      <c r="P839" s="3" t="s">
        <v>36</v>
      </c>
      <c r="Q839" s="3" t="s">
        <v>107</v>
      </c>
      <c r="R839">
        <v>2</v>
      </c>
      <c r="S839" s="5">
        <v>45682</v>
      </c>
      <c r="T839" t="s">
        <v>38</v>
      </c>
      <c r="U839">
        <f t="shared" ca="1" si="78"/>
        <v>7</v>
      </c>
      <c r="V839" s="6">
        <f t="shared" ca="1" si="79"/>
        <v>46009</v>
      </c>
      <c r="W839" s="6">
        <f t="shared" ca="1" si="80"/>
        <v>46015</v>
      </c>
      <c r="X839" t="str">
        <f t="shared" ca="1" si="81"/>
        <v>Dec 18 to Dec 24</v>
      </c>
      <c r="Y839" t="str">
        <f t="shared" ca="1" si="82"/>
        <v>🟢 THIS WEEK</v>
      </c>
      <c r="Z839" t="str">
        <f t="shared" ca="1" si="83"/>
        <v>Confirm appointment</v>
      </c>
    </row>
    <row r="840" spans="1:26">
      <c r="A840">
        <v>1045581087</v>
      </c>
      <c r="B840" s="3" t="s">
        <v>2492</v>
      </c>
      <c r="C840">
        <v>55</v>
      </c>
      <c r="D840" t="s">
        <v>47</v>
      </c>
      <c r="E840" t="s">
        <v>29</v>
      </c>
      <c r="F840" t="s">
        <v>29</v>
      </c>
      <c r="G840" t="s">
        <v>28</v>
      </c>
      <c r="H840">
        <v>5</v>
      </c>
      <c r="I840" t="s">
        <v>30</v>
      </c>
      <c r="J840" t="s">
        <v>2493</v>
      </c>
      <c r="K840" t="s">
        <v>2494</v>
      </c>
      <c r="L840" t="s">
        <v>58</v>
      </c>
      <c r="M840" s="4" t="s">
        <v>34</v>
      </c>
      <c r="N840" t="s">
        <v>119</v>
      </c>
      <c r="P840" s="3" t="s">
        <v>36</v>
      </c>
      <c r="Q840" s="3" t="s">
        <v>123</v>
      </c>
      <c r="R840">
        <v>2</v>
      </c>
      <c r="S840" s="5">
        <v>45729</v>
      </c>
      <c r="T840" t="s">
        <v>38</v>
      </c>
      <c r="U840">
        <f t="shared" ca="1" si="78"/>
        <v>24</v>
      </c>
      <c r="V840" s="6">
        <f t="shared" ca="1" si="79"/>
        <v>46026</v>
      </c>
      <c r="W840" s="6">
        <f t="shared" ca="1" si="80"/>
        <v>46032</v>
      </c>
      <c r="X840" t="str">
        <f t="shared" ca="1" si="81"/>
        <v>Jan 4 to Jan 10</v>
      </c>
      <c r="Y840" t="str">
        <f t="shared" ca="1" si="82"/>
        <v>⚪ SCHEDULED</v>
      </c>
      <c r="Z840" t="str">
        <f t="shared" ca="1" si="83"/>
        <v>No action needed yet</v>
      </c>
    </row>
    <row r="841" spans="1:26">
      <c r="A841">
        <v>1045655725</v>
      </c>
      <c r="B841" s="3" t="s">
        <v>2495</v>
      </c>
      <c r="C841">
        <v>69</v>
      </c>
      <c r="D841" t="s">
        <v>47</v>
      </c>
      <c r="E841" t="s">
        <v>29</v>
      </c>
      <c r="F841" t="s">
        <v>29</v>
      </c>
      <c r="G841" t="s">
        <v>29</v>
      </c>
      <c r="H841">
        <v>7</v>
      </c>
      <c r="I841" t="s">
        <v>30</v>
      </c>
      <c r="J841" t="s">
        <v>2496</v>
      </c>
      <c r="K841" t="s">
        <v>2497</v>
      </c>
      <c r="L841" t="s">
        <v>166</v>
      </c>
      <c r="M841" s="4" t="s">
        <v>43</v>
      </c>
      <c r="N841" t="s">
        <v>558</v>
      </c>
      <c r="P841" s="3" t="s">
        <v>36</v>
      </c>
      <c r="Q841" s="3" t="s">
        <v>90</v>
      </c>
      <c r="R841">
        <v>2</v>
      </c>
      <c r="S841" s="5">
        <v>45860</v>
      </c>
      <c r="T841" t="s">
        <v>38</v>
      </c>
      <c r="U841">
        <f t="shared" ca="1" si="78"/>
        <v>5</v>
      </c>
      <c r="V841" s="6">
        <f t="shared" ca="1" si="79"/>
        <v>46007</v>
      </c>
      <c r="W841" s="6">
        <f t="shared" ca="1" si="80"/>
        <v>46013</v>
      </c>
      <c r="X841" t="str">
        <f t="shared" ca="1" si="81"/>
        <v>Dec 16 to Dec 22</v>
      </c>
      <c r="Y841" t="str">
        <f t="shared" ca="1" si="82"/>
        <v>🟢 THIS WEEK</v>
      </c>
      <c r="Z841" t="str">
        <f t="shared" ca="1" si="83"/>
        <v>Confirm appointment</v>
      </c>
    </row>
    <row r="842" spans="1:26">
      <c r="A842">
        <v>1045679758</v>
      </c>
      <c r="B842" s="3" t="s">
        <v>2498</v>
      </c>
      <c r="C842">
        <v>57</v>
      </c>
      <c r="D842" t="s">
        <v>27</v>
      </c>
      <c r="E842" t="s">
        <v>29</v>
      </c>
      <c r="F842" t="s">
        <v>28</v>
      </c>
      <c r="G842" t="s">
        <v>29</v>
      </c>
      <c r="H842">
        <v>4</v>
      </c>
      <c r="I842" t="s">
        <v>66</v>
      </c>
      <c r="J842" t="s">
        <v>2499</v>
      </c>
      <c r="K842" t="s">
        <v>2500</v>
      </c>
      <c r="L842" t="s">
        <v>269</v>
      </c>
      <c r="M842" s="4" t="s">
        <v>43</v>
      </c>
      <c r="N842" t="s">
        <v>51</v>
      </c>
      <c r="P842" s="3" t="s">
        <v>36</v>
      </c>
      <c r="Q842" s="3" t="s">
        <v>84</v>
      </c>
      <c r="R842">
        <v>1</v>
      </c>
      <c r="S842" s="5">
        <v>45855</v>
      </c>
      <c r="T842" t="s">
        <v>38</v>
      </c>
      <c r="U842">
        <f t="shared" ca="1" si="78"/>
        <v>0</v>
      </c>
      <c r="V842" s="6">
        <f t="shared" ca="1" si="79"/>
        <v>46002</v>
      </c>
      <c r="W842" s="6">
        <f t="shared" ca="1" si="80"/>
        <v>46008</v>
      </c>
      <c r="X842" t="str">
        <f t="shared" ca="1" si="81"/>
        <v>Dec 11 to Dec 17</v>
      </c>
      <c r="Y842" t="str">
        <f t="shared" ca="1" si="82"/>
        <v>🟡 IMMINENT (within 3 days)</v>
      </c>
      <c r="Z842" t="str">
        <f t="shared" ca="1" si="83"/>
        <v>Prepare medications TODAY</v>
      </c>
    </row>
    <row r="843" spans="1:26">
      <c r="A843">
        <v>1045695788</v>
      </c>
      <c r="B843" s="3" t="s">
        <v>2501</v>
      </c>
      <c r="C843">
        <v>52</v>
      </c>
      <c r="D843" t="s">
        <v>47</v>
      </c>
      <c r="E843" t="s">
        <v>28</v>
      </c>
      <c r="F843" t="s">
        <v>29</v>
      </c>
      <c r="G843" t="s">
        <v>28</v>
      </c>
      <c r="H843">
        <v>4</v>
      </c>
      <c r="I843" t="s">
        <v>66</v>
      </c>
      <c r="J843" t="s">
        <v>112</v>
      </c>
      <c r="K843" t="s">
        <v>2502</v>
      </c>
      <c r="L843" t="s">
        <v>114</v>
      </c>
      <c r="M843" s="4" t="s">
        <v>94</v>
      </c>
      <c r="N843" t="s">
        <v>64</v>
      </c>
      <c r="P843" s="3" t="s">
        <v>36</v>
      </c>
      <c r="Q843" t="s">
        <v>54</v>
      </c>
      <c r="R843">
        <v>2</v>
      </c>
      <c r="S843" s="5">
        <v>45946</v>
      </c>
      <c r="T843" t="s">
        <v>38</v>
      </c>
      <c r="U843">
        <f t="shared" ca="1" si="78"/>
        <v>1</v>
      </c>
      <c r="V843" s="6">
        <f t="shared" ca="1" si="79"/>
        <v>46003</v>
      </c>
      <c r="W843" s="6">
        <f t="shared" ca="1" si="80"/>
        <v>46009</v>
      </c>
      <c r="X843" t="str">
        <f t="shared" ca="1" si="81"/>
        <v>Dec 12 to Dec 18</v>
      </c>
      <c r="Y843" t="str">
        <f t="shared" ca="1" si="82"/>
        <v>🟡 IMMINENT (within 3 days)</v>
      </c>
      <c r="Z843" t="str">
        <f t="shared" ca="1" si="83"/>
        <v>Prepare medications TODAY</v>
      </c>
    </row>
    <row r="844" spans="1:26">
      <c r="A844">
        <v>1045710702</v>
      </c>
      <c r="B844" s="3" t="s">
        <v>2503</v>
      </c>
      <c r="C844">
        <v>65</v>
      </c>
      <c r="D844" t="s">
        <v>47</v>
      </c>
      <c r="E844" t="s">
        <v>54</v>
      </c>
      <c r="F844" t="s">
        <v>54</v>
      </c>
      <c r="G844" t="s">
        <v>54</v>
      </c>
      <c r="H844">
        <v>3</v>
      </c>
      <c r="I844" t="s">
        <v>66</v>
      </c>
      <c r="J844" t="s">
        <v>1483</v>
      </c>
      <c r="K844" t="s">
        <v>2504</v>
      </c>
      <c r="M844" s="4" t="s">
        <v>43</v>
      </c>
      <c r="N844" t="s">
        <v>59</v>
      </c>
      <c r="P844" s="3" t="s">
        <v>36</v>
      </c>
      <c r="Q844" s="3" t="s">
        <v>107</v>
      </c>
      <c r="R844">
        <v>1</v>
      </c>
      <c r="S844" s="5">
        <v>45905</v>
      </c>
      <c r="T844" t="s">
        <v>38</v>
      </c>
      <c r="U844">
        <f t="shared" ca="1" si="78"/>
        <v>20</v>
      </c>
      <c r="V844" s="6">
        <f t="shared" ca="1" si="79"/>
        <v>46022</v>
      </c>
      <c r="W844" s="6">
        <f t="shared" ca="1" si="80"/>
        <v>46028</v>
      </c>
      <c r="X844" t="str">
        <f t="shared" ca="1" si="81"/>
        <v>Dec 31 to Jan 6</v>
      </c>
      <c r="Y844" t="str">
        <f t="shared" ca="1" si="82"/>
        <v>⚪ SCHEDULED</v>
      </c>
      <c r="Z844" t="str">
        <f t="shared" ca="1" si="83"/>
        <v>No action needed yet</v>
      </c>
    </row>
    <row r="845" spans="1:26">
      <c r="A845">
        <v>1045782602</v>
      </c>
      <c r="B845" s="3" t="s">
        <v>2505</v>
      </c>
      <c r="C845">
        <v>66</v>
      </c>
      <c r="D845" t="s">
        <v>47</v>
      </c>
      <c r="E845" t="s">
        <v>29</v>
      </c>
      <c r="F845" t="s">
        <v>28</v>
      </c>
      <c r="G845" t="s">
        <v>29</v>
      </c>
      <c r="H845">
        <v>5</v>
      </c>
      <c r="I845" t="s">
        <v>30</v>
      </c>
      <c r="J845" t="s">
        <v>2506</v>
      </c>
      <c r="K845" t="s">
        <v>2507</v>
      </c>
      <c r="L845" t="s">
        <v>170</v>
      </c>
      <c r="M845" s="4" t="s">
        <v>43</v>
      </c>
      <c r="N845" t="s">
        <v>182</v>
      </c>
      <c r="P845" s="3" t="s">
        <v>36</v>
      </c>
      <c r="Q845" s="3" t="s">
        <v>2508</v>
      </c>
      <c r="R845">
        <v>2</v>
      </c>
      <c r="S845" s="5">
        <v>45877</v>
      </c>
      <c r="T845" t="s">
        <v>38</v>
      </c>
      <c r="U845">
        <f t="shared" ca="1" si="78"/>
        <v>22</v>
      </c>
      <c r="V845" s="6">
        <f t="shared" ca="1" si="79"/>
        <v>46024</v>
      </c>
      <c r="W845" s="6">
        <f t="shared" ca="1" si="80"/>
        <v>46030</v>
      </c>
      <c r="X845" t="str">
        <f t="shared" ca="1" si="81"/>
        <v>Jan 2 to Jan 8</v>
      </c>
      <c r="Y845" t="str">
        <f t="shared" ca="1" si="82"/>
        <v>⚪ SCHEDULED</v>
      </c>
      <c r="Z845" t="str">
        <f t="shared" ca="1" si="83"/>
        <v>No action needed yet</v>
      </c>
    </row>
    <row r="846" spans="1:26">
      <c r="A846">
        <v>1045783915</v>
      </c>
      <c r="B846" s="3" t="s">
        <v>2509</v>
      </c>
      <c r="C846">
        <v>39</v>
      </c>
      <c r="D846" t="s">
        <v>47</v>
      </c>
      <c r="E846" t="s">
        <v>29</v>
      </c>
      <c r="F846" t="s">
        <v>29</v>
      </c>
      <c r="G846" t="s">
        <v>28</v>
      </c>
      <c r="H846">
        <v>2</v>
      </c>
      <c r="I846" t="s">
        <v>55</v>
      </c>
      <c r="J846" t="s">
        <v>2510</v>
      </c>
      <c r="K846" t="s">
        <v>2511</v>
      </c>
      <c r="L846" t="s">
        <v>50</v>
      </c>
      <c r="M846" s="4" t="s">
        <v>43</v>
      </c>
      <c r="N846" t="s">
        <v>119</v>
      </c>
      <c r="P846" s="3" t="s">
        <v>36</v>
      </c>
      <c r="Q846" s="3" t="s">
        <v>753</v>
      </c>
      <c r="R846">
        <v>2</v>
      </c>
      <c r="S846" s="5">
        <v>45943</v>
      </c>
      <c r="T846" t="s">
        <v>60</v>
      </c>
      <c r="U846">
        <f t="shared" ca="1" si="78"/>
        <v>58</v>
      </c>
      <c r="V846" s="6">
        <f t="shared" ca="1" si="79"/>
        <v>46060</v>
      </c>
      <c r="W846" s="6">
        <f t="shared" ca="1" si="80"/>
        <v>46066</v>
      </c>
      <c r="X846" t="str">
        <f t="shared" ca="1" si="81"/>
        <v>Feb 7 to Feb 13</v>
      </c>
      <c r="Y846" t="str">
        <f t="shared" ca="1" si="82"/>
        <v>⚪ SCHEDULED</v>
      </c>
      <c r="Z846" t="str">
        <f t="shared" ca="1" si="83"/>
        <v>No action needed yet</v>
      </c>
    </row>
    <row r="847" spans="1:26">
      <c r="A847">
        <v>1045814264</v>
      </c>
      <c r="B847" s="3" t="s">
        <v>2512</v>
      </c>
      <c r="C847">
        <v>52</v>
      </c>
      <c r="D847" t="s">
        <v>27</v>
      </c>
      <c r="E847" t="s">
        <v>29</v>
      </c>
      <c r="F847" t="s">
        <v>28</v>
      </c>
      <c r="G847" t="s">
        <v>29</v>
      </c>
      <c r="H847">
        <v>4</v>
      </c>
      <c r="I847" t="s">
        <v>66</v>
      </c>
      <c r="J847" t="s">
        <v>2513</v>
      </c>
      <c r="K847" t="s">
        <v>2514</v>
      </c>
      <c r="L847" t="s">
        <v>208</v>
      </c>
      <c r="M847" s="4" t="s">
        <v>43</v>
      </c>
      <c r="N847" t="s">
        <v>51</v>
      </c>
      <c r="P847" s="3" t="s">
        <v>36</v>
      </c>
      <c r="Q847" s="3" t="s">
        <v>107</v>
      </c>
      <c r="R847">
        <v>2</v>
      </c>
      <c r="S847" s="5">
        <v>45916</v>
      </c>
      <c r="T847" t="s">
        <v>38</v>
      </c>
      <c r="U847">
        <f t="shared" ca="1" si="78"/>
        <v>1</v>
      </c>
      <c r="V847" s="6">
        <f t="shared" ca="1" si="79"/>
        <v>46003</v>
      </c>
      <c r="W847" s="6">
        <f t="shared" ca="1" si="80"/>
        <v>46009</v>
      </c>
      <c r="X847" t="str">
        <f t="shared" ca="1" si="81"/>
        <v>Dec 12 to Dec 18</v>
      </c>
      <c r="Y847" t="str">
        <f t="shared" ca="1" si="82"/>
        <v>🟡 IMMINENT (within 3 days)</v>
      </c>
      <c r="Z847" t="str">
        <f t="shared" ca="1" si="83"/>
        <v>Prepare medications TODAY</v>
      </c>
    </row>
    <row r="848" spans="1:26">
      <c r="A848">
        <v>1045894399</v>
      </c>
      <c r="B848" s="3" t="s">
        <v>2515</v>
      </c>
      <c r="C848">
        <v>53</v>
      </c>
      <c r="D848" t="s">
        <v>47</v>
      </c>
      <c r="E848" t="s">
        <v>28</v>
      </c>
      <c r="F848" t="s">
        <v>29</v>
      </c>
      <c r="G848" t="s">
        <v>28</v>
      </c>
      <c r="H848">
        <v>5</v>
      </c>
      <c r="I848" t="s">
        <v>30</v>
      </c>
      <c r="J848" t="s">
        <v>2516</v>
      </c>
      <c r="K848" t="s">
        <v>2517</v>
      </c>
      <c r="L848" t="s">
        <v>380</v>
      </c>
      <c r="M848" s="4" t="s">
        <v>34</v>
      </c>
      <c r="N848" t="s">
        <v>70</v>
      </c>
      <c r="P848" s="3" t="s">
        <v>36</v>
      </c>
      <c r="Q848" s="3" t="s">
        <v>107</v>
      </c>
      <c r="R848">
        <v>2</v>
      </c>
      <c r="S848" s="5">
        <v>45752</v>
      </c>
      <c r="T848" t="s">
        <v>38</v>
      </c>
      <c r="U848">
        <f t="shared" ca="1" si="78"/>
        <v>17</v>
      </c>
      <c r="V848" s="6">
        <f t="shared" ca="1" si="79"/>
        <v>46019</v>
      </c>
      <c r="W848" s="6">
        <f t="shared" ca="1" si="80"/>
        <v>46025</v>
      </c>
      <c r="X848" t="str">
        <f t="shared" ca="1" si="81"/>
        <v>Dec 28 to Jan 3</v>
      </c>
      <c r="Y848" t="str">
        <f t="shared" ca="1" si="82"/>
        <v>⚪ SCHEDULED</v>
      </c>
      <c r="Z848" t="str">
        <f t="shared" ca="1" si="83"/>
        <v>No action needed yet</v>
      </c>
    </row>
    <row r="849" spans="1:26">
      <c r="A849">
        <v>1045944988</v>
      </c>
      <c r="B849" s="3" t="s">
        <v>2518</v>
      </c>
      <c r="C849">
        <v>64</v>
      </c>
      <c r="D849" t="s">
        <v>47</v>
      </c>
      <c r="E849" t="s">
        <v>29</v>
      </c>
      <c r="F849" t="s">
        <v>29</v>
      </c>
      <c r="G849" t="s">
        <v>29</v>
      </c>
      <c r="H849">
        <v>7</v>
      </c>
      <c r="I849" t="s">
        <v>30</v>
      </c>
      <c r="J849" t="s">
        <v>2519</v>
      </c>
      <c r="K849" t="s">
        <v>2520</v>
      </c>
      <c r="L849" t="s">
        <v>100</v>
      </c>
      <c r="M849" s="4" t="s">
        <v>34</v>
      </c>
      <c r="N849" t="s">
        <v>76</v>
      </c>
      <c r="P849" s="3" t="s">
        <v>36</v>
      </c>
      <c r="Q849" s="3" t="s">
        <v>84</v>
      </c>
      <c r="R849">
        <v>1</v>
      </c>
      <c r="S849" s="5">
        <v>45512</v>
      </c>
      <c r="T849" t="s">
        <v>38</v>
      </c>
      <c r="U849">
        <f t="shared" ca="1" si="78"/>
        <v>17</v>
      </c>
      <c r="V849" s="6">
        <f t="shared" ca="1" si="79"/>
        <v>46019</v>
      </c>
      <c r="W849" s="6">
        <f t="shared" ca="1" si="80"/>
        <v>46025</v>
      </c>
      <c r="X849" t="str">
        <f t="shared" ca="1" si="81"/>
        <v>Dec 28 to Jan 3</v>
      </c>
      <c r="Y849" t="str">
        <f t="shared" ca="1" si="82"/>
        <v>⚪ SCHEDULED</v>
      </c>
      <c r="Z849" t="str">
        <f t="shared" ca="1" si="83"/>
        <v>No action needed yet</v>
      </c>
    </row>
    <row r="850" spans="1:26">
      <c r="A850">
        <v>1045953609</v>
      </c>
      <c r="B850" s="3" t="s">
        <v>2521</v>
      </c>
      <c r="C850">
        <v>59</v>
      </c>
      <c r="D850" t="s">
        <v>47</v>
      </c>
      <c r="E850" t="s">
        <v>29</v>
      </c>
      <c r="F850" t="s">
        <v>28</v>
      </c>
      <c r="G850" t="s">
        <v>28</v>
      </c>
      <c r="H850">
        <v>3</v>
      </c>
      <c r="I850" t="s">
        <v>66</v>
      </c>
      <c r="J850" t="s">
        <v>2522</v>
      </c>
      <c r="K850" t="s">
        <v>2523</v>
      </c>
      <c r="L850" t="s">
        <v>170</v>
      </c>
      <c r="M850" s="4" t="s">
        <v>34</v>
      </c>
      <c r="N850" t="s">
        <v>162</v>
      </c>
      <c r="P850" s="3" t="s">
        <v>36</v>
      </c>
      <c r="Q850" s="3" t="s">
        <v>84</v>
      </c>
      <c r="R850">
        <v>2</v>
      </c>
      <c r="S850" s="5">
        <v>45685</v>
      </c>
      <c r="T850" t="s">
        <v>38</v>
      </c>
      <c r="U850">
        <f t="shared" ca="1" si="78"/>
        <v>10</v>
      </c>
      <c r="V850" s="6">
        <f t="shared" ca="1" si="79"/>
        <v>46012</v>
      </c>
      <c r="W850" s="6">
        <f t="shared" ca="1" si="80"/>
        <v>46018</v>
      </c>
      <c r="X850" t="str">
        <f t="shared" ca="1" si="81"/>
        <v>Dec 21 to Dec 27</v>
      </c>
      <c r="Y850" t="str">
        <f t="shared" ca="1" si="82"/>
        <v>🔵 NEXT 2 WEEKS</v>
      </c>
      <c r="Z850" t="str">
        <f t="shared" ca="1" si="83"/>
        <v>Send reminder SMS</v>
      </c>
    </row>
    <row r="851" spans="1:26">
      <c r="A851">
        <v>1045973193</v>
      </c>
      <c r="B851" s="3" t="s">
        <v>2524</v>
      </c>
      <c r="C851">
        <v>65</v>
      </c>
      <c r="D851" t="s">
        <v>47</v>
      </c>
      <c r="E851" t="s">
        <v>28</v>
      </c>
      <c r="F851" t="s">
        <v>29</v>
      </c>
      <c r="G851" t="s">
        <v>28</v>
      </c>
      <c r="H851">
        <v>4</v>
      </c>
      <c r="I851" t="s">
        <v>66</v>
      </c>
      <c r="J851" t="s">
        <v>2525</v>
      </c>
      <c r="K851" t="s">
        <v>2526</v>
      </c>
      <c r="L851" t="s">
        <v>193</v>
      </c>
      <c r="M851" s="4" t="s">
        <v>43</v>
      </c>
      <c r="N851" t="s">
        <v>70</v>
      </c>
      <c r="P851" s="3" t="s">
        <v>36</v>
      </c>
      <c r="Q851" s="3" t="s">
        <v>107</v>
      </c>
      <c r="R851">
        <v>2</v>
      </c>
      <c r="S851" s="5">
        <v>45925</v>
      </c>
      <c r="T851" t="s">
        <v>38</v>
      </c>
      <c r="U851">
        <f t="shared" ca="1" si="78"/>
        <v>10</v>
      </c>
      <c r="V851" s="6">
        <f t="shared" ca="1" si="79"/>
        <v>46012</v>
      </c>
      <c r="W851" s="6">
        <f t="shared" ca="1" si="80"/>
        <v>46018</v>
      </c>
      <c r="X851" t="str">
        <f t="shared" ca="1" si="81"/>
        <v>Dec 21 to Dec 27</v>
      </c>
      <c r="Y851" t="str">
        <f t="shared" ca="1" si="82"/>
        <v>🔵 NEXT 2 WEEKS</v>
      </c>
      <c r="Z851" t="str">
        <f t="shared" ca="1" si="83"/>
        <v>Send reminder SMS</v>
      </c>
    </row>
    <row r="852" spans="1:26">
      <c r="A852">
        <v>1046014583</v>
      </c>
      <c r="B852" s="3" t="s">
        <v>2527</v>
      </c>
      <c r="C852">
        <v>55</v>
      </c>
      <c r="D852" t="s">
        <v>47</v>
      </c>
      <c r="E852" t="s">
        <v>28</v>
      </c>
      <c r="F852" t="s">
        <v>29</v>
      </c>
      <c r="G852" t="s">
        <v>29</v>
      </c>
      <c r="H852">
        <v>5</v>
      </c>
      <c r="I852" t="s">
        <v>30</v>
      </c>
      <c r="J852" t="s">
        <v>2528</v>
      </c>
      <c r="K852" t="s">
        <v>2529</v>
      </c>
      <c r="L852" t="s">
        <v>234</v>
      </c>
      <c r="M852" s="4" t="s">
        <v>43</v>
      </c>
      <c r="N852" t="s">
        <v>209</v>
      </c>
      <c r="P852" s="3" t="s">
        <v>36</v>
      </c>
      <c r="Q852" s="3" t="s">
        <v>107</v>
      </c>
      <c r="R852">
        <v>2</v>
      </c>
      <c r="S852" s="5">
        <v>45898</v>
      </c>
      <c r="T852" t="s">
        <v>38</v>
      </c>
      <c r="U852">
        <f t="shared" ca="1" si="78"/>
        <v>13</v>
      </c>
      <c r="V852" s="6">
        <f t="shared" ca="1" si="79"/>
        <v>46015</v>
      </c>
      <c r="W852" s="6">
        <f t="shared" ca="1" si="80"/>
        <v>46021</v>
      </c>
      <c r="X852" t="str">
        <f t="shared" ca="1" si="81"/>
        <v>Dec 24 to Dec 30</v>
      </c>
      <c r="Y852" t="str">
        <f t="shared" ca="1" si="82"/>
        <v>🔵 NEXT 2 WEEKS</v>
      </c>
      <c r="Z852" t="str">
        <f t="shared" ca="1" si="83"/>
        <v>Send reminder SMS</v>
      </c>
    </row>
    <row r="853" spans="1:26">
      <c r="A853">
        <v>1046334775</v>
      </c>
      <c r="B853" s="3" t="s">
        <v>2530</v>
      </c>
      <c r="C853">
        <v>56</v>
      </c>
      <c r="D853" t="s">
        <v>27</v>
      </c>
      <c r="E853" t="s">
        <v>29</v>
      </c>
      <c r="F853" t="s">
        <v>28</v>
      </c>
      <c r="G853" t="s">
        <v>28</v>
      </c>
      <c r="H853">
        <v>3</v>
      </c>
      <c r="I853" t="s">
        <v>66</v>
      </c>
      <c r="J853" t="s">
        <v>168</v>
      </c>
      <c r="K853" t="s">
        <v>1477</v>
      </c>
      <c r="L853" t="s">
        <v>170</v>
      </c>
      <c r="M853" s="4" t="s">
        <v>34</v>
      </c>
      <c r="N853" t="s">
        <v>162</v>
      </c>
      <c r="P853" s="3" t="s">
        <v>36</v>
      </c>
      <c r="Q853" s="3" t="s">
        <v>45</v>
      </c>
      <c r="R853">
        <v>1</v>
      </c>
      <c r="S853" s="5">
        <v>45351</v>
      </c>
      <c r="T853" t="s">
        <v>38</v>
      </c>
      <c r="U853">
        <f t="shared" ca="1" si="78"/>
        <v>6</v>
      </c>
      <c r="V853" s="6">
        <f t="shared" ca="1" si="79"/>
        <v>46008</v>
      </c>
      <c r="W853" s="6">
        <f t="shared" ca="1" si="80"/>
        <v>46014</v>
      </c>
      <c r="X853" t="str">
        <f t="shared" ca="1" si="81"/>
        <v>Dec 17 to Dec 23</v>
      </c>
      <c r="Y853" t="str">
        <f t="shared" ca="1" si="82"/>
        <v>🟢 THIS WEEK</v>
      </c>
      <c r="Z853" t="str">
        <f t="shared" ca="1" si="83"/>
        <v>Confirm appointment</v>
      </c>
    </row>
    <row r="854" spans="1:26">
      <c r="A854">
        <v>1046350672</v>
      </c>
      <c r="B854" s="3" t="s">
        <v>2531</v>
      </c>
      <c r="C854">
        <v>60</v>
      </c>
      <c r="D854" t="s">
        <v>27</v>
      </c>
      <c r="E854" t="s">
        <v>29</v>
      </c>
      <c r="F854" t="s">
        <v>29</v>
      </c>
      <c r="G854" t="s">
        <v>29</v>
      </c>
      <c r="H854">
        <v>7</v>
      </c>
      <c r="I854" t="s">
        <v>30</v>
      </c>
      <c r="J854" t="s">
        <v>2532</v>
      </c>
      <c r="K854" t="s">
        <v>2533</v>
      </c>
      <c r="L854" t="s">
        <v>606</v>
      </c>
      <c r="M854" s="4" t="s">
        <v>43</v>
      </c>
      <c r="N854" t="s">
        <v>76</v>
      </c>
      <c r="P854" s="3" t="s">
        <v>36</v>
      </c>
      <c r="Q854" s="3" t="s">
        <v>123</v>
      </c>
      <c r="R854">
        <v>1</v>
      </c>
      <c r="S854" s="5">
        <v>45905</v>
      </c>
      <c r="T854" t="s">
        <v>38</v>
      </c>
      <c r="U854">
        <f t="shared" ca="1" si="78"/>
        <v>20</v>
      </c>
      <c r="V854" s="6">
        <f t="shared" ca="1" si="79"/>
        <v>46022</v>
      </c>
      <c r="W854" s="6">
        <f t="shared" ca="1" si="80"/>
        <v>46028</v>
      </c>
      <c r="X854" t="str">
        <f t="shared" ca="1" si="81"/>
        <v>Dec 31 to Jan 6</v>
      </c>
      <c r="Y854" t="str">
        <f t="shared" ca="1" si="82"/>
        <v>⚪ SCHEDULED</v>
      </c>
      <c r="Z854" t="str">
        <f t="shared" ca="1" si="83"/>
        <v>No action needed yet</v>
      </c>
    </row>
    <row r="855" spans="1:26">
      <c r="A855">
        <v>1046407795</v>
      </c>
      <c r="B855" s="3" t="s">
        <v>2534</v>
      </c>
      <c r="C855">
        <v>59</v>
      </c>
      <c r="D855" t="s">
        <v>27</v>
      </c>
      <c r="E855" t="s">
        <v>29</v>
      </c>
      <c r="F855" t="s">
        <v>29</v>
      </c>
      <c r="G855" t="s">
        <v>28</v>
      </c>
      <c r="H855">
        <v>4</v>
      </c>
      <c r="I855" t="s">
        <v>66</v>
      </c>
      <c r="J855" t="s">
        <v>2535</v>
      </c>
      <c r="K855" t="s">
        <v>2536</v>
      </c>
      <c r="L855" t="s">
        <v>105</v>
      </c>
      <c r="M855" s="4" t="s">
        <v>34</v>
      </c>
      <c r="N855" t="s">
        <v>106</v>
      </c>
      <c r="P855" s="3" t="s">
        <v>36</v>
      </c>
      <c r="Q855" s="3" t="s">
        <v>107</v>
      </c>
      <c r="R855">
        <v>2</v>
      </c>
      <c r="S855" s="5">
        <v>45609</v>
      </c>
      <c r="T855" t="s">
        <v>38</v>
      </c>
      <c r="U855">
        <f t="shared" ca="1" si="78"/>
        <v>24</v>
      </c>
      <c r="V855" s="6">
        <f t="shared" ca="1" si="79"/>
        <v>46026</v>
      </c>
      <c r="W855" s="6">
        <f t="shared" ca="1" si="80"/>
        <v>46032</v>
      </c>
      <c r="X855" t="str">
        <f t="shared" ca="1" si="81"/>
        <v>Jan 4 to Jan 10</v>
      </c>
      <c r="Y855" t="str">
        <f t="shared" ca="1" si="82"/>
        <v>⚪ SCHEDULED</v>
      </c>
      <c r="Z855" t="str">
        <f t="shared" ca="1" si="83"/>
        <v>No action needed yet</v>
      </c>
    </row>
    <row r="856" spans="1:26">
      <c r="A856">
        <v>1046418420</v>
      </c>
      <c r="B856" s="3" t="s">
        <v>2537</v>
      </c>
      <c r="C856">
        <v>49</v>
      </c>
      <c r="D856" t="s">
        <v>47</v>
      </c>
      <c r="E856" t="s">
        <v>29</v>
      </c>
      <c r="F856" t="s">
        <v>28</v>
      </c>
      <c r="G856" t="s">
        <v>28</v>
      </c>
      <c r="H856">
        <v>3</v>
      </c>
      <c r="I856" t="s">
        <v>66</v>
      </c>
      <c r="J856" t="s">
        <v>2538</v>
      </c>
      <c r="K856" t="s">
        <v>2539</v>
      </c>
      <c r="L856" t="s">
        <v>105</v>
      </c>
      <c r="M856" s="4" t="s">
        <v>43</v>
      </c>
      <c r="N856" t="s">
        <v>162</v>
      </c>
      <c r="P856" s="3" t="s">
        <v>36</v>
      </c>
      <c r="Q856" s="3" t="s">
        <v>2540</v>
      </c>
      <c r="R856">
        <v>1</v>
      </c>
      <c r="S856" s="5">
        <v>45925</v>
      </c>
      <c r="T856" t="s">
        <v>38</v>
      </c>
      <c r="U856">
        <f t="shared" ca="1" si="78"/>
        <v>10</v>
      </c>
      <c r="V856" s="6">
        <f t="shared" ca="1" si="79"/>
        <v>46012</v>
      </c>
      <c r="W856" s="6">
        <f t="shared" ca="1" si="80"/>
        <v>46018</v>
      </c>
      <c r="X856" t="str">
        <f t="shared" ca="1" si="81"/>
        <v>Dec 21 to Dec 27</v>
      </c>
      <c r="Y856" t="str">
        <f t="shared" ca="1" si="82"/>
        <v>🔵 NEXT 2 WEEKS</v>
      </c>
      <c r="Z856" t="str">
        <f t="shared" ca="1" si="83"/>
        <v>Send reminder SMS</v>
      </c>
    </row>
    <row r="857" spans="1:26">
      <c r="A857">
        <v>1046476915</v>
      </c>
      <c r="B857" s="3" t="s">
        <v>2541</v>
      </c>
      <c r="C857">
        <v>43</v>
      </c>
      <c r="D857" t="s">
        <v>27</v>
      </c>
      <c r="E857" t="s">
        <v>28</v>
      </c>
      <c r="F857" t="s">
        <v>29</v>
      </c>
      <c r="G857" t="s">
        <v>28</v>
      </c>
      <c r="H857">
        <v>2</v>
      </c>
      <c r="I857" t="s">
        <v>55</v>
      </c>
      <c r="J857" t="s">
        <v>2542</v>
      </c>
      <c r="K857" t="s">
        <v>2543</v>
      </c>
      <c r="M857" s="4" t="s">
        <v>94</v>
      </c>
      <c r="N857" t="s">
        <v>64</v>
      </c>
      <c r="P857" s="3" t="s">
        <v>36</v>
      </c>
      <c r="Q857" s="3" t="s">
        <v>175</v>
      </c>
      <c r="R857">
        <v>2</v>
      </c>
      <c r="S857" s="5">
        <v>45961</v>
      </c>
      <c r="T857" t="s">
        <v>60</v>
      </c>
      <c r="U857">
        <f t="shared" ca="1" si="78"/>
        <v>16</v>
      </c>
      <c r="V857" s="6">
        <f t="shared" ca="1" si="79"/>
        <v>46018</v>
      </c>
      <c r="W857" s="6">
        <f t="shared" ca="1" si="80"/>
        <v>46024</v>
      </c>
      <c r="X857" t="str">
        <f t="shared" ca="1" si="81"/>
        <v>Dec 27 to Jan 2</v>
      </c>
      <c r="Y857" t="str">
        <f t="shared" ca="1" si="82"/>
        <v>⚪ SCHEDULED</v>
      </c>
      <c r="Z857" t="str">
        <f t="shared" ca="1" si="83"/>
        <v>No action needed yet</v>
      </c>
    </row>
    <row r="858" spans="1:26">
      <c r="A858">
        <v>1046485577</v>
      </c>
      <c r="B858" s="3" t="s">
        <v>2544</v>
      </c>
      <c r="C858">
        <v>43</v>
      </c>
      <c r="D858" t="s">
        <v>47</v>
      </c>
      <c r="E858" t="s">
        <v>29</v>
      </c>
      <c r="F858" t="s">
        <v>28</v>
      </c>
      <c r="G858" t="s">
        <v>29</v>
      </c>
      <c r="H858">
        <v>4</v>
      </c>
      <c r="I858" t="s">
        <v>66</v>
      </c>
      <c r="J858" t="s">
        <v>2545</v>
      </c>
      <c r="K858" t="s">
        <v>2546</v>
      </c>
      <c r="L858" t="s">
        <v>234</v>
      </c>
      <c r="M858" s="4" t="s">
        <v>34</v>
      </c>
      <c r="N858" t="s">
        <v>51</v>
      </c>
      <c r="P858" s="3" t="s">
        <v>36</v>
      </c>
      <c r="Q858" s="3" t="s">
        <v>84</v>
      </c>
      <c r="R858">
        <v>2</v>
      </c>
      <c r="S858" s="5">
        <v>45724</v>
      </c>
      <c r="T858" t="s">
        <v>38</v>
      </c>
      <c r="U858">
        <f t="shared" ca="1" si="78"/>
        <v>19</v>
      </c>
      <c r="V858" s="6">
        <f t="shared" ca="1" si="79"/>
        <v>46021</v>
      </c>
      <c r="W858" s="6">
        <f t="shared" ca="1" si="80"/>
        <v>46027</v>
      </c>
      <c r="X858" t="str">
        <f t="shared" ca="1" si="81"/>
        <v>Dec 30 to Jan 5</v>
      </c>
      <c r="Y858" t="str">
        <f t="shared" ca="1" si="82"/>
        <v>⚪ SCHEDULED</v>
      </c>
      <c r="Z858" t="str">
        <f t="shared" ca="1" si="83"/>
        <v>No action needed yet</v>
      </c>
    </row>
    <row r="859" spans="1:26">
      <c r="A859">
        <v>1046491864</v>
      </c>
      <c r="B859" s="3" t="s">
        <v>2547</v>
      </c>
      <c r="C859">
        <v>65</v>
      </c>
      <c r="D859" t="s">
        <v>47</v>
      </c>
      <c r="E859" t="s">
        <v>29</v>
      </c>
      <c r="F859" t="s">
        <v>28</v>
      </c>
      <c r="G859" t="s">
        <v>28</v>
      </c>
      <c r="H859">
        <v>4</v>
      </c>
      <c r="I859" t="s">
        <v>66</v>
      </c>
      <c r="J859" t="s">
        <v>2548</v>
      </c>
      <c r="K859" t="s">
        <v>2549</v>
      </c>
      <c r="L859" t="s">
        <v>208</v>
      </c>
      <c r="M859" s="4" t="s">
        <v>34</v>
      </c>
      <c r="N859" t="s">
        <v>162</v>
      </c>
      <c r="P859" s="3" t="s">
        <v>36</v>
      </c>
      <c r="Q859" s="3" t="s">
        <v>230</v>
      </c>
      <c r="R859">
        <v>1</v>
      </c>
      <c r="S859" s="5">
        <v>45716</v>
      </c>
      <c r="T859" t="s">
        <v>38</v>
      </c>
      <c r="U859">
        <f t="shared" ca="1" si="78"/>
        <v>11</v>
      </c>
      <c r="V859" s="6">
        <f t="shared" ca="1" si="79"/>
        <v>46013</v>
      </c>
      <c r="W859" s="6">
        <f t="shared" ca="1" si="80"/>
        <v>46019</v>
      </c>
      <c r="X859" t="str">
        <f t="shared" ca="1" si="81"/>
        <v>Dec 22 to Dec 28</v>
      </c>
      <c r="Y859" t="str">
        <f t="shared" ca="1" si="82"/>
        <v>🔵 NEXT 2 WEEKS</v>
      </c>
      <c r="Z859" t="str">
        <f t="shared" ca="1" si="83"/>
        <v>Send reminder SMS</v>
      </c>
    </row>
    <row r="860" spans="1:26">
      <c r="A860">
        <v>1046735419</v>
      </c>
      <c r="B860" s="3" t="s">
        <v>2550</v>
      </c>
      <c r="C860">
        <v>68</v>
      </c>
      <c r="D860" t="s">
        <v>47</v>
      </c>
      <c r="E860" t="s">
        <v>29</v>
      </c>
      <c r="F860" t="s">
        <v>28</v>
      </c>
      <c r="G860" t="s">
        <v>29</v>
      </c>
      <c r="H860">
        <v>5</v>
      </c>
      <c r="I860" t="s">
        <v>30</v>
      </c>
      <c r="J860" t="s">
        <v>1513</v>
      </c>
      <c r="K860" t="s">
        <v>2551</v>
      </c>
      <c r="L860" t="s">
        <v>170</v>
      </c>
      <c r="M860" s="4" t="s">
        <v>43</v>
      </c>
      <c r="N860" t="s">
        <v>182</v>
      </c>
      <c r="P860" s="3" t="s">
        <v>36</v>
      </c>
      <c r="Q860" s="3" t="s">
        <v>90</v>
      </c>
      <c r="R860">
        <v>1</v>
      </c>
      <c r="S860" s="5">
        <v>45905</v>
      </c>
      <c r="T860" t="s">
        <v>38</v>
      </c>
      <c r="U860">
        <f t="shared" ca="1" si="78"/>
        <v>20</v>
      </c>
      <c r="V860" s="6">
        <f t="shared" ca="1" si="79"/>
        <v>46022</v>
      </c>
      <c r="W860" s="6">
        <f t="shared" ca="1" si="80"/>
        <v>46028</v>
      </c>
      <c r="X860" t="str">
        <f t="shared" ca="1" si="81"/>
        <v>Dec 31 to Jan 6</v>
      </c>
      <c r="Y860" t="str">
        <f t="shared" ca="1" si="82"/>
        <v>⚪ SCHEDULED</v>
      </c>
      <c r="Z860" t="str">
        <f t="shared" ca="1" si="83"/>
        <v>No action needed yet</v>
      </c>
    </row>
    <row r="861" spans="1:26">
      <c r="A861">
        <v>1047000250</v>
      </c>
      <c r="B861" s="3" t="s">
        <v>2552</v>
      </c>
      <c r="C861">
        <v>60</v>
      </c>
      <c r="D861" t="s">
        <v>47</v>
      </c>
      <c r="E861" t="s">
        <v>29</v>
      </c>
      <c r="F861" t="s">
        <v>28</v>
      </c>
      <c r="G861" t="s">
        <v>28</v>
      </c>
      <c r="H861">
        <v>4</v>
      </c>
      <c r="I861" t="s">
        <v>66</v>
      </c>
      <c r="J861" t="s">
        <v>2553</v>
      </c>
      <c r="K861" t="s">
        <v>2554</v>
      </c>
      <c r="L861" t="s">
        <v>234</v>
      </c>
      <c r="M861" s="4" t="s">
        <v>94</v>
      </c>
      <c r="N861" t="s">
        <v>162</v>
      </c>
      <c r="P861" s="3" t="s">
        <v>36</v>
      </c>
      <c r="Q861" s="3" t="s">
        <v>84</v>
      </c>
      <c r="R861">
        <v>2</v>
      </c>
      <c r="S861" s="5">
        <v>45954</v>
      </c>
      <c r="T861" t="s">
        <v>38</v>
      </c>
      <c r="U861">
        <f t="shared" ca="1" si="78"/>
        <v>9</v>
      </c>
      <c r="V861" s="6">
        <f t="shared" ca="1" si="79"/>
        <v>46011</v>
      </c>
      <c r="W861" s="6">
        <f t="shared" ca="1" si="80"/>
        <v>46017</v>
      </c>
      <c r="X861" t="str">
        <f t="shared" ca="1" si="81"/>
        <v>Dec 20 to Dec 26</v>
      </c>
      <c r="Y861" t="str">
        <f t="shared" ca="1" si="82"/>
        <v>🔵 NEXT 2 WEEKS</v>
      </c>
      <c r="Z861" t="str">
        <f t="shared" ca="1" si="83"/>
        <v>Send reminder SMS</v>
      </c>
    </row>
    <row r="862" spans="1:26">
      <c r="A862">
        <v>1047174725</v>
      </c>
      <c r="B862" s="3" t="s">
        <v>2555</v>
      </c>
      <c r="C862">
        <v>73</v>
      </c>
      <c r="D862" t="s">
        <v>47</v>
      </c>
      <c r="E862" t="s">
        <v>29</v>
      </c>
      <c r="F862" t="s">
        <v>29</v>
      </c>
      <c r="G862" t="s">
        <v>29</v>
      </c>
      <c r="H862">
        <v>7</v>
      </c>
      <c r="I862" t="s">
        <v>30</v>
      </c>
      <c r="J862" t="s">
        <v>2556</v>
      </c>
      <c r="K862" t="s">
        <v>2557</v>
      </c>
      <c r="L862" t="s">
        <v>428</v>
      </c>
      <c r="M862" s="4" t="s">
        <v>43</v>
      </c>
      <c r="N862" t="s">
        <v>127</v>
      </c>
      <c r="P862" s="3" t="s">
        <v>36</v>
      </c>
      <c r="Q862" s="3" t="s">
        <v>107</v>
      </c>
      <c r="R862">
        <v>2</v>
      </c>
      <c r="S862" s="5">
        <v>45905</v>
      </c>
      <c r="T862" t="s">
        <v>38</v>
      </c>
      <c r="U862">
        <f t="shared" ca="1" si="78"/>
        <v>20</v>
      </c>
      <c r="V862" s="6">
        <f t="shared" ca="1" si="79"/>
        <v>46022</v>
      </c>
      <c r="W862" s="6">
        <f t="shared" ca="1" si="80"/>
        <v>46028</v>
      </c>
      <c r="X862" t="str">
        <f t="shared" ca="1" si="81"/>
        <v>Dec 31 to Jan 6</v>
      </c>
      <c r="Y862" t="str">
        <f t="shared" ca="1" si="82"/>
        <v>⚪ SCHEDULED</v>
      </c>
      <c r="Z862" t="str">
        <f t="shared" ca="1" si="83"/>
        <v>No action needed yet</v>
      </c>
    </row>
    <row r="863" spans="1:26">
      <c r="A863">
        <v>1047193212</v>
      </c>
      <c r="B863" s="3" t="s">
        <v>2558</v>
      </c>
      <c r="C863">
        <v>60</v>
      </c>
      <c r="D863" t="s">
        <v>27</v>
      </c>
      <c r="E863" t="s">
        <v>28</v>
      </c>
      <c r="F863" t="s">
        <v>28</v>
      </c>
      <c r="G863" t="s">
        <v>29</v>
      </c>
      <c r="H863">
        <v>6</v>
      </c>
      <c r="I863" t="s">
        <v>30</v>
      </c>
      <c r="J863" t="s">
        <v>253</v>
      </c>
      <c r="K863" t="s">
        <v>1312</v>
      </c>
      <c r="L863" t="s">
        <v>33</v>
      </c>
      <c r="M863" s="4" t="s">
        <v>43</v>
      </c>
      <c r="N863" t="s">
        <v>794</v>
      </c>
      <c r="P863" s="3" t="s">
        <v>36</v>
      </c>
      <c r="Q863" t="s">
        <v>54</v>
      </c>
      <c r="R863">
        <v>2</v>
      </c>
      <c r="S863" s="5">
        <v>45930</v>
      </c>
      <c r="T863" t="s">
        <v>38</v>
      </c>
      <c r="U863">
        <f t="shared" ca="1" si="78"/>
        <v>15</v>
      </c>
      <c r="V863" s="6">
        <f t="shared" ca="1" si="79"/>
        <v>46017</v>
      </c>
      <c r="W863" s="6">
        <f t="shared" ca="1" si="80"/>
        <v>46023</v>
      </c>
      <c r="X863" t="str">
        <f t="shared" ca="1" si="81"/>
        <v>Dec 26 to Jan 1</v>
      </c>
      <c r="Y863" t="str">
        <f t="shared" ca="1" si="82"/>
        <v>⚪ SCHEDULED</v>
      </c>
      <c r="Z863" t="str">
        <f t="shared" ca="1" si="83"/>
        <v>No action needed yet</v>
      </c>
    </row>
    <row r="864" spans="1:26">
      <c r="A864">
        <v>1047204886</v>
      </c>
      <c r="B864" s="3" t="s">
        <v>2559</v>
      </c>
      <c r="C864">
        <v>65</v>
      </c>
      <c r="D864" t="s">
        <v>47</v>
      </c>
      <c r="E864" t="s">
        <v>29</v>
      </c>
      <c r="F864" t="s">
        <v>29</v>
      </c>
      <c r="G864" t="s">
        <v>29</v>
      </c>
      <c r="H864">
        <v>6</v>
      </c>
      <c r="I864" t="s">
        <v>30</v>
      </c>
      <c r="J864" t="s">
        <v>2560</v>
      </c>
      <c r="K864" t="s">
        <v>2561</v>
      </c>
      <c r="L864" t="s">
        <v>2562</v>
      </c>
      <c r="M864" s="4" t="s">
        <v>94</v>
      </c>
      <c r="N864" t="s">
        <v>89</v>
      </c>
      <c r="P864" s="3" t="s">
        <v>36</v>
      </c>
      <c r="Q864" s="3" t="s">
        <v>84</v>
      </c>
      <c r="R864">
        <v>1</v>
      </c>
      <c r="S864" s="5">
        <v>45959</v>
      </c>
      <c r="T864" t="s">
        <v>38</v>
      </c>
      <c r="U864">
        <f t="shared" ca="1" si="78"/>
        <v>14</v>
      </c>
      <c r="V864" s="6">
        <f t="shared" ca="1" si="79"/>
        <v>46016</v>
      </c>
      <c r="W864" s="6">
        <f t="shared" ca="1" si="80"/>
        <v>46022</v>
      </c>
      <c r="X864" t="str">
        <f t="shared" ca="1" si="81"/>
        <v>Dec 25 to Dec 31</v>
      </c>
      <c r="Y864" t="str">
        <f t="shared" ca="1" si="82"/>
        <v>🔵 NEXT 2 WEEKS</v>
      </c>
      <c r="Z864" t="str">
        <f t="shared" ca="1" si="83"/>
        <v>Send reminder SMS</v>
      </c>
    </row>
    <row r="865" spans="1:26">
      <c r="A865">
        <v>1047369960</v>
      </c>
      <c r="B865" s="3" t="s">
        <v>2563</v>
      </c>
      <c r="C865">
        <v>38</v>
      </c>
      <c r="D865" t="s">
        <v>47</v>
      </c>
      <c r="E865" t="s">
        <v>28</v>
      </c>
      <c r="F865" t="s">
        <v>29</v>
      </c>
      <c r="G865" t="s">
        <v>28</v>
      </c>
      <c r="H865">
        <v>2</v>
      </c>
      <c r="I865" t="s">
        <v>55</v>
      </c>
      <c r="J865" t="s">
        <v>2564</v>
      </c>
      <c r="K865" t="s">
        <v>2565</v>
      </c>
      <c r="L865" t="s">
        <v>69</v>
      </c>
      <c r="M865" s="4" t="s">
        <v>43</v>
      </c>
      <c r="N865" t="s">
        <v>70</v>
      </c>
      <c r="P865" s="3" t="s">
        <v>36</v>
      </c>
      <c r="Q865" s="3" t="s">
        <v>84</v>
      </c>
      <c r="R865">
        <v>1</v>
      </c>
      <c r="S865" s="5">
        <v>45886</v>
      </c>
      <c r="T865" t="s">
        <v>60</v>
      </c>
      <c r="U865">
        <f t="shared" ca="1" si="78"/>
        <v>1</v>
      </c>
      <c r="V865" s="6">
        <f t="shared" ca="1" si="79"/>
        <v>46003</v>
      </c>
      <c r="W865" s="6">
        <f t="shared" ca="1" si="80"/>
        <v>46009</v>
      </c>
      <c r="X865" t="str">
        <f t="shared" ca="1" si="81"/>
        <v>Dec 12 to Dec 18</v>
      </c>
      <c r="Y865" t="str">
        <f t="shared" ca="1" si="82"/>
        <v>🟡 IMMINENT (within 3 days)</v>
      </c>
      <c r="Z865" t="str">
        <f t="shared" ca="1" si="83"/>
        <v>Prepare medications TODAY</v>
      </c>
    </row>
    <row r="866" spans="1:26">
      <c r="A866">
        <v>1047473390</v>
      </c>
      <c r="B866" s="3" t="s">
        <v>2566</v>
      </c>
      <c r="C866">
        <v>64</v>
      </c>
      <c r="D866" t="s">
        <v>27</v>
      </c>
      <c r="E866" t="s">
        <v>28</v>
      </c>
      <c r="F866" t="s">
        <v>28</v>
      </c>
      <c r="G866" t="s">
        <v>29</v>
      </c>
      <c r="H866">
        <v>4</v>
      </c>
      <c r="I866" t="s">
        <v>66</v>
      </c>
      <c r="J866" t="s">
        <v>2567</v>
      </c>
      <c r="K866" t="s">
        <v>2568</v>
      </c>
      <c r="M866" s="4" t="s">
        <v>43</v>
      </c>
      <c r="N866" t="s">
        <v>794</v>
      </c>
      <c r="P866" s="3" t="s">
        <v>36</v>
      </c>
      <c r="Q866" s="3" t="s">
        <v>1443</v>
      </c>
      <c r="R866">
        <v>2</v>
      </c>
      <c r="S866" s="5">
        <v>45853</v>
      </c>
      <c r="T866" t="s">
        <v>38</v>
      </c>
      <c r="U866">
        <f t="shared" ca="1" si="78"/>
        <v>28</v>
      </c>
      <c r="V866" s="6">
        <f t="shared" ca="1" si="79"/>
        <v>46030</v>
      </c>
      <c r="W866" s="6">
        <f t="shared" ca="1" si="80"/>
        <v>46036</v>
      </c>
      <c r="X866" t="str">
        <f t="shared" ca="1" si="81"/>
        <v>Jan 8 to Jan 14</v>
      </c>
      <c r="Y866" t="str">
        <f t="shared" ca="1" si="82"/>
        <v>⚪ SCHEDULED</v>
      </c>
      <c r="Z866" t="str">
        <f t="shared" ca="1" si="83"/>
        <v>No action needed yet</v>
      </c>
    </row>
    <row r="867" spans="1:26">
      <c r="A867">
        <v>1047478357</v>
      </c>
      <c r="B867" s="3" t="s">
        <v>2569</v>
      </c>
      <c r="C867">
        <v>39</v>
      </c>
      <c r="D867" t="s">
        <v>47</v>
      </c>
      <c r="E867" t="s">
        <v>28</v>
      </c>
      <c r="F867" t="s">
        <v>28</v>
      </c>
      <c r="G867" t="s">
        <v>28</v>
      </c>
      <c r="H867">
        <v>1</v>
      </c>
      <c r="I867" t="s">
        <v>55</v>
      </c>
      <c r="J867" t="s">
        <v>2570</v>
      </c>
      <c r="K867" t="s">
        <v>2571</v>
      </c>
      <c r="L867" t="s">
        <v>69</v>
      </c>
      <c r="M867" s="4" t="s">
        <v>43</v>
      </c>
      <c r="N867" t="s">
        <v>59</v>
      </c>
      <c r="P867" s="3" t="s">
        <v>36</v>
      </c>
      <c r="Q867" s="3" t="s">
        <v>230</v>
      </c>
      <c r="R867">
        <v>1</v>
      </c>
      <c r="S867" s="5">
        <v>45951</v>
      </c>
      <c r="T867" t="s">
        <v>393</v>
      </c>
      <c r="U867">
        <f t="shared" ca="1" si="78"/>
        <v>36</v>
      </c>
      <c r="V867" s="6">
        <f t="shared" ca="1" si="79"/>
        <v>46038</v>
      </c>
      <c r="W867" s="6">
        <f t="shared" ca="1" si="80"/>
        <v>46044</v>
      </c>
      <c r="X867" t="str">
        <f t="shared" ca="1" si="81"/>
        <v>Jan 16 to Jan 22</v>
      </c>
      <c r="Y867" t="str">
        <f t="shared" ca="1" si="82"/>
        <v>⚪ SCHEDULED</v>
      </c>
      <c r="Z867" t="str">
        <f t="shared" ca="1" si="83"/>
        <v>No action needed yet</v>
      </c>
    </row>
    <row r="868" spans="1:26">
      <c r="A868">
        <v>1047519416</v>
      </c>
      <c r="B868" s="3" t="s">
        <v>2572</v>
      </c>
      <c r="C868">
        <v>56</v>
      </c>
      <c r="D868" t="s">
        <v>47</v>
      </c>
      <c r="E868" t="s">
        <v>54</v>
      </c>
      <c r="F868" t="s">
        <v>54</v>
      </c>
      <c r="G868" t="s">
        <v>54</v>
      </c>
      <c r="H868">
        <v>2</v>
      </c>
      <c r="I868" t="s">
        <v>55</v>
      </c>
      <c r="J868" t="s">
        <v>2573</v>
      </c>
      <c r="K868" t="s">
        <v>2574</v>
      </c>
      <c r="L868" t="s">
        <v>69</v>
      </c>
      <c r="M868" s="4" t="s">
        <v>34</v>
      </c>
      <c r="N868" t="s">
        <v>59</v>
      </c>
      <c r="P868" s="3" t="s">
        <v>36</v>
      </c>
      <c r="Q868" s="3" t="s">
        <v>45</v>
      </c>
      <c r="R868">
        <v>2</v>
      </c>
      <c r="S868" s="5">
        <v>45817</v>
      </c>
      <c r="T868" t="s">
        <v>60</v>
      </c>
      <c r="U868">
        <f t="shared" ca="1" si="78"/>
        <v>52</v>
      </c>
      <c r="V868" s="6">
        <f t="shared" ca="1" si="79"/>
        <v>46054</v>
      </c>
      <c r="W868" s="6">
        <f t="shared" ca="1" si="80"/>
        <v>46060</v>
      </c>
      <c r="X868" t="str">
        <f t="shared" ca="1" si="81"/>
        <v>Feb 1 to Feb 7</v>
      </c>
      <c r="Y868" t="str">
        <f t="shared" ca="1" si="82"/>
        <v>⚪ SCHEDULED</v>
      </c>
      <c r="Z868" t="str">
        <f t="shared" ca="1" si="83"/>
        <v>No action needed yet</v>
      </c>
    </row>
    <row r="869" spans="1:26">
      <c r="A869">
        <v>1047578172</v>
      </c>
      <c r="B869" s="3" t="s">
        <v>2575</v>
      </c>
      <c r="C869">
        <v>63</v>
      </c>
      <c r="D869" t="s">
        <v>27</v>
      </c>
      <c r="E869" t="s">
        <v>28</v>
      </c>
      <c r="F869" t="s">
        <v>29</v>
      </c>
      <c r="G869" t="s">
        <v>29</v>
      </c>
      <c r="H869">
        <v>6</v>
      </c>
      <c r="I869" t="s">
        <v>30</v>
      </c>
      <c r="J869" t="s">
        <v>125</v>
      </c>
      <c r="K869" t="s">
        <v>2576</v>
      </c>
      <c r="L869" t="s">
        <v>69</v>
      </c>
      <c r="M869" s="4" t="s">
        <v>43</v>
      </c>
      <c r="N869" t="s">
        <v>1126</v>
      </c>
      <c r="P869" s="3" t="s">
        <v>36</v>
      </c>
      <c r="Q869" s="3" t="s">
        <v>230</v>
      </c>
      <c r="R869">
        <v>2</v>
      </c>
      <c r="S869" s="5">
        <v>45926</v>
      </c>
      <c r="T869" t="s">
        <v>38</v>
      </c>
      <c r="U869">
        <f t="shared" ca="1" si="78"/>
        <v>11</v>
      </c>
      <c r="V869" s="6">
        <f t="shared" ca="1" si="79"/>
        <v>46013</v>
      </c>
      <c r="W869" s="6">
        <f t="shared" ca="1" si="80"/>
        <v>46019</v>
      </c>
      <c r="X869" t="str">
        <f t="shared" ca="1" si="81"/>
        <v>Dec 22 to Dec 28</v>
      </c>
      <c r="Y869" t="str">
        <f t="shared" ca="1" si="82"/>
        <v>🔵 NEXT 2 WEEKS</v>
      </c>
      <c r="Z869" t="str">
        <f t="shared" ca="1" si="83"/>
        <v>Send reminder SMS</v>
      </c>
    </row>
    <row r="870" spans="1:26">
      <c r="A870">
        <v>1047661242</v>
      </c>
      <c r="B870" s="3" t="s">
        <v>2577</v>
      </c>
      <c r="C870">
        <v>40</v>
      </c>
      <c r="D870" t="s">
        <v>27</v>
      </c>
      <c r="E870" t="s">
        <v>29</v>
      </c>
      <c r="F870" t="s">
        <v>28</v>
      </c>
      <c r="G870" t="s">
        <v>28</v>
      </c>
      <c r="H870">
        <v>3</v>
      </c>
      <c r="I870" t="s">
        <v>66</v>
      </c>
      <c r="J870" t="s">
        <v>2578</v>
      </c>
      <c r="K870" t="s">
        <v>2579</v>
      </c>
      <c r="M870" s="4" t="s">
        <v>43</v>
      </c>
      <c r="N870" t="s">
        <v>148</v>
      </c>
      <c r="P870" s="3" t="s">
        <v>36</v>
      </c>
      <c r="Q870" s="3" t="s">
        <v>1475</v>
      </c>
      <c r="R870">
        <v>1</v>
      </c>
      <c r="S870" s="5">
        <v>45853</v>
      </c>
      <c r="T870" t="s">
        <v>38</v>
      </c>
      <c r="U870">
        <f t="shared" ca="1" si="78"/>
        <v>28</v>
      </c>
      <c r="V870" s="6">
        <f t="shared" ca="1" si="79"/>
        <v>46030</v>
      </c>
      <c r="W870" s="6">
        <f t="shared" ca="1" si="80"/>
        <v>46036</v>
      </c>
      <c r="X870" t="str">
        <f t="shared" ca="1" si="81"/>
        <v>Jan 8 to Jan 14</v>
      </c>
      <c r="Y870" t="str">
        <f t="shared" ca="1" si="82"/>
        <v>⚪ SCHEDULED</v>
      </c>
      <c r="Z870" t="str">
        <f t="shared" ca="1" si="83"/>
        <v>No action needed yet</v>
      </c>
    </row>
    <row r="871" spans="1:26">
      <c r="A871">
        <v>1047830821</v>
      </c>
      <c r="B871" s="3" t="s">
        <v>2580</v>
      </c>
      <c r="C871">
        <v>52</v>
      </c>
      <c r="D871" t="s">
        <v>47</v>
      </c>
      <c r="E871" t="s">
        <v>29</v>
      </c>
      <c r="F871" t="s">
        <v>29</v>
      </c>
      <c r="G871" t="s">
        <v>28</v>
      </c>
      <c r="H871">
        <v>4</v>
      </c>
      <c r="I871" t="s">
        <v>66</v>
      </c>
      <c r="J871" t="s">
        <v>1124</v>
      </c>
      <c r="K871" t="s">
        <v>2581</v>
      </c>
      <c r="L871" t="s">
        <v>69</v>
      </c>
      <c r="M871" s="4" t="s">
        <v>43</v>
      </c>
      <c r="N871" t="s">
        <v>131</v>
      </c>
      <c r="P871" s="3" t="s">
        <v>36</v>
      </c>
      <c r="Q871" s="3" t="s">
        <v>84</v>
      </c>
      <c r="R871">
        <v>2</v>
      </c>
      <c r="S871" s="5">
        <v>45879</v>
      </c>
      <c r="T871" t="s">
        <v>38</v>
      </c>
      <c r="U871">
        <f t="shared" ca="1" si="78"/>
        <v>24</v>
      </c>
      <c r="V871" s="6">
        <f t="shared" ca="1" si="79"/>
        <v>46026</v>
      </c>
      <c r="W871" s="6">
        <f t="shared" ca="1" si="80"/>
        <v>46032</v>
      </c>
      <c r="X871" t="str">
        <f t="shared" ca="1" si="81"/>
        <v>Jan 4 to Jan 10</v>
      </c>
      <c r="Y871" t="str">
        <f t="shared" ca="1" si="82"/>
        <v>⚪ SCHEDULED</v>
      </c>
      <c r="Z871" t="str">
        <f t="shared" ca="1" si="83"/>
        <v>No action needed yet</v>
      </c>
    </row>
    <row r="872" spans="1:26">
      <c r="A872">
        <v>1047851363</v>
      </c>
      <c r="B872" s="3" t="s">
        <v>2582</v>
      </c>
      <c r="C872">
        <v>49</v>
      </c>
      <c r="D872" t="s">
        <v>47</v>
      </c>
      <c r="E872" t="s">
        <v>29</v>
      </c>
      <c r="F872" t="s">
        <v>29</v>
      </c>
      <c r="G872" t="s">
        <v>29</v>
      </c>
      <c r="H872">
        <v>4</v>
      </c>
      <c r="I872" t="s">
        <v>66</v>
      </c>
      <c r="J872" t="s">
        <v>2583</v>
      </c>
      <c r="K872" t="s">
        <v>2584</v>
      </c>
      <c r="L872" t="s">
        <v>75</v>
      </c>
      <c r="M872" s="4" t="s">
        <v>43</v>
      </c>
      <c r="N872" t="s">
        <v>76</v>
      </c>
      <c r="P872" s="3" t="s">
        <v>36</v>
      </c>
      <c r="Q872" s="3" t="s">
        <v>1722</v>
      </c>
      <c r="R872">
        <v>2</v>
      </c>
      <c r="S872" s="5">
        <v>45895</v>
      </c>
      <c r="T872" t="s">
        <v>38</v>
      </c>
      <c r="U872">
        <f t="shared" ca="1" si="78"/>
        <v>10</v>
      </c>
      <c r="V872" s="6">
        <f t="shared" ca="1" si="79"/>
        <v>46012</v>
      </c>
      <c r="W872" s="6">
        <f t="shared" ca="1" si="80"/>
        <v>46018</v>
      </c>
      <c r="X872" t="str">
        <f t="shared" ca="1" si="81"/>
        <v>Dec 21 to Dec 27</v>
      </c>
      <c r="Y872" t="str">
        <f t="shared" ca="1" si="82"/>
        <v>🔵 NEXT 2 WEEKS</v>
      </c>
      <c r="Z872" t="str">
        <f t="shared" ca="1" si="83"/>
        <v>Send reminder SMS</v>
      </c>
    </row>
    <row r="873" spans="1:26">
      <c r="A873">
        <v>1047879448</v>
      </c>
      <c r="B873" s="3" t="s">
        <v>2585</v>
      </c>
      <c r="C873">
        <v>59</v>
      </c>
      <c r="D873" t="s">
        <v>47</v>
      </c>
      <c r="E873" t="s">
        <v>28</v>
      </c>
      <c r="F873" t="s">
        <v>29</v>
      </c>
      <c r="G873" t="s">
        <v>28</v>
      </c>
      <c r="H873">
        <v>3</v>
      </c>
      <c r="I873" t="s">
        <v>66</v>
      </c>
      <c r="J873" t="s">
        <v>2586</v>
      </c>
      <c r="K873" t="s">
        <v>2587</v>
      </c>
      <c r="M873" s="4" t="s">
        <v>34</v>
      </c>
      <c r="N873" t="s">
        <v>64</v>
      </c>
      <c r="P873" s="3" t="s">
        <v>36</v>
      </c>
      <c r="Q873" s="3" t="s">
        <v>1316</v>
      </c>
      <c r="R873">
        <v>2</v>
      </c>
      <c r="S873" s="5">
        <v>45700</v>
      </c>
      <c r="T873" t="s">
        <v>38</v>
      </c>
      <c r="U873">
        <f t="shared" ca="1" si="78"/>
        <v>25</v>
      </c>
      <c r="V873" s="6">
        <f t="shared" ca="1" si="79"/>
        <v>46027</v>
      </c>
      <c r="W873" s="6">
        <f t="shared" ca="1" si="80"/>
        <v>46033</v>
      </c>
      <c r="X873" t="str">
        <f t="shared" ca="1" si="81"/>
        <v>Jan 5 to Jan 11</v>
      </c>
      <c r="Y873" t="str">
        <f t="shared" ca="1" si="82"/>
        <v>⚪ SCHEDULED</v>
      </c>
      <c r="Z873" t="str">
        <f t="shared" ca="1" si="83"/>
        <v>No action needed yet</v>
      </c>
    </row>
    <row r="874" spans="1:26">
      <c r="A874">
        <v>1047904741</v>
      </c>
      <c r="B874" s="3" t="s">
        <v>2588</v>
      </c>
      <c r="C874">
        <v>56</v>
      </c>
      <c r="D874" t="s">
        <v>47</v>
      </c>
      <c r="E874" t="s">
        <v>29</v>
      </c>
      <c r="F874" t="s">
        <v>28</v>
      </c>
      <c r="G874" t="s">
        <v>28</v>
      </c>
      <c r="H874">
        <v>3</v>
      </c>
      <c r="I874" t="s">
        <v>66</v>
      </c>
      <c r="J874" t="s">
        <v>2589</v>
      </c>
      <c r="K874" t="s">
        <v>2590</v>
      </c>
      <c r="L874" t="s">
        <v>2591</v>
      </c>
      <c r="M874" s="4" t="s">
        <v>34</v>
      </c>
      <c r="N874" t="s">
        <v>162</v>
      </c>
      <c r="P874" s="3" t="s">
        <v>36</v>
      </c>
      <c r="Q874" s="3" t="s">
        <v>84</v>
      </c>
      <c r="R874">
        <v>2</v>
      </c>
      <c r="S874" s="5">
        <v>45630</v>
      </c>
      <c r="T874" t="s">
        <v>38</v>
      </c>
      <c r="U874">
        <f t="shared" ca="1" si="78"/>
        <v>15</v>
      </c>
      <c r="V874" s="6">
        <f t="shared" ca="1" si="79"/>
        <v>46017</v>
      </c>
      <c r="W874" s="6">
        <f t="shared" ca="1" si="80"/>
        <v>46023</v>
      </c>
      <c r="X874" t="str">
        <f t="shared" ca="1" si="81"/>
        <v>Dec 26 to Jan 1</v>
      </c>
      <c r="Y874" t="str">
        <f t="shared" ca="1" si="82"/>
        <v>⚪ SCHEDULED</v>
      </c>
      <c r="Z874" t="str">
        <f t="shared" ca="1" si="83"/>
        <v>No action needed yet</v>
      </c>
    </row>
    <row r="875" spans="1:26">
      <c r="A875">
        <v>1048052730</v>
      </c>
      <c r="B875" s="3" t="s">
        <v>2592</v>
      </c>
      <c r="C875">
        <v>57</v>
      </c>
      <c r="D875" t="s">
        <v>27</v>
      </c>
      <c r="E875" t="s">
        <v>28</v>
      </c>
      <c r="F875" t="s">
        <v>29</v>
      </c>
      <c r="G875" t="s">
        <v>28</v>
      </c>
      <c r="H875">
        <v>4</v>
      </c>
      <c r="I875" t="s">
        <v>66</v>
      </c>
      <c r="J875" t="s">
        <v>2593</v>
      </c>
      <c r="K875" t="s">
        <v>2594</v>
      </c>
      <c r="L875" t="s">
        <v>69</v>
      </c>
      <c r="M875" s="4" t="s">
        <v>34</v>
      </c>
      <c r="N875" t="s">
        <v>70</v>
      </c>
      <c r="P875" s="3" t="s">
        <v>36</v>
      </c>
      <c r="Q875" s="3" t="s">
        <v>90</v>
      </c>
      <c r="R875">
        <v>1</v>
      </c>
      <c r="S875" s="5">
        <v>45629</v>
      </c>
      <c r="T875" t="s">
        <v>38</v>
      </c>
      <c r="U875">
        <f t="shared" ca="1" si="78"/>
        <v>14</v>
      </c>
      <c r="V875" s="6">
        <f t="shared" ca="1" si="79"/>
        <v>46016</v>
      </c>
      <c r="W875" s="6">
        <f t="shared" ca="1" si="80"/>
        <v>46022</v>
      </c>
      <c r="X875" t="str">
        <f t="shared" ca="1" si="81"/>
        <v>Dec 25 to Dec 31</v>
      </c>
      <c r="Y875" t="str">
        <f t="shared" ca="1" si="82"/>
        <v>🔵 NEXT 2 WEEKS</v>
      </c>
      <c r="Z875" t="str">
        <f t="shared" ca="1" si="83"/>
        <v>Send reminder SMS</v>
      </c>
    </row>
    <row r="876" spans="1:26">
      <c r="A876">
        <v>1048162737</v>
      </c>
      <c r="B876" s="3" t="s">
        <v>2595</v>
      </c>
      <c r="C876">
        <v>72</v>
      </c>
      <c r="D876" t="s">
        <v>27</v>
      </c>
      <c r="E876" t="s">
        <v>29</v>
      </c>
      <c r="F876" t="s">
        <v>29</v>
      </c>
      <c r="G876" t="s">
        <v>29</v>
      </c>
      <c r="H876">
        <v>8</v>
      </c>
      <c r="I876" t="s">
        <v>30</v>
      </c>
      <c r="J876" t="s">
        <v>2596</v>
      </c>
      <c r="K876" t="s">
        <v>2597</v>
      </c>
      <c r="L876" t="s">
        <v>75</v>
      </c>
      <c r="M876" s="4" t="s">
        <v>34</v>
      </c>
      <c r="N876" t="s">
        <v>76</v>
      </c>
      <c r="P876" s="3" t="s">
        <v>36</v>
      </c>
      <c r="Q876" s="3" t="s">
        <v>107</v>
      </c>
      <c r="R876">
        <v>2</v>
      </c>
      <c r="S876" s="5">
        <v>45598</v>
      </c>
      <c r="T876" t="s">
        <v>38</v>
      </c>
      <c r="U876">
        <f t="shared" ca="1" si="78"/>
        <v>13</v>
      </c>
      <c r="V876" s="6">
        <f t="shared" ca="1" si="79"/>
        <v>46015</v>
      </c>
      <c r="W876" s="6">
        <f t="shared" ca="1" si="80"/>
        <v>46021</v>
      </c>
      <c r="X876" t="str">
        <f t="shared" ca="1" si="81"/>
        <v>Dec 24 to Dec 30</v>
      </c>
      <c r="Y876" t="str">
        <f t="shared" ca="1" si="82"/>
        <v>🔵 NEXT 2 WEEKS</v>
      </c>
      <c r="Z876" t="str">
        <f t="shared" ca="1" si="83"/>
        <v>Send reminder SMS</v>
      </c>
    </row>
    <row r="877" spans="1:26">
      <c r="A877">
        <v>1048163461</v>
      </c>
      <c r="B877" s="3" t="s">
        <v>2598</v>
      </c>
      <c r="C877">
        <v>53</v>
      </c>
      <c r="D877" t="s">
        <v>47</v>
      </c>
      <c r="E877" t="s">
        <v>28</v>
      </c>
      <c r="F877" t="s">
        <v>29</v>
      </c>
      <c r="G877" t="s">
        <v>28</v>
      </c>
      <c r="H877">
        <v>4</v>
      </c>
      <c r="I877" t="s">
        <v>66</v>
      </c>
      <c r="J877" t="s">
        <v>173</v>
      </c>
      <c r="K877" t="s">
        <v>1391</v>
      </c>
      <c r="M877" s="4" t="s">
        <v>34</v>
      </c>
      <c r="N877" t="s">
        <v>64</v>
      </c>
      <c r="P877" s="3" t="s">
        <v>36</v>
      </c>
      <c r="Q877" s="3" t="s">
        <v>96</v>
      </c>
      <c r="R877">
        <v>2</v>
      </c>
      <c r="S877" s="5">
        <v>45811</v>
      </c>
      <c r="T877" t="s">
        <v>38</v>
      </c>
      <c r="U877">
        <f t="shared" ca="1" si="78"/>
        <v>16</v>
      </c>
      <c r="V877" s="6">
        <f t="shared" ca="1" si="79"/>
        <v>46018</v>
      </c>
      <c r="W877" s="6">
        <f t="shared" ca="1" si="80"/>
        <v>46024</v>
      </c>
      <c r="X877" t="str">
        <f t="shared" ca="1" si="81"/>
        <v>Dec 27 to Jan 2</v>
      </c>
      <c r="Y877" t="str">
        <f t="shared" ca="1" si="82"/>
        <v>⚪ SCHEDULED</v>
      </c>
      <c r="Z877" t="str">
        <f t="shared" ca="1" si="83"/>
        <v>No action needed yet</v>
      </c>
    </row>
    <row r="878" spans="1:26">
      <c r="A878">
        <v>1048228041</v>
      </c>
      <c r="B878" s="3" t="s">
        <v>2599</v>
      </c>
      <c r="C878">
        <v>38</v>
      </c>
      <c r="D878" t="s">
        <v>47</v>
      </c>
      <c r="E878" t="s">
        <v>54</v>
      </c>
      <c r="F878" t="s">
        <v>54</v>
      </c>
      <c r="G878" t="s">
        <v>54</v>
      </c>
      <c r="H878">
        <v>0</v>
      </c>
      <c r="I878" t="s">
        <v>55</v>
      </c>
      <c r="J878" t="s">
        <v>2600</v>
      </c>
      <c r="K878" t="s">
        <v>2601</v>
      </c>
      <c r="L878" t="s">
        <v>808</v>
      </c>
      <c r="M878" s="4" t="s">
        <v>43</v>
      </c>
      <c r="N878" t="s">
        <v>59</v>
      </c>
      <c r="P878" s="3" t="s">
        <v>36</v>
      </c>
      <c r="Q878" t="s">
        <v>54</v>
      </c>
      <c r="R878">
        <v>1</v>
      </c>
      <c r="S878" s="5">
        <v>45970</v>
      </c>
      <c r="T878" t="s">
        <v>393</v>
      </c>
      <c r="U878">
        <f t="shared" ca="1" si="78"/>
        <v>55</v>
      </c>
      <c r="V878" s="6">
        <f t="shared" ca="1" si="79"/>
        <v>46057</v>
      </c>
      <c r="W878" s="6">
        <f t="shared" ca="1" si="80"/>
        <v>46063</v>
      </c>
      <c r="X878" t="str">
        <f t="shared" ca="1" si="81"/>
        <v>Feb 4 to Feb 10</v>
      </c>
      <c r="Y878" t="str">
        <f t="shared" ca="1" si="82"/>
        <v>⚪ SCHEDULED</v>
      </c>
      <c r="Z878" t="str">
        <f t="shared" ca="1" si="83"/>
        <v>No action needed yet</v>
      </c>
    </row>
    <row r="879" spans="1:26">
      <c r="A879">
        <v>1048331308</v>
      </c>
      <c r="B879" s="3" t="s">
        <v>2602</v>
      </c>
      <c r="C879">
        <v>76</v>
      </c>
      <c r="D879" t="s">
        <v>47</v>
      </c>
      <c r="E879" t="s">
        <v>29</v>
      </c>
      <c r="F879" t="s">
        <v>28</v>
      </c>
      <c r="G879" t="s">
        <v>28</v>
      </c>
      <c r="H879">
        <v>6</v>
      </c>
      <c r="I879" t="s">
        <v>30</v>
      </c>
      <c r="J879" t="s">
        <v>2603</v>
      </c>
      <c r="K879" t="s">
        <v>2604</v>
      </c>
      <c r="L879" t="s">
        <v>234</v>
      </c>
      <c r="M879" s="4" t="s">
        <v>34</v>
      </c>
      <c r="N879" t="s">
        <v>162</v>
      </c>
      <c r="P879" s="3" t="s">
        <v>36</v>
      </c>
      <c r="Q879" t="s">
        <v>54</v>
      </c>
      <c r="R879">
        <v>1</v>
      </c>
      <c r="S879" s="5">
        <v>45680</v>
      </c>
      <c r="T879" t="s">
        <v>38</v>
      </c>
      <c r="U879">
        <f t="shared" ca="1" si="78"/>
        <v>5</v>
      </c>
      <c r="V879" s="6">
        <f t="shared" ca="1" si="79"/>
        <v>46007</v>
      </c>
      <c r="W879" s="6">
        <f t="shared" ca="1" si="80"/>
        <v>46013</v>
      </c>
      <c r="X879" t="str">
        <f t="shared" ca="1" si="81"/>
        <v>Dec 16 to Dec 22</v>
      </c>
      <c r="Y879" t="str">
        <f t="shared" ca="1" si="82"/>
        <v>🟢 THIS WEEK</v>
      </c>
      <c r="Z879" t="str">
        <f t="shared" ca="1" si="83"/>
        <v>Confirm appointment</v>
      </c>
    </row>
    <row r="880" spans="1:26">
      <c r="A880">
        <v>1048435448</v>
      </c>
      <c r="B880" s="3" t="s">
        <v>2605</v>
      </c>
      <c r="C880">
        <v>38</v>
      </c>
      <c r="D880" t="s">
        <v>27</v>
      </c>
      <c r="E880" t="s">
        <v>28</v>
      </c>
      <c r="F880" t="s">
        <v>28</v>
      </c>
      <c r="G880" t="s">
        <v>28</v>
      </c>
      <c r="H880">
        <v>0</v>
      </c>
      <c r="I880" t="s">
        <v>55</v>
      </c>
      <c r="J880" t="s">
        <v>398</v>
      </c>
      <c r="K880" t="s">
        <v>1690</v>
      </c>
      <c r="L880" t="s">
        <v>69</v>
      </c>
      <c r="M880" s="4" t="s">
        <v>94</v>
      </c>
      <c r="N880" t="s">
        <v>59</v>
      </c>
      <c r="P880" s="3" t="s">
        <v>36</v>
      </c>
      <c r="Q880" s="3" t="s">
        <v>107</v>
      </c>
      <c r="R880">
        <v>2</v>
      </c>
      <c r="S880" s="5">
        <v>45999</v>
      </c>
      <c r="T880" t="s">
        <v>393</v>
      </c>
      <c r="U880">
        <f t="shared" ca="1" si="78"/>
        <v>84</v>
      </c>
      <c r="V880" s="6">
        <f t="shared" ca="1" si="79"/>
        <v>46086</v>
      </c>
      <c r="W880" s="6">
        <f t="shared" ca="1" si="80"/>
        <v>46092</v>
      </c>
      <c r="X880" t="str">
        <f t="shared" ca="1" si="81"/>
        <v>Mar 5 to Mar 11</v>
      </c>
      <c r="Y880" t="str">
        <f t="shared" ca="1" si="82"/>
        <v>⚪ SCHEDULED</v>
      </c>
      <c r="Z880" t="str">
        <f t="shared" ca="1" si="83"/>
        <v>No action needed yet</v>
      </c>
    </row>
    <row r="881" spans="1:26">
      <c r="A881">
        <v>1048492167</v>
      </c>
      <c r="B881" s="3" t="s">
        <v>2606</v>
      </c>
      <c r="C881">
        <v>53</v>
      </c>
      <c r="D881" t="s">
        <v>27</v>
      </c>
      <c r="E881" t="s">
        <v>28</v>
      </c>
      <c r="F881" t="s">
        <v>29</v>
      </c>
      <c r="G881" t="s">
        <v>28</v>
      </c>
      <c r="H881">
        <v>4</v>
      </c>
      <c r="I881" t="s">
        <v>66</v>
      </c>
      <c r="J881" t="s">
        <v>398</v>
      </c>
      <c r="K881" t="s">
        <v>802</v>
      </c>
      <c r="L881" t="s">
        <v>69</v>
      </c>
      <c r="M881" s="4" t="s">
        <v>34</v>
      </c>
      <c r="N881" t="s">
        <v>70</v>
      </c>
      <c r="P881" s="3" t="s">
        <v>36</v>
      </c>
      <c r="Q881" s="3" t="s">
        <v>45</v>
      </c>
      <c r="R881">
        <v>1</v>
      </c>
      <c r="S881" s="5">
        <v>45609</v>
      </c>
      <c r="T881" t="s">
        <v>38</v>
      </c>
      <c r="U881">
        <f t="shared" ca="1" si="78"/>
        <v>24</v>
      </c>
      <c r="V881" s="6">
        <f t="shared" ca="1" si="79"/>
        <v>46026</v>
      </c>
      <c r="W881" s="6">
        <f t="shared" ca="1" si="80"/>
        <v>46032</v>
      </c>
      <c r="X881" t="str">
        <f t="shared" ca="1" si="81"/>
        <v>Jan 4 to Jan 10</v>
      </c>
      <c r="Y881" t="str">
        <f t="shared" ca="1" si="82"/>
        <v>⚪ SCHEDULED</v>
      </c>
      <c r="Z881" t="str">
        <f t="shared" ca="1" si="83"/>
        <v>No action needed yet</v>
      </c>
    </row>
    <row r="882" spans="1:26">
      <c r="A882">
        <v>1048759102</v>
      </c>
      <c r="B882" s="3" t="s">
        <v>2607</v>
      </c>
      <c r="C882">
        <v>57</v>
      </c>
      <c r="D882" t="s">
        <v>47</v>
      </c>
      <c r="E882" t="s">
        <v>28</v>
      </c>
      <c r="F882" t="s">
        <v>29</v>
      </c>
      <c r="G882" t="s">
        <v>29</v>
      </c>
      <c r="H882">
        <v>5</v>
      </c>
      <c r="I882" t="s">
        <v>30</v>
      </c>
      <c r="J882" t="s">
        <v>2608</v>
      </c>
      <c r="K882" t="s">
        <v>2609</v>
      </c>
      <c r="L882" t="s">
        <v>193</v>
      </c>
      <c r="M882" s="4" t="s">
        <v>34</v>
      </c>
      <c r="N882" t="s">
        <v>333</v>
      </c>
      <c r="P882" s="3" t="s">
        <v>36</v>
      </c>
      <c r="Q882" s="3" t="s">
        <v>230</v>
      </c>
      <c r="R882">
        <v>2</v>
      </c>
      <c r="S882" s="5">
        <v>45650</v>
      </c>
      <c r="T882" t="s">
        <v>38</v>
      </c>
      <c r="U882">
        <f t="shared" ca="1" si="78"/>
        <v>5</v>
      </c>
      <c r="V882" s="6">
        <f t="shared" ca="1" si="79"/>
        <v>46007</v>
      </c>
      <c r="W882" s="6">
        <f t="shared" ca="1" si="80"/>
        <v>46013</v>
      </c>
      <c r="X882" t="str">
        <f t="shared" ca="1" si="81"/>
        <v>Dec 16 to Dec 22</v>
      </c>
      <c r="Y882" t="str">
        <f t="shared" ca="1" si="82"/>
        <v>🟢 THIS WEEK</v>
      </c>
      <c r="Z882" t="str">
        <f t="shared" ca="1" si="83"/>
        <v>Confirm appointment</v>
      </c>
    </row>
    <row r="883" spans="1:26">
      <c r="A883">
        <v>1048790073</v>
      </c>
      <c r="B883" s="3" t="s">
        <v>2610</v>
      </c>
      <c r="C883">
        <v>59</v>
      </c>
      <c r="D883" t="s">
        <v>27</v>
      </c>
      <c r="E883" t="s">
        <v>28</v>
      </c>
      <c r="F883" t="s">
        <v>29</v>
      </c>
      <c r="G883" t="s">
        <v>29</v>
      </c>
      <c r="H883">
        <v>5</v>
      </c>
      <c r="I883" t="s">
        <v>30</v>
      </c>
      <c r="J883" t="s">
        <v>2611</v>
      </c>
      <c r="K883" t="s">
        <v>2612</v>
      </c>
      <c r="L883" t="s">
        <v>166</v>
      </c>
      <c r="M883" s="4" t="s">
        <v>43</v>
      </c>
      <c r="N883" t="s">
        <v>333</v>
      </c>
      <c r="P883" s="3" t="s">
        <v>36</v>
      </c>
      <c r="Q883" s="3" t="s">
        <v>245</v>
      </c>
      <c r="R883">
        <v>1</v>
      </c>
      <c r="S883" s="5">
        <v>45913</v>
      </c>
      <c r="T883" t="s">
        <v>38</v>
      </c>
      <c r="U883">
        <f t="shared" ca="1" si="78"/>
        <v>28</v>
      </c>
      <c r="V883" s="6">
        <f t="shared" ca="1" si="79"/>
        <v>46030</v>
      </c>
      <c r="W883" s="6">
        <f t="shared" ca="1" si="80"/>
        <v>46036</v>
      </c>
      <c r="X883" t="str">
        <f t="shared" ca="1" si="81"/>
        <v>Jan 8 to Jan 14</v>
      </c>
      <c r="Y883" t="str">
        <f t="shared" ca="1" si="82"/>
        <v>⚪ SCHEDULED</v>
      </c>
      <c r="Z883" t="str">
        <f t="shared" ca="1" si="83"/>
        <v>No action needed yet</v>
      </c>
    </row>
    <row r="884" spans="1:26">
      <c r="A884">
        <v>1048822348</v>
      </c>
      <c r="B884" s="3" t="s">
        <v>2613</v>
      </c>
      <c r="C884">
        <v>41</v>
      </c>
      <c r="D884" t="s">
        <v>47</v>
      </c>
      <c r="E884" t="s">
        <v>28</v>
      </c>
      <c r="F884" t="s">
        <v>28</v>
      </c>
      <c r="G884" t="s">
        <v>29</v>
      </c>
      <c r="H884">
        <v>2</v>
      </c>
      <c r="I884" t="s">
        <v>55</v>
      </c>
      <c r="J884" t="s">
        <v>519</v>
      </c>
      <c r="K884" t="s">
        <v>1645</v>
      </c>
      <c r="L884" t="s">
        <v>114</v>
      </c>
      <c r="M884" s="4" t="s">
        <v>34</v>
      </c>
      <c r="N884" t="s">
        <v>140</v>
      </c>
      <c r="P884" s="3" t="s">
        <v>36</v>
      </c>
      <c r="Q884" s="3" t="s">
        <v>84</v>
      </c>
      <c r="R884">
        <v>1</v>
      </c>
      <c r="S884" s="5">
        <v>45358</v>
      </c>
      <c r="T884" t="s">
        <v>60</v>
      </c>
      <c r="U884">
        <f t="shared" ca="1" si="78"/>
        <v>13</v>
      </c>
      <c r="V884" s="6">
        <f t="shared" ca="1" si="79"/>
        <v>46015</v>
      </c>
      <c r="W884" s="6">
        <f t="shared" ca="1" si="80"/>
        <v>46021</v>
      </c>
      <c r="X884" t="str">
        <f t="shared" ca="1" si="81"/>
        <v>Dec 24 to Dec 30</v>
      </c>
      <c r="Y884" t="str">
        <f t="shared" ca="1" si="82"/>
        <v>🔵 NEXT 2 WEEKS</v>
      </c>
      <c r="Z884" t="str">
        <f t="shared" ca="1" si="83"/>
        <v>Send reminder SMS</v>
      </c>
    </row>
    <row r="885" spans="1:26">
      <c r="A885">
        <v>1048851065</v>
      </c>
      <c r="B885" s="3" t="s">
        <v>2614</v>
      </c>
      <c r="C885">
        <v>55</v>
      </c>
      <c r="D885" t="s">
        <v>47</v>
      </c>
      <c r="E885" t="s">
        <v>29</v>
      </c>
      <c r="F885" t="s">
        <v>28</v>
      </c>
      <c r="G885" t="s">
        <v>28</v>
      </c>
      <c r="H885">
        <v>4</v>
      </c>
      <c r="I885" t="s">
        <v>66</v>
      </c>
      <c r="J885" t="s">
        <v>2615</v>
      </c>
      <c r="K885" t="s">
        <v>2616</v>
      </c>
      <c r="M885" s="4" t="s">
        <v>34</v>
      </c>
      <c r="N885" t="s">
        <v>148</v>
      </c>
      <c r="P885" s="3" t="s">
        <v>36</v>
      </c>
      <c r="Q885" s="3" t="s">
        <v>107</v>
      </c>
      <c r="R885">
        <v>2</v>
      </c>
      <c r="S885" s="5">
        <v>45729</v>
      </c>
      <c r="T885" t="s">
        <v>38</v>
      </c>
      <c r="U885">
        <f t="shared" ca="1" si="78"/>
        <v>24</v>
      </c>
      <c r="V885" s="6">
        <f t="shared" ca="1" si="79"/>
        <v>46026</v>
      </c>
      <c r="W885" s="6">
        <f t="shared" ca="1" si="80"/>
        <v>46032</v>
      </c>
      <c r="X885" t="str">
        <f t="shared" ca="1" si="81"/>
        <v>Jan 4 to Jan 10</v>
      </c>
      <c r="Y885" t="str">
        <f t="shared" ca="1" si="82"/>
        <v>⚪ SCHEDULED</v>
      </c>
      <c r="Z885" t="str">
        <f t="shared" ca="1" si="83"/>
        <v>No action needed yet</v>
      </c>
    </row>
    <row r="886" spans="1:26">
      <c r="A886">
        <v>1048947491</v>
      </c>
      <c r="B886" s="3" t="s">
        <v>2617</v>
      </c>
      <c r="C886">
        <v>60</v>
      </c>
      <c r="D886" t="s">
        <v>27</v>
      </c>
      <c r="E886" t="s">
        <v>29</v>
      </c>
      <c r="F886" t="s">
        <v>29</v>
      </c>
      <c r="G886" t="s">
        <v>29</v>
      </c>
      <c r="H886">
        <v>6</v>
      </c>
      <c r="I886" t="s">
        <v>30</v>
      </c>
      <c r="J886" t="s">
        <v>468</v>
      </c>
      <c r="K886" t="s">
        <v>2618</v>
      </c>
      <c r="L886" t="s">
        <v>114</v>
      </c>
      <c r="M886" s="4" t="s">
        <v>34</v>
      </c>
      <c r="N886" t="s">
        <v>470</v>
      </c>
      <c r="P886" s="3" t="s">
        <v>36</v>
      </c>
      <c r="Q886" s="3" t="s">
        <v>313</v>
      </c>
      <c r="R886">
        <v>1</v>
      </c>
      <c r="S886" s="5">
        <v>45828</v>
      </c>
      <c r="T886" t="s">
        <v>38</v>
      </c>
      <c r="U886">
        <f t="shared" ca="1" si="78"/>
        <v>3</v>
      </c>
      <c r="V886" s="6">
        <f t="shared" ca="1" si="79"/>
        <v>46005</v>
      </c>
      <c r="W886" s="6">
        <f t="shared" ca="1" si="80"/>
        <v>46011</v>
      </c>
      <c r="X886" t="str">
        <f t="shared" ca="1" si="81"/>
        <v>Dec 14 to Dec 20</v>
      </c>
      <c r="Y886" t="str">
        <f t="shared" ca="1" si="82"/>
        <v>🟡 IMMINENT (within 3 days)</v>
      </c>
      <c r="Z886" t="str">
        <f t="shared" ca="1" si="83"/>
        <v>Prepare medications TODAY</v>
      </c>
    </row>
    <row r="887" spans="1:26">
      <c r="A887">
        <v>1049002130</v>
      </c>
      <c r="B887" s="3" t="s">
        <v>2619</v>
      </c>
      <c r="C887">
        <v>62</v>
      </c>
      <c r="D887" t="s">
        <v>47</v>
      </c>
      <c r="E887" t="s">
        <v>29</v>
      </c>
      <c r="F887" t="s">
        <v>28</v>
      </c>
      <c r="G887" t="s">
        <v>29</v>
      </c>
      <c r="H887">
        <v>5</v>
      </c>
      <c r="I887" t="s">
        <v>30</v>
      </c>
      <c r="J887" t="s">
        <v>112</v>
      </c>
      <c r="K887" t="s">
        <v>2620</v>
      </c>
      <c r="L887" t="s">
        <v>114</v>
      </c>
      <c r="M887" s="4" t="s">
        <v>34</v>
      </c>
      <c r="N887" t="s">
        <v>115</v>
      </c>
      <c r="P887" s="3" t="s">
        <v>36</v>
      </c>
      <c r="Q887" s="3" t="s">
        <v>77</v>
      </c>
      <c r="R887">
        <v>1</v>
      </c>
      <c r="S887" s="5">
        <v>45601</v>
      </c>
      <c r="T887" t="s">
        <v>38</v>
      </c>
      <c r="U887">
        <f t="shared" ca="1" si="78"/>
        <v>16</v>
      </c>
      <c r="V887" s="6">
        <f t="shared" ca="1" si="79"/>
        <v>46018</v>
      </c>
      <c r="W887" s="6">
        <f t="shared" ca="1" si="80"/>
        <v>46024</v>
      </c>
      <c r="X887" t="str">
        <f t="shared" ca="1" si="81"/>
        <v>Dec 27 to Jan 2</v>
      </c>
      <c r="Y887" t="str">
        <f t="shared" ca="1" si="82"/>
        <v>⚪ SCHEDULED</v>
      </c>
      <c r="Z887" t="str">
        <f t="shared" ca="1" si="83"/>
        <v>No action needed yet</v>
      </c>
    </row>
    <row r="888" spans="1:26">
      <c r="A888">
        <v>1049138322</v>
      </c>
      <c r="B888" s="3" t="s">
        <v>2621</v>
      </c>
      <c r="C888">
        <v>39</v>
      </c>
      <c r="D888" t="s">
        <v>47</v>
      </c>
      <c r="E888" t="s">
        <v>28</v>
      </c>
      <c r="F888" t="s">
        <v>29</v>
      </c>
      <c r="G888" t="s">
        <v>28</v>
      </c>
      <c r="H888">
        <v>3</v>
      </c>
      <c r="I888" t="s">
        <v>66</v>
      </c>
      <c r="J888" t="s">
        <v>2622</v>
      </c>
      <c r="K888" t="s">
        <v>2623</v>
      </c>
      <c r="L888" t="s">
        <v>428</v>
      </c>
      <c r="M888" s="4" t="s">
        <v>43</v>
      </c>
      <c r="N888" t="s">
        <v>70</v>
      </c>
      <c r="P888" s="3" t="s">
        <v>36</v>
      </c>
      <c r="Q888" t="s">
        <v>54</v>
      </c>
      <c r="R888">
        <v>2</v>
      </c>
      <c r="S888" s="5">
        <v>45925</v>
      </c>
      <c r="T888" t="s">
        <v>38</v>
      </c>
      <c r="U888">
        <f t="shared" ca="1" si="78"/>
        <v>10</v>
      </c>
      <c r="V888" s="6">
        <f t="shared" ca="1" si="79"/>
        <v>46012</v>
      </c>
      <c r="W888" s="6">
        <f t="shared" ca="1" si="80"/>
        <v>46018</v>
      </c>
      <c r="X888" t="str">
        <f t="shared" ca="1" si="81"/>
        <v>Dec 21 to Dec 27</v>
      </c>
      <c r="Y888" t="str">
        <f t="shared" ca="1" si="82"/>
        <v>🔵 NEXT 2 WEEKS</v>
      </c>
      <c r="Z888" t="str">
        <f t="shared" ca="1" si="83"/>
        <v>Send reminder SMS</v>
      </c>
    </row>
    <row r="889" spans="1:26">
      <c r="A889">
        <v>1049236068</v>
      </c>
      <c r="B889" s="3" t="s">
        <v>2624</v>
      </c>
      <c r="C889">
        <v>54</v>
      </c>
      <c r="D889" t="s">
        <v>47</v>
      </c>
      <c r="E889" t="s">
        <v>29</v>
      </c>
      <c r="F889" t="s">
        <v>29</v>
      </c>
      <c r="G889" t="s">
        <v>29</v>
      </c>
      <c r="H889">
        <v>5</v>
      </c>
      <c r="I889" t="s">
        <v>30</v>
      </c>
      <c r="J889" t="s">
        <v>388</v>
      </c>
      <c r="K889" t="s">
        <v>2625</v>
      </c>
      <c r="L889" t="s">
        <v>33</v>
      </c>
      <c r="M889" s="4" t="s">
        <v>43</v>
      </c>
      <c r="N889" t="s">
        <v>44</v>
      </c>
      <c r="P889" s="3" t="s">
        <v>36</v>
      </c>
      <c r="Q889" s="3" t="s">
        <v>84</v>
      </c>
      <c r="R889">
        <v>1</v>
      </c>
      <c r="S889" s="5">
        <v>45925</v>
      </c>
      <c r="T889" t="s">
        <v>38</v>
      </c>
      <c r="U889">
        <f t="shared" ca="1" si="78"/>
        <v>10</v>
      </c>
      <c r="V889" s="6">
        <f t="shared" ca="1" si="79"/>
        <v>46012</v>
      </c>
      <c r="W889" s="6">
        <f t="shared" ca="1" si="80"/>
        <v>46018</v>
      </c>
      <c r="X889" t="str">
        <f t="shared" ca="1" si="81"/>
        <v>Dec 21 to Dec 27</v>
      </c>
      <c r="Y889" t="str">
        <f t="shared" ca="1" si="82"/>
        <v>🔵 NEXT 2 WEEKS</v>
      </c>
      <c r="Z889" t="str">
        <f t="shared" ca="1" si="83"/>
        <v>Send reminder SMS</v>
      </c>
    </row>
    <row r="890" spans="1:26">
      <c r="A890">
        <v>1049292640</v>
      </c>
      <c r="B890" s="3" t="s">
        <v>2626</v>
      </c>
      <c r="C890">
        <v>68</v>
      </c>
      <c r="D890" t="s">
        <v>27</v>
      </c>
      <c r="E890" t="s">
        <v>29</v>
      </c>
      <c r="F890" t="s">
        <v>29</v>
      </c>
      <c r="G890" t="s">
        <v>29</v>
      </c>
      <c r="H890">
        <v>7</v>
      </c>
      <c r="I890" t="s">
        <v>30</v>
      </c>
      <c r="J890" t="s">
        <v>2627</v>
      </c>
      <c r="K890" t="s">
        <v>2628</v>
      </c>
      <c r="L890" t="s">
        <v>88</v>
      </c>
      <c r="M890" s="4" t="s">
        <v>43</v>
      </c>
      <c r="N890" t="s">
        <v>89</v>
      </c>
      <c r="P890" s="3" t="s">
        <v>36</v>
      </c>
      <c r="Q890" s="3" t="s">
        <v>96</v>
      </c>
      <c r="R890">
        <v>2</v>
      </c>
      <c r="S890" s="5">
        <v>45924</v>
      </c>
      <c r="T890" t="s">
        <v>38</v>
      </c>
      <c r="U890">
        <f t="shared" ca="1" si="78"/>
        <v>9</v>
      </c>
      <c r="V890" s="6">
        <f t="shared" ca="1" si="79"/>
        <v>46011</v>
      </c>
      <c r="W890" s="6">
        <f t="shared" ca="1" si="80"/>
        <v>46017</v>
      </c>
      <c r="X890" t="str">
        <f t="shared" ca="1" si="81"/>
        <v>Dec 20 to Dec 26</v>
      </c>
      <c r="Y890" t="str">
        <f t="shared" ca="1" si="82"/>
        <v>🔵 NEXT 2 WEEKS</v>
      </c>
      <c r="Z890" t="str">
        <f t="shared" ca="1" si="83"/>
        <v>Send reminder SMS</v>
      </c>
    </row>
    <row r="891" spans="1:26">
      <c r="A891">
        <v>1049305475</v>
      </c>
      <c r="B891" s="3" t="s">
        <v>2629</v>
      </c>
      <c r="C891">
        <v>45</v>
      </c>
      <c r="D891" t="s">
        <v>27</v>
      </c>
      <c r="E891" t="s">
        <v>54</v>
      </c>
      <c r="F891" t="s">
        <v>54</v>
      </c>
      <c r="G891" t="s">
        <v>54</v>
      </c>
      <c r="H891">
        <v>1</v>
      </c>
      <c r="I891" t="s">
        <v>55</v>
      </c>
      <c r="J891" t="s">
        <v>2630</v>
      </c>
      <c r="K891" t="s">
        <v>2631</v>
      </c>
      <c r="L891" t="s">
        <v>170</v>
      </c>
      <c r="M891" s="4" t="s">
        <v>43</v>
      </c>
      <c r="N891" t="s">
        <v>59</v>
      </c>
      <c r="P891" s="3" t="s">
        <v>36</v>
      </c>
      <c r="Q891" s="3" t="s">
        <v>107</v>
      </c>
      <c r="R891">
        <v>1</v>
      </c>
      <c r="S891" s="5">
        <v>45959</v>
      </c>
      <c r="T891" t="s">
        <v>393</v>
      </c>
      <c r="U891">
        <f t="shared" ca="1" si="78"/>
        <v>44</v>
      </c>
      <c r="V891" s="6">
        <f t="shared" ca="1" si="79"/>
        <v>46046</v>
      </c>
      <c r="W891" s="6">
        <f t="shared" ca="1" si="80"/>
        <v>46052</v>
      </c>
      <c r="X891" t="str">
        <f t="shared" ca="1" si="81"/>
        <v>Jan 24 to Jan 30</v>
      </c>
      <c r="Y891" t="str">
        <f t="shared" ca="1" si="82"/>
        <v>⚪ SCHEDULED</v>
      </c>
      <c r="Z891" t="str">
        <f t="shared" ca="1" si="83"/>
        <v>No action needed yet</v>
      </c>
    </row>
    <row r="892" spans="1:26">
      <c r="A892">
        <v>1049481599</v>
      </c>
      <c r="B892" s="3" t="s">
        <v>2632</v>
      </c>
      <c r="C892">
        <v>66</v>
      </c>
      <c r="D892" t="s">
        <v>47</v>
      </c>
      <c r="E892" t="s">
        <v>28</v>
      </c>
      <c r="F892" t="s">
        <v>28</v>
      </c>
      <c r="G892" t="s">
        <v>28</v>
      </c>
      <c r="H892">
        <v>4</v>
      </c>
      <c r="I892" t="s">
        <v>66</v>
      </c>
      <c r="J892" t="s">
        <v>2633</v>
      </c>
      <c r="K892" t="s">
        <v>2634</v>
      </c>
      <c r="M892" s="4" t="s">
        <v>34</v>
      </c>
      <c r="N892" t="s">
        <v>59</v>
      </c>
      <c r="P892" s="3" t="s">
        <v>36</v>
      </c>
      <c r="Q892" s="3" t="s">
        <v>45</v>
      </c>
      <c r="R892">
        <v>1</v>
      </c>
      <c r="S892" s="5">
        <v>45609</v>
      </c>
      <c r="T892" t="s">
        <v>38</v>
      </c>
      <c r="U892">
        <f t="shared" ca="1" si="78"/>
        <v>24</v>
      </c>
      <c r="V892" s="6">
        <f t="shared" ca="1" si="79"/>
        <v>46026</v>
      </c>
      <c r="W892" s="6">
        <f t="shared" ca="1" si="80"/>
        <v>46032</v>
      </c>
      <c r="X892" t="str">
        <f t="shared" ca="1" si="81"/>
        <v>Jan 4 to Jan 10</v>
      </c>
      <c r="Y892" t="str">
        <f t="shared" ca="1" si="82"/>
        <v>⚪ SCHEDULED</v>
      </c>
      <c r="Z892" t="str">
        <f t="shared" ca="1" si="83"/>
        <v>No action needed yet</v>
      </c>
    </row>
    <row r="893" spans="1:26">
      <c r="A893">
        <v>1049499377</v>
      </c>
      <c r="B893" s="3" t="s">
        <v>2635</v>
      </c>
      <c r="C893">
        <v>60</v>
      </c>
      <c r="D893" t="s">
        <v>27</v>
      </c>
      <c r="E893" t="s">
        <v>29</v>
      </c>
      <c r="F893" t="s">
        <v>29</v>
      </c>
      <c r="G893" t="s">
        <v>29</v>
      </c>
      <c r="H893">
        <v>7</v>
      </c>
      <c r="I893" t="s">
        <v>30</v>
      </c>
      <c r="J893" t="s">
        <v>2636</v>
      </c>
      <c r="K893" t="s">
        <v>2637</v>
      </c>
      <c r="M893" s="4" t="s">
        <v>94</v>
      </c>
      <c r="N893" t="s">
        <v>44</v>
      </c>
      <c r="P893" s="3" t="s">
        <v>36</v>
      </c>
      <c r="Q893" s="3" t="s">
        <v>45</v>
      </c>
      <c r="R893">
        <v>2</v>
      </c>
      <c r="S893" s="5">
        <v>45959</v>
      </c>
      <c r="T893" t="s">
        <v>38</v>
      </c>
      <c r="U893">
        <f t="shared" ca="1" si="78"/>
        <v>14</v>
      </c>
      <c r="V893" s="6">
        <f t="shared" ca="1" si="79"/>
        <v>46016</v>
      </c>
      <c r="W893" s="6">
        <f t="shared" ca="1" si="80"/>
        <v>46022</v>
      </c>
      <c r="X893" t="str">
        <f t="shared" ca="1" si="81"/>
        <v>Dec 25 to Dec 31</v>
      </c>
      <c r="Y893" t="str">
        <f t="shared" ca="1" si="82"/>
        <v>🔵 NEXT 2 WEEKS</v>
      </c>
      <c r="Z893" t="str">
        <f t="shared" ca="1" si="83"/>
        <v>Send reminder SMS</v>
      </c>
    </row>
    <row r="894" spans="1:26">
      <c r="A894">
        <v>1049551458</v>
      </c>
      <c r="B894" s="3" t="s">
        <v>2638</v>
      </c>
      <c r="C894">
        <v>69</v>
      </c>
      <c r="D894" t="s">
        <v>47</v>
      </c>
      <c r="E894" t="s">
        <v>29</v>
      </c>
      <c r="F894" t="s">
        <v>29</v>
      </c>
      <c r="G894" t="s">
        <v>28</v>
      </c>
      <c r="H894">
        <v>5</v>
      </c>
      <c r="I894" t="s">
        <v>30</v>
      </c>
      <c r="J894" t="s">
        <v>2639</v>
      </c>
      <c r="K894" t="s">
        <v>2640</v>
      </c>
      <c r="M894" s="4" t="s">
        <v>34</v>
      </c>
      <c r="N894" t="s">
        <v>144</v>
      </c>
      <c r="P894" s="3" t="s">
        <v>36</v>
      </c>
      <c r="Q894" t="s">
        <v>54</v>
      </c>
      <c r="R894">
        <v>1</v>
      </c>
      <c r="S894" s="5">
        <v>45374</v>
      </c>
      <c r="T894" t="s">
        <v>38</v>
      </c>
      <c r="U894">
        <f t="shared" ca="1" si="78"/>
        <v>29</v>
      </c>
      <c r="V894" s="6">
        <f t="shared" ca="1" si="79"/>
        <v>46031</v>
      </c>
      <c r="W894" s="6">
        <f t="shared" ca="1" si="80"/>
        <v>46037</v>
      </c>
      <c r="X894" t="str">
        <f t="shared" ca="1" si="81"/>
        <v>Jan 9 to Jan 15</v>
      </c>
      <c r="Y894" t="str">
        <f t="shared" ca="1" si="82"/>
        <v>⚪ SCHEDULED</v>
      </c>
      <c r="Z894" t="str">
        <f t="shared" ca="1" si="83"/>
        <v>No action needed yet</v>
      </c>
    </row>
    <row r="895" spans="1:26">
      <c r="A895">
        <v>1049567520</v>
      </c>
      <c r="B895" s="3" t="s">
        <v>2641</v>
      </c>
      <c r="C895">
        <v>39</v>
      </c>
      <c r="D895" t="s">
        <v>47</v>
      </c>
      <c r="E895" t="s">
        <v>28</v>
      </c>
      <c r="F895" t="s">
        <v>29</v>
      </c>
      <c r="G895" t="s">
        <v>29</v>
      </c>
      <c r="H895">
        <v>3</v>
      </c>
      <c r="I895" t="s">
        <v>66</v>
      </c>
      <c r="J895" t="s">
        <v>2642</v>
      </c>
      <c r="K895" t="s">
        <v>2643</v>
      </c>
      <c r="M895" s="4" t="s">
        <v>94</v>
      </c>
      <c r="N895" t="s">
        <v>35</v>
      </c>
      <c r="P895" s="3" t="s">
        <v>36</v>
      </c>
      <c r="Q895" s="3" t="s">
        <v>107</v>
      </c>
      <c r="R895">
        <v>1</v>
      </c>
      <c r="S895" s="5">
        <v>45947</v>
      </c>
      <c r="T895" t="s">
        <v>38</v>
      </c>
      <c r="U895">
        <f t="shared" ca="1" si="78"/>
        <v>2</v>
      </c>
      <c r="V895" s="6">
        <f t="shared" ca="1" si="79"/>
        <v>46004</v>
      </c>
      <c r="W895" s="6">
        <f t="shared" ca="1" si="80"/>
        <v>46010</v>
      </c>
      <c r="X895" t="str">
        <f t="shared" ca="1" si="81"/>
        <v>Dec 13 to Dec 19</v>
      </c>
      <c r="Y895" t="str">
        <f t="shared" ca="1" si="82"/>
        <v>🟡 IMMINENT (within 3 days)</v>
      </c>
      <c r="Z895" t="str">
        <f t="shared" ca="1" si="83"/>
        <v>Prepare medications TODAY</v>
      </c>
    </row>
    <row r="896" spans="1:26">
      <c r="A896">
        <v>1049880352</v>
      </c>
      <c r="B896" s="3" t="s">
        <v>2644</v>
      </c>
      <c r="C896">
        <v>62</v>
      </c>
      <c r="D896" t="s">
        <v>27</v>
      </c>
      <c r="E896" t="s">
        <v>54</v>
      </c>
      <c r="F896" t="s">
        <v>54</v>
      </c>
      <c r="G896" t="s">
        <v>54</v>
      </c>
      <c r="H896">
        <v>3</v>
      </c>
      <c r="I896" t="s">
        <v>66</v>
      </c>
      <c r="J896" t="s">
        <v>894</v>
      </c>
      <c r="K896" t="s">
        <v>2645</v>
      </c>
      <c r="M896" s="4" t="s">
        <v>34</v>
      </c>
      <c r="N896" t="s">
        <v>59</v>
      </c>
      <c r="P896" s="3" t="s">
        <v>36</v>
      </c>
      <c r="Q896" s="3" t="s">
        <v>230</v>
      </c>
      <c r="R896">
        <v>2</v>
      </c>
      <c r="S896" s="5">
        <v>45720</v>
      </c>
      <c r="T896" t="s">
        <v>38</v>
      </c>
      <c r="U896">
        <f t="shared" ca="1" si="78"/>
        <v>15</v>
      </c>
      <c r="V896" s="6">
        <f t="shared" ca="1" si="79"/>
        <v>46017</v>
      </c>
      <c r="W896" s="6">
        <f t="shared" ca="1" si="80"/>
        <v>46023</v>
      </c>
      <c r="X896" t="str">
        <f t="shared" ca="1" si="81"/>
        <v>Dec 26 to Jan 1</v>
      </c>
      <c r="Y896" t="str">
        <f t="shared" ca="1" si="82"/>
        <v>⚪ SCHEDULED</v>
      </c>
      <c r="Z896" t="str">
        <f t="shared" ca="1" si="83"/>
        <v>No action needed yet</v>
      </c>
    </row>
    <row r="897" spans="1:26">
      <c r="A897">
        <v>1050017738</v>
      </c>
      <c r="B897" s="3" t="s">
        <v>2646</v>
      </c>
      <c r="C897">
        <v>48</v>
      </c>
      <c r="D897" t="s">
        <v>27</v>
      </c>
      <c r="E897" t="s">
        <v>28</v>
      </c>
      <c r="F897" t="s">
        <v>29</v>
      </c>
      <c r="G897" t="s">
        <v>28</v>
      </c>
      <c r="H897">
        <v>3</v>
      </c>
      <c r="I897" t="s">
        <v>66</v>
      </c>
      <c r="J897" t="s">
        <v>146</v>
      </c>
      <c r="K897" t="s">
        <v>2647</v>
      </c>
      <c r="M897" s="4" t="s">
        <v>43</v>
      </c>
      <c r="N897" t="s">
        <v>64</v>
      </c>
      <c r="P897" s="3" t="s">
        <v>36</v>
      </c>
      <c r="Q897" s="3" t="s">
        <v>230</v>
      </c>
      <c r="R897">
        <v>1</v>
      </c>
      <c r="S897" s="5">
        <v>45884</v>
      </c>
      <c r="T897" t="s">
        <v>38</v>
      </c>
      <c r="U897">
        <f t="shared" ca="1" si="78"/>
        <v>29</v>
      </c>
      <c r="V897" s="6">
        <f t="shared" ca="1" si="79"/>
        <v>46031</v>
      </c>
      <c r="W897" s="6">
        <f t="shared" ca="1" si="80"/>
        <v>46037</v>
      </c>
      <c r="X897" t="str">
        <f t="shared" ca="1" si="81"/>
        <v>Jan 9 to Jan 15</v>
      </c>
      <c r="Y897" t="str">
        <f t="shared" ca="1" si="82"/>
        <v>⚪ SCHEDULED</v>
      </c>
      <c r="Z897" t="str">
        <f t="shared" ca="1" si="83"/>
        <v>No action needed yet</v>
      </c>
    </row>
    <row r="898" spans="1:26">
      <c r="A898">
        <v>1050041357</v>
      </c>
      <c r="B898" s="3" t="s">
        <v>2648</v>
      </c>
      <c r="C898">
        <v>37</v>
      </c>
      <c r="D898" t="s">
        <v>47</v>
      </c>
      <c r="E898" t="s">
        <v>28</v>
      </c>
      <c r="F898" t="s">
        <v>29</v>
      </c>
      <c r="G898" t="s">
        <v>28</v>
      </c>
      <c r="H898">
        <v>1</v>
      </c>
      <c r="I898" t="s">
        <v>55</v>
      </c>
      <c r="J898" t="s">
        <v>458</v>
      </c>
      <c r="K898" t="s">
        <v>836</v>
      </c>
      <c r="M898" s="4" t="s">
        <v>34</v>
      </c>
      <c r="N898" t="s">
        <v>64</v>
      </c>
      <c r="P898" s="3" t="s">
        <v>36</v>
      </c>
      <c r="Q898" s="3" t="s">
        <v>90</v>
      </c>
      <c r="R898">
        <v>2</v>
      </c>
      <c r="S898" s="5">
        <v>45598</v>
      </c>
      <c r="T898" t="s">
        <v>393</v>
      </c>
      <c r="U898">
        <f t="shared" ref="U898:U961" ca="1" si="84">IF(S898&gt;=TODAY(),S898,S898+CEILING((TODAY()-S898)/IF(T898="Monthly",30,IF(T898="Bi-Monthly",60,90)),1)*IF(T898="Monthly",30,IF(T898="Bi-Monthly",60,90)))-TODAY()</f>
        <v>43</v>
      </c>
      <c r="V898" s="6">
        <f t="shared" ref="V898:V961" ca="1" si="85">IF(S898&gt;=TODAY(),S898,S898+CEILING((TODAY()-S898)/IF(T898="Monthly",30,IF(T898="Bi-Monthly",60,90)),1)*IF(T898="Monthly",30,IF(T898="Bi-Monthly",60,90)))-3</f>
        <v>46045</v>
      </c>
      <c r="W898" s="6">
        <f t="shared" ref="W898:W961" ca="1" si="86">IF(S898&gt;=TODAY(),S898,S898+CEILING((TODAY()-S898)/IF(T898="Monthly",30,IF(T898="Bi-Monthly",60,90)),1)*IF(T898="Monthly",30,IF(T898="Bi-Monthly",60,90)))+3</f>
        <v>46051</v>
      </c>
      <c r="X898" t="str">
        <f t="shared" ref="X898:X961" ca="1" si="87">TEXT(V898,"MMM D")&amp;" to "&amp;TEXT(W898,"MMM D")</f>
        <v>Jan 23 to Jan 29</v>
      </c>
      <c r="Y898" t="str">
        <f t="shared" ref="Y898:Y961" ca="1" si="88">IF(U898&lt;=3,"🟡 IMMINENT (within 3 days)",IF(U898&lt;=7,"🟢 THIS WEEK",IF(U898&lt;=14,"🔵 NEXT 2 WEEKS","⚪ SCHEDULED")))</f>
        <v>⚪ SCHEDULED</v>
      </c>
      <c r="Z898" t="str">
        <f t="shared" ref="Z898:Z961" ca="1" si="89">IF(U898&lt;=3,"Prepare medications TODAY",IF(U898&lt;=7,"Confirm appointment",IF(U898&lt;=14,"Send reminder SMS","No action needed yet")))</f>
        <v>No action needed yet</v>
      </c>
    </row>
    <row r="899" spans="1:26">
      <c r="A899">
        <v>1050190857</v>
      </c>
      <c r="B899" s="3" t="s">
        <v>2649</v>
      </c>
      <c r="C899">
        <v>60</v>
      </c>
      <c r="D899" t="s">
        <v>27</v>
      </c>
      <c r="E899" t="s">
        <v>29</v>
      </c>
      <c r="F899" t="s">
        <v>29</v>
      </c>
      <c r="G899" t="s">
        <v>28</v>
      </c>
      <c r="H899">
        <v>5</v>
      </c>
      <c r="I899" t="s">
        <v>30</v>
      </c>
      <c r="J899" t="s">
        <v>302</v>
      </c>
      <c r="K899" t="s">
        <v>979</v>
      </c>
      <c r="M899" s="4" t="s">
        <v>34</v>
      </c>
      <c r="N899" t="s">
        <v>144</v>
      </c>
      <c r="P899" s="3" t="s">
        <v>36</v>
      </c>
      <c r="Q899" s="3" t="s">
        <v>84</v>
      </c>
      <c r="R899">
        <v>1</v>
      </c>
      <c r="S899" s="5">
        <v>45468</v>
      </c>
      <c r="T899" t="s">
        <v>38</v>
      </c>
      <c r="U899">
        <f t="shared" ca="1" si="84"/>
        <v>3</v>
      </c>
      <c r="V899" s="6">
        <f t="shared" ca="1" si="85"/>
        <v>46005</v>
      </c>
      <c r="W899" s="6">
        <f t="shared" ca="1" si="86"/>
        <v>46011</v>
      </c>
      <c r="X899" t="str">
        <f t="shared" ca="1" si="87"/>
        <v>Dec 14 to Dec 20</v>
      </c>
      <c r="Y899" t="str">
        <f t="shared" ca="1" si="88"/>
        <v>🟡 IMMINENT (within 3 days)</v>
      </c>
      <c r="Z899" t="str">
        <f t="shared" ca="1" si="89"/>
        <v>Prepare medications TODAY</v>
      </c>
    </row>
    <row r="900" spans="1:26">
      <c r="A900">
        <v>1050245859</v>
      </c>
      <c r="B900" s="3" t="s">
        <v>2650</v>
      </c>
      <c r="C900">
        <v>57</v>
      </c>
      <c r="D900" t="s">
        <v>27</v>
      </c>
      <c r="E900" t="s">
        <v>29</v>
      </c>
      <c r="F900" t="s">
        <v>28</v>
      </c>
      <c r="G900" t="s">
        <v>28</v>
      </c>
      <c r="H900">
        <v>4</v>
      </c>
      <c r="I900" t="s">
        <v>66</v>
      </c>
      <c r="J900" t="s">
        <v>2651</v>
      </c>
      <c r="K900" t="s">
        <v>2652</v>
      </c>
      <c r="M900" s="4" t="s">
        <v>43</v>
      </c>
      <c r="N900" t="s">
        <v>148</v>
      </c>
      <c r="P900" s="3" t="s">
        <v>36</v>
      </c>
      <c r="Q900" s="3" t="s">
        <v>84</v>
      </c>
      <c r="R900">
        <v>2</v>
      </c>
      <c r="S900" s="5">
        <v>45910</v>
      </c>
      <c r="T900" t="s">
        <v>38</v>
      </c>
      <c r="U900">
        <f t="shared" ca="1" si="84"/>
        <v>25</v>
      </c>
      <c r="V900" s="6">
        <f t="shared" ca="1" si="85"/>
        <v>46027</v>
      </c>
      <c r="W900" s="6">
        <f t="shared" ca="1" si="86"/>
        <v>46033</v>
      </c>
      <c r="X900" t="str">
        <f t="shared" ca="1" si="87"/>
        <v>Jan 5 to Jan 11</v>
      </c>
      <c r="Y900" t="str">
        <f t="shared" ca="1" si="88"/>
        <v>⚪ SCHEDULED</v>
      </c>
      <c r="Z900" t="str">
        <f t="shared" ca="1" si="89"/>
        <v>No action needed yet</v>
      </c>
    </row>
    <row r="901" spans="1:26">
      <c r="A901">
        <v>1050327327</v>
      </c>
      <c r="B901" s="3" t="s">
        <v>2653</v>
      </c>
      <c r="C901">
        <v>88</v>
      </c>
      <c r="D901" t="s">
        <v>27</v>
      </c>
      <c r="E901" t="s">
        <v>29</v>
      </c>
      <c r="F901" t="s">
        <v>29</v>
      </c>
      <c r="G901" t="s">
        <v>29</v>
      </c>
      <c r="H901">
        <v>7</v>
      </c>
      <c r="I901" t="s">
        <v>30</v>
      </c>
      <c r="J901" t="s">
        <v>253</v>
      </c>
      <c r="K901" t="s">
        <v>1285</v>
      </c>
      <c r="L901" t="s">
        <v>33</v>
      </c>
      <c r="M901" s="4" t="s">
        <v>43</v>
      </c>
      <c r="N901" t="s">
        <v>44</v>
      </c>
      <c r="P901" s="3" t="s">
        <v>36</v>
      </c>
      <c r="Q901" s="3" t="s">
        <v>45</v>
      </c>
      <c r="R901">
        <v>1</v>
      </c>
      <c r="S901" s="5">
        <v>45889</v>
      </c>
      <c r="T901" t="s">
        <v>38</v>
      </c>
      <c r="U901">
        <f t="shared" ca="1" si="84"/>
        <v>4</v>
      </c>
      <c r="V901" s="6">
        <f t="shared" ca="1" si="85"/>
        <v>46006</v>
      </c>
      <c r="W901" s="6">
        <f t="shared" ca="1" si="86"/>
        <v>46012</v>
      </c>
      <c r="X901" t="str">
        <f t="shared" ca="1" si="87"/>
        <v>Dec 15 to Dec 21</v>
      </c>
      <c r="Y901" t="str">
        <f t="shared" ca="1" si="88"/>
        <v>🟢 THIS WEEK</v>
      </c>
      <c r="Z901" t="str">
        <f t="shared" ca="1" si="89"/>
        <v>Confirm appointment</v>
      </c>
    </row>
    <row r="902" spans="1:26">
      <c r="A902">
        <v>1050494291</v>
      </c>
      <c r="B902" s="3" t="s">
        <v>2654</v>
      </c>
      <c r="C902">
        <v>58</v>
      </c>
      <c r="D902" t="s">
        <v>27</v>
      </c>
      <c r="E902" t="s">
        <v>29</v>
      </c>
      <c r="F902" t="s">
        <v>29</v>
      </c>
      <c r="G902" t="s">
        <v>28</v>
      </c>
      <c r="H902">
        <v>5</v>
      </c>
      <c r="I902" t="s">
        <v>30</v>
      </c>
      <c r="J902" t="s">
        <v>2655</v>
      </c>
      <c r="K902" t="s">
        <v>2656</v>
      </c>
      <c r="L902" t="s">
        <v>33</v>
      </c>
      <c r="M902" s="4" t="s">
        <v>43</v>
      </c>
      <c r="N902" t="s">
        <v>144</v>
      </c>
      <c r="P902" s="3" t="s">
        <v>36</v>
      </c>
      <c r="Q902" s="3" t="s">
        <v>84</v>
      </c>
      <c r="R902">
        <v>1</v>
      </c>
      <c r="S902" s="5">
        <v>45885</v>
      </c>
      <c r="T902" t="s">
        <v>38</v>
      </c>
      <c r="U902">
        <f t="shared" ca="1" si="84"/>
        <v>0</v>
      </c>
      <c r="V902" s="6">
        <f t="shared" ca="1" si="85"/>
        <v>46002</v>
      </c>
      <c r="W902" s="6">
        <f t="shared" ca="1" si="86"/>
        <v>46008</v>
      </c>
      <c r="X902" t="str">
        <f t="shared" ca="1" si="87"/>
        <v>Dec 11 to Dec 17</v>
      </c>
      <c r="Y902" t="str">
        <f t="shared" ca="1" si="88"/>
        <v>🟡 IMMINENT (within 3 days)</v>
      </c>
      <c r="Z902" t="str">
        <f t="shared" ca="1" si="89"/>
        <v>Prepare medications TODAY</v>
      </c>
    </row>
    <row r="903" spans="1:26">
      <c r="A903">
        <v>1050635968</v>
      </c>
      <c r="B903" s="3" t="s">
        <v>2657</v>
      </c>
      <c r="C903">
        <v>60</v>
      </c>
      <c r="D903" t="s">
        <v>47</v>
      </c>
      <c r="E903" t="s">
        <v>29</v>
      </c>
      <c r="F903" t="s">
        <v>28</v>
      </c>
      <c r="G903" t="s">
        <v>28</v>
      </c>
      <c r="H903">
        <v>5</v>
      </c>
      <c r="I903" t="s">
        <v>30</v>
      </c>
      <c r="J903" t="s">
        <v>360</v>
      </c>
      <c r="K903" t="s">
        <v>2658</v>
      </c>
      <c r="L903" t="s">
        <v>170</v>
      </c>
      <c r="M903" s="4" t="s">
        <v>34</v>
      </c>
      <c r="N903" t="s">
        <v>162</v>
      </c>
      <c r="P903" s="3" t="s">
        <v>36</v>
      </c>
      <c r="Q903" s="3" t="s">
        <v>45</v>
      </c>
      <c r="R903">
        <v>2</v>
      </c>
      <c r="S903" s="5">
        <v>45412</v>
      </c>
      <c r="T903" t="s">
        <v>38</v>
      </c>
      <c r="U903">
        <f t="shared" ca="1" si="84"/>
        <v>7</v>
      </c>
      <c r="V903" s="6">
        <f t="shared" ca="1" si="85"/>
        <v>46009</v>
      </c>
      <c r="W903" s="6">
        <f t="shared" ca="1" si="86"/>
        <v>46015</v>
      </c>
      <c r="X903" t="str">
        <f t="shared" ca="1" si="87"/>
        <v>Dec 18 to Dec 24</v>
      </c>
      <c r="Y903" t="str">
        <f t="shared" ca="1" si="88"/>
        <v>🟢 THIS WEEK</v>
      </c>
      <c r="Z903" t="str">
        <f t="shared" ca="1" si="89"/>
        <v>Confirm appointment</v>
      </c>
    </row>
    <row r="904" spans="1:26">
      <c r="A904">
        <v>1050713401</v>
      </c>
      <c r="B904" s="3" t="s">
        <v>2659</v>
      </c>
      <c r="C904">
        <v>40</v>
      </c>
      <c r="D904" t="s">
        <v>47</v>
      </c>
      <c r="E904" t="s">
        <v>29</v>
      </c>
      <c r="F904" t="s">
        <v>29</v>
      </c>
      <c r="G904" t="s">
        <v>28</v>
      </c>
      <c r="H904">
        <v>4</v>
      </c>
      <c r="I904" t="s">
        <v>66</v>
      </c>
      <c r="J904" t="s">
        <v>894</v>
      </c>
      <c r="K904" t="s">
        <v>2660</v>
      </c>
      <c r="M904" s="4" t="s">
        <v>94</v>
      </c>
      <c r="N904" t="s">
        <v>144</v>
      </c>
      <c r="P904" s="3" t="s">
        <v>36</v>
      </c>
      <c r="Q904" s="3" t="s">
        <v>84</v>
      </c>
      <c r="R904">
        <v>2</v>
      </c>
      <c r="S904" s="5">
        <v>45958</v>
      </c>
      <c r="T904" t="s">
        <v>38</v>
      </c>
      <c r="U904">
        <f t="shared" ca="1" si="84"/>
        <v>13</v>
      </c>
      <c r="V904" s="6">
        <f t="shared" ca="1" si="85"/>
        <v>46015</v>
      </c>
      <c r="W904" s="6">
        <f t="shared" ca="1" si="86"/>
        <v>46021</v>
      </c>
      <c r="X904" t="str">
        <f t="shared" ca="1" si="87"/>
        <v>Dec 24 to Dec 30</v>
      </c>
      <c r="Y904" t="str">
        <f t="shared" ca="1" si="88"/>
        <v>🔵 NEXT 2 WEEKS</v>
      </c>
      <c r="Z904" t="str">
        <f t="shared" ca="1" si="89"/>
        <v>Send reminder SMS</v>
      </c>
    </row>
    <row r="905" spans="1:26">
      <c r="A905">
        <v>1050845138</v>
      </c>
      <c r="B905" s="3" t="s">
        <v>2661</v>
      </c>
      <c r="C905">
        <v>49</v>
      </c>
      <c r="D905" t="s">
        <v>27</v>
      </c>
      <c r="E905" t="s">
        <v>29</v>
      </c>
      <c r="F905" t="s">
        <v>28</v>
      </c>
      <c r="G905" t="s">
        <v>29</v>
      </c>
      <c r="H905">
        <v>4</v>
      </c>
      <c r="I905" t="s">
        <v>66</v>
      </c>
      <c r="J905" t="s">
        <v>2662</v>
      </c>
      <c r="K905" t="s">
        <v>2663</v>
      </c>
      <c r="L905" t="s">
        <v>208</v>
      </c>
      <c r="M905" s="4" t="s">
        <v>34</v>
      </c>
      <c r="N905" t="s">
        <v>51</v>
      </c>
      <c r="P905" s="3" t="s">
        <v>36</v>
      </c>
      <c r="Q905" s="3" t="s">
        <v>45</v>
      </c>
      <c r="R905">
        <v>1</v>
      </c>
      <c r="S905" s="5">
        <v>45813</v>
      </c>
      <c r="T905" t="s">
        <v>38</v>
      </c>
      <c r="U905">
        <f t="shared" ca="1" si="84"/>
        <v>18</v>
      </c>
      <c r="V905" s="6">
        <f t="shared" ca="1" si="85"/>
        <v>46020</v>
      </c>
      <c r="W905" s="6">
        <f t="shared" ca="1" si="86"/>
        <v>46026</v>
      </c>
      <c r="X905" t="str">
        <f t="shared" ca="1" si="87"/>
        <v>Dec 29 to Jan 4</v>
      </c>
      <c r="Y905" t="str">
        <f t="shared" ca="1" si="88"/>
        <v>⚪ SCHEDULED</v>
      </c>
      <c r="Z905" t="str">
        <f t="shared" ca="1" si="89"/>
        <v>No action needed yet</v>
      </c>
    </row>
    <row r="906" spans="1:26">
      <c r="A906">
        <v>1050901030</v>
      </c>
      <c r="B906" s="3" t="s">
        <v>2664</v>
      </c>
      <c r="C906">
        <v>42</v>
      </c>
      <c r="D906" t="s">
        <v>47</v>
      </c>
      <c r="E906" t="s">
        <v>54</v>
      </c>
      <c r="F906" t="s">
        <v>54</v>
      </c>
      <c r="G906" t="s">
        <v>54</v>
      </c>
      <c r="H906">
        <v>1</v>
      </c>
      <c r="I906" t="s">
        <v>55</v>
      </c>
      <c r="J906" t="s">
        <v>2665</v>
      </c>
      <c r="K906" t="s">
        <v>2666</v>
      </c>
      <c r="L906" t="s">
        <v>139</v>
      </c>
      <c r="M906" s="4" t="s">
        <v>94</v>
      </c>
      <c r="N906" t="s">
        <v>59</v>
      </c>
      <c r="P906" s="3" t="s">
        <v>36</v>
      </c>
      <c r="Q906" s="3" t="s">
        <v>858</v>
      </c>
      <c r="R906">
        <v>1</v>
      </c>
      <c r="S906" s="5">
        <v>46000</v>
      </c>
      <c r="T906" t="s">
        <v>393</v>
      </c>
      <c r="U906">
        <f t="shared" ca="1" si="84"/>
        <v>85</v>
      </c>
      <c r="V906" s="6">
        <f t="shared" ca="1" si="85"/>
        <v>46087</v>
      </c>
      <c r="W906" s="6">
        <f t="shared" ca="1" si="86"/>
        <v>46093</v>
      </c>
      <c r="X906" t="str">
        <f t="shared" ca="1" si="87"/>
        <v>Mar 6 to Mar 12</v>
      </c>
      <c r="Y906" t="str">
        <f t="shared" ca="1" si="88"/>
        <v>⚪ SCHEDULED</v>
      </c>
      <c r="Z906" t="str">
        <f t="shared" ca="1" si="89"/>
        <v>No action needed yet</v>
      </c>
    </row>
    <row r="907" spans="1:26">
      <c r="A907">
        <v>1050914884</v>
      </c>
      <c r="B907" s="3" t="s">
        <v>2667</v>
      </c>
      <c r="C907">
        <v>59</v>
      </c>
      <c r="D907" t="s">
        <v>27</v>
      </c>
      <c r="E907" t="s">
        <v>28</v>
      </c>
      <c r="F907" t="s">
        <v>29</v>
      </c>
      <c r="G907" t="s">
        <v>29</v>
      </c>
      <c r="H907">
        <v>4</v>
      </c>
      <c r="I907" t="s">
        <v>66</v>
      </c>
      <c r="J907" t="s">
        <v>1331</v>
      </c>
      <c r="K907" t="s">
        <v>2668</v>
      </c>
      <c r="M907" s="4" t="s">
        <v>34</v>
      </c>
      <c r="N907" t="s">
        <v>35</v>
      </c>
      <c r="P907" s="3" t="s">
        <v>36</v>
      </c>
      <c r="Q907" s="3" t="s">
        <v>52</v>
      </c>
      <c r="R907">
        <v>2</v>
      </c>
      <c r="S907" s="5">
        <v>45736</v>
      </c>
      <c r="T907" t="s">
        <v>38</v>
      </c>
      <c r="U907">
        <f t="shared" ca="1" si="84"/>
        <v>1</v>
      </c>
      <c r="V907" s="6">
        <f t="shared" ca="1" si="85"/>
        <v>46003</v>
      </c>
      <c r="W907" s="6">
        <f t="shared" ca="1" si="86"/>
        <v>46009</v>
      </c>
      <c r="X907" t="str">
        <f t="shared" ca="1" si="87"/>
        <v>Dec 12 to Dec 18</v>
      </c>
      <c r="Y907" t="str">
        <f t="shared" ca="1" si="88"/>
        <v>🟡 IMMINENT (within 3 days)</v>
      </c>
      <c r="Z907" t="str">
        <f t="shared" ca="1" si="89"/>
        <v>Prepare medications TODAY</v>
      </c>
    </row>
    <row r="908" spans="1:26">
      <c r="A908">
        <v>1050915923</v>
      </c>
      <c r="B908" s="3" t="s">
        <v>2669</v>
      </c>
      <c r="C908">
        <v>62</v>
      </c>
      <c r="D908" t="s">
        <v>47</v>
      </c>
      <c r="E908" t="s">
        <v>29</v>
      </c>
      <c r="F908" t="s">
        <v>28</v>
      </c>
      <c r="G908" t="s">
        <v>28</v>
      </c>
      <c r="H908">
        <v>4</v>
      </c>
      <c r="I908" t="s">
        <v>66</v>
      </c>
      <c r="J908" t="s">
        <v>2670</v>
      </c>
      <c r="K908" t="s">
        <v>2671</v>
      </c>
      <c r="L908" t="s">
        <v>208</v>
      </c>
      <c r="M908" s="4" t="s">
        <v>34</v>
      </c>
      <c r="N908" t="s">
        <v>162</v>
      </c>
      <c r="P908" s="3" t="s">
        <v>36</v>
      </c>
      <c r="Q908" s="3" t="s">
        <v>107</v>
      </c>
      <c r="R908">
        <v>2</v>
      </c>
      <c r="S908" s="5">
        <v>45601</v>
      </c>
      <c r="T908" t="s">
        <v>38</v>
      </c>
      <c r="U908">
        <f t="shared" ca="1" si="84"/>
        <v>16</v>
      </c>
      <c r="V908" s="6">
        <f t="shared" ca="1" si="85"/>
        <v>46018</v>
      </c>
      <c r="W908" s="6">
        <f t="shared" ca="1" si="86"/>
        <v>46024</v>
      </c>
      <c r="X908" t="str">
        <f t="shared" ca="1" si="87"/>
        <v>Dec 27 to Jan 2</v>
      </c>
      <c r="Y908" t="str">
        <f t="shared" ca="1" si="88"/>
        <v>⚪ SCHEDULED</v>
      </c>
      <c r="Z908" t="str">
        <f t="shared" ca="1" si="89"/>
        <v>No action needed yet</v>
      </c>
    </row>
    <row r="909" spans="1:26">
      <c r="A909">
        <v>1050973641</v>
      </c>
      <c r="B909" s="3" t="s">
        <v>2672</v>
      </c>
      <c r="C909">
        <v>54</v>
      </c>
      <c r="D909" t="s">
        <v>27</v>
      </c>
      <c r="E909" t="s">
        <v>28</v>
      </c>
      <c r="F909" t="s">
        <v>29</v>
      </c>
      <c r="G909" t="s">
        <v>28</v>
      </c>
      <c r="H909">
        <v>4</v>
      </c>
      <c r="I909" t="s">
        <v>66</v>
      </c>
      <c r="J909" t="s">
        <v>253</v>
      </c>
      <c r="K909" t="s">
        <v>2673</v>
      </c>
      <c r="L909" t="s">
        <v>33</v>
      </c>
      <c r="M909" s="4" t="s">
        <v>94</v>
      </c>
      <c r="N909" t="s">
        <v>64</v>
      </c>
      <c r="P909" s="3" t="s">
        <v>36</v>
      </c>
      <c r="Q909" s="3" t="s">
        <v>45</v>
      </c>
      <c r="R909">
        <v>2</v>
      </c>
      <c r="S909" s="5">
        <v>45938</v>
      </c>
      <c r="T909" t="s">
        <v>38</v>
      </c>
      <c r="U909">
        <f t="shared" ca="1" si="84"/>
        <v>23</v>
      </c>
      <c r="V909" s="6">
        <f t="shared" ca="1" si="85"/>
        <v>46025</v>
      </c>
      <c r="W909" s="6">
        <f t="shared" ca="1" si="86"/>
        <v>46031</v>
      </c>
      <c r="X909" t="str">
        <f t="shared" ca="1" si="87"/>
        <v>Jan 3 to Jan 9</v>
      </c>
      <c r="Y909" t="str">
        <f t="shared" ca="1" si="88"/>
        <v>⚪ SCHEDULED</v>
      </c>
      <c r="Z909" t="str">
        <f t="shared" ca="1" si="89"/>
        <v>No action needed yet</v>
      </c>
    </row>
    <row r="910" spans="1:26">
      <c r="A910">
        <v>1051058301</v>
      </c>
      <c r="B910" s="3" t="s">
        <v>2674</v>
      </c>
      <c r="C910">
        <v>38</v>
      </c>
      <c r="D910" t="s">
        <v>47</v>
      </c>
      <c r="E910" t="s">
        <v>29</v>
      </c>
      <c r="F910" t="s">
        <v>28</v>
      </c>
      <c r="G910" t="s">
        <v>28</v>
      </c>
      <c r="H910">
        <v>1</v>
      </c>
      <c r="I910" t="s">
        <v>55</v>
      </c>
      <c r="J910" t="s">
        <v>347</v>
      </c>
      <c r="K910" t="s">
        <v>2675</v>
      </c>
      <c r="M910" s="4" t="s">
        <v>43</v>
      </c>
      <c r="N910" t="s">
        <v>148</v>
      </c>
      <c r="P910" s="3" t="s">
        <v>36</v>
      </c>
      <c r="Q910" s="3" t="s">
        <v>1718</v>
      </c>
      <c r="R910">
        <v>2</v>
      </c>
      <c r="S910" s="5">
        <v>45917</v>
      </c>
      <c r="T910" t="s">
        <v>393</v>
      </c>
      <c r="U910">
        <f t="shared" ca="1" si="84"/>
        <v>2</v>
      </c>
      <c r="V910" s="6">
        <f t="shared" ca="1" si="85"/>
        <v>46004</v>
      </c>
      <c r="W910" s="6">
        <f t="shared" ca="1" si="86"/>
        <v>46010</v>
      </c>
      <c r="X910" t="str">
        <f t="shared" ca="1" si="87"/>
        <v>Dec 13 to Dec 19</v>
      </c>
      <c r="Y910" t="str">
        <f t="shared" ca="1" si="88"/>
        <v>🟡 IMMINENT (within 3 days)</v>
      </c>
      <c r="Z910" t="str">
        <f t="shared" ca="1" si="89"/>
        <v>Prepare medications TODAY</v>
      </c>
    </row>
    <row r="911" spans="1:26">
      <c r="A911">
        <v>1051060323</v>
      </c>
      <c r="B911" s="3" t="s">
        <v>2676</v>
      </c>
      <c r="C911">
        <v>56</v>
      </c>
      <c r="D911" t="s">
        <v>27</v>
      </c>
      <c r="E911" t="s">
        <v>28</v>
      </c>
      <c r="F911" t="s">
        <v>29</v>
      </c>
      <c r="G911" t="s">
        <v>28</v>
      </c>
      <c r="H911">
        <v>4</v>
      </c>
      <c r="I911" t="s">
        <v>66</v>
      </c>
      <c r="J911" t="s">
        <v>146</v>
      </c>
      <c r="K911" t="s">
        <v>2677</v>
      </c>
      <c r="M911" s="4" t="s">
        <v>94</v>
      </c>
      <c r="N911" t="s">
        <v>64</v>
      </c>
      <c r="P911" s="3" t="s">
        <v>36</v>
      </c>
      <c r="Q911" s="3" t="s">
        <v>2678</v>
      </c>
      <c r="R911">
        <v>1</v>
      </c>
      <c r="S911" s="5">
        <v>45959</v>
      </c>
      <c r="T911" t="s">
        <v>38</v>
      </c>
      <c r="U911">
        <f t="shared" ca="1" si="84"/>
        <v>14</v>
      </c>
      <c r="V911" s="6">
        <f t="shared" ca="1" si="85"/>
        <v>46016</v>
      </c>
      <c r="W911" s="6">
        <f t="shared" ca="1" si="86"/>
        <v>46022</v>
      </c>
      <c r="X911" t="str">
        <f t="shared" ca="1" si="87"/>
        <v>Dec 25 to Dec 31</v>
      </c>
      <c r="Y911" t="str">
        <f t="shared" ca="1" si="88"/>
        <v>🔵 NEXT 2 WEEKS</v>
      </c>
      <c r="Z911" t="str">
        <f t="shared" ca="1" si="89"/>
        <v>Send reminder SMS</v>
      </c>
    </row>
    <row r="912" spans="1:26">
      <c r="A912">
        <v>1051073201</v>
      </c>
      <c r="B912" s="3" t="s">
        <v>2679</v>
      </c>
      <c r="C912">
        <v>41</v>
      </c>
      <c r="D912" t="s">
        <v>47</v>
      </c>
      <c r="E912" t="s">
        <v>54</v>
      </c>
      <c r="F912" t="s">
        <v>54</v>
      </c>
      <c r="G912" t="s">
        <v>54</v>
      </c>
      <c r="H912">
        <v>1</v>
      </c>
      <c r="I912" t="s">
        <v>55</v>
      </c>
      <c r="J912" t="s">
        <v>398</v>
      </c>
      <c r="K912" t="s">
        <v>2208</v>
      </c>
      <c r="L912" t="s">
        <v>69</v>
      </c>
      <c r="M912" s="4" t="s">
        <v>34</v>
      </c>
      <c r="N912" t="s">
        <v>59</v>
      </c>
      <c r="P912" s="3" t="s">
        <v>36</v>
      </c>
      <c r="Q912" s="3" t="s">
        <v>107</v>
      </c>
      <c r="R912">
        <v>1</v>
      </c>
      <c r="S912" s="5">
        <v>45860</v>
      </c>
      <c r="T912" t="s">
        <v>393</v>
      </c>
      <c r="U912">
        <f t="shared" ca="1" si="84"/>
        <v>35</v>
      </c>
      <c r="V912" s="6">
        <f t="shared" ca="1" si="85"/>
        <v>46037</v>
      </c>
      <c r="W912" s="6">
        <f t="shared" ca="1" si="86"/>
        <v>46043</v>
      </c>
      <c r="X912" t="str">
        <f t="shared" ca="1" si="87"/>
        <v>Jan 15 to Jan 21</v>
      </c>
      <c r="Y912" t="str">
        <f t="shared" ca="1" si="88"/>
        <v>⚪ SCHEDULED</v>
      </c>
      <c r="Z912" t="str">
        <f t="shared" ca="1" si="89"/>
        <v>No action needed yet</v>
      </c>
    </row>
    <row r="913" spans="1:26">
      <c r="A913">
        <v>1051087649</v>
      </c>
      <c r="B913" s="3" t="s">
        <v>2680</v>
      </c>
      <c r="C913">
        <v>53</v>
      </c>
      <c r="D913" t="s">
        <v>47</v>
      </c>
      <c r="E913" t="s">
        <v>28</v>
      </c>
      <c r="F913" t="s">
        <v>29</v>
      </c>
      <c r="G913" t="s">
        <v>29</v>
      </c>
      <c r="H913">
        <v>6</v>
      </c>
      <c r="I913" t="s">
        <v>30</v>
      </c>
      <c r="J913" t="s">
        <v>519</v>
      </c>
      <c r="K913" t="s">
        <v>1645</v>
      </c>
      <c r="L913" t="s">
        <v>114</v>
      </c>
      <c r="M913" s="4" t="s">
        <v>34</v>
      </c>
      <c r="N913" t="s">
        <v>209</v>
      </c>
      <c r="P913" s="3" t="s">
        <v>36</v>
      </c>
      <c r="Q913" s="3" t="s">
        <v>107</v>
      </c>
      <c r="R913">
        <v>1</v>
      </c>
      <c r="S913" s="5">
        <v>45625</v>
      </c>
      <c r="T913" t="s">
        <v>38</v>
      </c>
      <c r="U913">
        <f t="shared" ca="1" si="84"/>
        <v>10</v>
      </c>
      <c r="V913" s="6">
        <f t="shared" ca="1" si="85"/>
        <v>46012</v>
      </c>
      <c r="W913" s="6">
        <f t="shared" ca="1" si="86"/>
        <v>46018</v>
      </c>
      <c r="X913" t="str">
        <f t="shared" ca="1" si="87"/>
        <v>Dec 21 to Dec 27</v>
      </c>
      <c r="Y913" t="str">
        <f t="shared" ca="1" si="88"/>
        <v>🔵 NEXT 2 WEEKS</v>
      </c>
      <c r="Z913" t="str">
        <f t="shared" ca="1" si="89"/>
        <v>Send reminder SMS</v>
      </c>
    </row>
    <row r="914" spans="1:26">
      <c r="A914">
        <v>1051221321</v>
      </c>
      <c r="B914" s="3" t="s">
        <v>2681</v>
      </c>
      <c r="C914">
        <v>46</v>
      </c>
      <c r="D914" t="s">
        <v>47</v>
      </c>
      <c r="E914" t="s">
        <v>54</v>
      </c>
      <c r="F914" t="s">
        <v>54</v>
      </c>
      <c r="G914" t="s">
        <v>54</v>
      </c>
      <c r="H914">
        <v>1</v>
      </c>
      <c r="I914" t="s">
        <v>55</v>
      </c>
      <c r="J914" t="s">
        <v>168</v>
      </c>
      <c r="K914" t="s">
        <v>2682</v>
      </c>
      <c r="L914" t="s">
        <v>170</v>
      </c>
      <c r="M914" s="4" t="s">
        <v>94</v>
      </c>
      <c r="N914" t="s">
        <v>59</v>
      </c>
      <c r="P914" s="3" t="s">
        <v>36</v>
      </c>
      <c r="Q914" s="3" t="s">
        <v>84</v>
      </c>
      <c r="R914">
        <v>2</v>
      </c>
      <c r="S914" s="5">
        <v>45991</v>
      </c>
      <c r="T914" t="s">
        <v>393</v>
      </c>
      <c r="U914">
        <f t="shared" ca="1" si="84"/>
        <v>76</v>
      </c>
      <c r="V914" s="6">
        <f t="shared" ca="1" si="85"/>
        <v>46078</v>
      </c>
      <c r="W914" s="6">
        <f t="shared" ca="1" si="86"/>
        <v>46084</v>
      </c>
      <c r="X914" t="str">
        <f t="shared" ca="1" si="87"/>
        <v>Feb 25 to Mar 3</v>
      </c>
      <c r="Y914" t="str">
        <f t="shared" ca="1" si="88"/>
        <v>⚪ SCHEDULED</v>
      </c>
      <c r="Z914" t="str">
        <f t="shared" ca="1" si="89"/>
        <v>No action needed yet</v>
      </c>
    </row>
    <row r="915" spans="1:26">
      <c r="A915">
        <v>1051426748</v>
      </c>
      <c r="B915" s="3" t="s">
        <v>2683</v>
      </c>
      <c r="C915">
        <v>63</v>
      </c>
      <c r="D915" t="s">
        <v>47</v>
      </c>
      <c r="E915" t="s">
        <v>29</v>
      </c>
      <c r="F915" t="s">
        <v>29</v>
      </c>
      <c r="G915" t="s">
        <v>28</v>
      </c>
      <c r="H915">
        <v>5</v>
      </c>
      <c r="I915" t="s">
        <v>30</v>
      </c>
      <c r="J915" t="s">
        <v>299</v>
      </c>
      <c r="K915" t="s">
        <v>2684</v>
      </c>
      <c r="M915" s="4" t="s">
        <v>43</v>
      </c>
      <c r="N915" t="s">
        <v>144</v>
      </c>
      <c r="P915" s="3" t="s">
        <v>36</v>
      </c>
      <c r="Q915" s="3" t="s">
        <v>107</v>
      </c>
      <c r="R915">
        <v>2</v>
      </c>
      <c r="S915" s="5">
        <v>45883</v>
      </c>
      <c r="T915" t="s">
        <v>38</v>
      </c>
      <c r="U915">
        <f t="shared" ca="1" si="84"/>
        <v>28</v>
      </c>
      <c r="V915" s="6">
        <f t="shared" ca="1" si="85"/>
        <v>46030</v>
      </c>
      <c r="W915" s="6">
        <f t="shared" ca="1" si="86"/>
        <v>46036</v>
      </c>
      <c r="X915" t="str">
        <f t="shared" ca="1" si="87"/>
        <v>Jan 8 to Jan 14</v>
      </c>
      <c r="Y915" t="str">
        <f t="shared" ca="1" si="88"/>
        <v>⚪ SCHEDULED</v>
      </c>
      <c r="Z915" t="str">
        <f t="shared" ca="1" si="89"/>
        <v>No action needed yet</v>
      </c>
    </row>
    <row r="916" spans="1:26">
      <c r="A916">
        <v>1051434031</v>
      </c>
      <c r="B916" s="3" t="s">
        <v>2685</v>
      </c>
      <c r="C916">
        <v>66</v>
      </c>
      <c r="D916" t="s">
        <v>27</v>
      </c>
      <c r="E916" t="s">
        <v>54</v>
      </c>
      <c r="F916" t="s">
        <v>54</v>
      </c>
      <c r="G916" t="s">
        <v>54</v>
      </c>
      <c r="H916">
        <v>3</v>
      </c>
      <c r="I916" t="s">
        <v>66</v>
      </c>
      <c r="J916" t="s">
        <v>2686</v>
      </c>
      <c r="K916" t="s">
        <v>2687</v>
      </c>
      <c r="M916" s="4" t="s">
        <v>94</v>
      </c>
      <c r="N916" t="s">
        <v>59</v>
      </c>
      <c r="P916" s="3" t="s">
        <v>36</v>
      </c>
      <c r="Q916" t="s">
        <v>54</v>
      </c>
      <c r="R916">
        <v>1</v>
      </c>
      <c r="S916" s="5">
        <v>45952</v>
      </c>
      <c r="T916" t="s">
        <v>38</v>
      </c>
      <c r="U916">
        <f t="shared" ca="1" si="84"/>
        <v>7</v>
      </c>
      <c r="V916" s="6">
        <f t="shared" ca="1" si="85"/>
        <v>46009</v>
      </c>
      <c r="W916" s="6">
        <f t="shared" ca="1" si="86"/>
        <v>46015</v>
      </c>
      <c r="X916" t="str">
        <f t="shared" ca="1" si="87"/>
        <v>Dec 18 to Dec 24</v>
      </c>
      <c r="Y916" t="str">
        <f t="shared" ca="1" si="88"/>
        <v>🟢 THIS WEEK</v>
      </c>
      <c r="Z916" t="str">
        <f t="shared" ca="1" si="89"/>
        <v>Confirm appointment</v>
      </c>
    </row>
    <row r="917" spans="1:26">
      <c r="A917">
        <v>1051493078</v>
      </c>
      <c r="B917" s="3" t="s">
        <v>2688</v>
      </c>
      <c r="C917">
        <v>52</v>
      </c>
      <c r="D917" t="s">
        <v>27</v>
      </c>
      <c r="E917" t="s">
        <v>29</v>
      </c>
      <c r="F917" t="s">
        <v>28</v>
      </c>
      <c r="G917" t="s">
        <v>28</v>
      </c>
      <c r="H917">
        <v>3</v>
      </c>
      <c r="I917" t="s">
        <v>66</v>
      </c>
      <c r="J917" t="s">
        <v>184</v>
      </c>
      <c r="K917" t="s">
        <v>376</v>
      </c>
      <c r="L917" t="s">
        <v>186</v>
      </c>
      <c r="M917" s="4" t="s">
        <v>34</v>
      </c>
      <c r="N917" t="s">
        <v>148</v>
      </c>
      <c r="P917" s="3" t="s">
        <v>36</v>
      </c>
      <c r="Q917" s="3" t="s">
        <v>123</v>
      </c>
      <c r="R917">
        <v>2</v>
      </c>
      <c r="S917" s="5">
        <v>45731</v>
      </c>
      <c r="T917" t="s">
        <v>38</v>
      </c>
      <c r="U917">
        <f t="shared" ca="1" si="84"/>
        <v>26</v>
      </c>
      <c r="V917" s="6">
        <f t="shared" ca="1" si="85"/>
        <v>46028</v>
      </c>
      <c r="W917" s="6">
        <f t="shared" ca="1" si="86"/>
        <v>46034</v>
      </c>
      <c r="X917" t="str">
        <f t="shared" ca="1" si="87"/>
        <v>Jan 6 to Jan 12</v>
      </c>
      <c r="Y917" t="str">
        <f t="shared" ca="1" si="88"/>
        <v>⚪ SCHEDULED</v>
      </c>
      <c r="Z917" t="str">
        <f t="shared" ca="1" si="89"/>
        <v>No action needed yet</v>
      </c>
    </row>
    <row r="918" spans="1:26">
      <c r="A918">
        <v>1051519963</v>
      </c>
      <c r="B918" s="3" t="s">
        <v>2689</v>
      </c>
      <c r="C918">
        <v>79</v>
      </c>
      <c r="D918" t="s">
        <v>27</v>
      </c>
      <c r="E918" t="s">
        <v>28</v>
      </c>
      <c r="F918" t="s">
        <v>28</v>
      </c>
      <c r="G918" t="s">
        <v>29</v>
      </c>
      <c r="H918">
        <v>6</v>
      </c>
      <c r="I918" t="s">
        <v>30</v>
      </c>
      <c r="J918" t="s">
        <v>2690</v>
      </c>
      <c r="K918" t="s">
        <v>2691</v>
      </c>
      <c r="L918" t="s">
        <v>1447</v>
      </c>
      <c r="M918" s="4" t="s">
        <v>34</v>
      </c>
      <c r="N918" t="s">
        <v>140</v>
      </c>
      <c r="P918" s="3" t="s">
        <v>36</v>
      </c>
      <c r="Q918" s="3" t="s">
        <v>90</v>
      </c>
      <c r="R918">
        <v>2</v>
      </c>
      <c r="S918" s="5">
        <v>45793</v>
      </c>
      <c r="T918" t="s">
        <v>38</v>
      </c>
      <c r="U918">
        <f t="shared" ca="1" si="84"/>
        <v>28</v>
      </c>
      <c r="V918" s="6">
        <f t="shared" ca="1" si="85"/>
        <v>46030</v>
      </c>
      <c r="W918" s="6">
        <f t="shared" ca="1" si="86"/>
        <v>46036</v>
      </c>
      <c r="X918" t="str">
        <f t="shared" ca="1" si="87"/>
        <v>Jan 8 to Jan 14</v>
      </c>
      <c r="Y918" t="str">
        <f t="shared" ca="1" si="88"/>
        <v>⚪ SCHEDULED</v>
      </c>
      <c r="Z918" t="str">
        <f t="shared" ca="1" si="89"/>
        <v>No action needed yet</v>
      </c>
    </row>
    <row r="919" spans="1:26">
      <c r="A919">
        <v>1051729083</v>
      </c>
      <c r="B919" s="3" t="s">
        <v>2692</v>
      </c>
      <c r="C919">
        <v>45</v>
      </c>
      <c r="D919" t="s">
        <v>27</v>
      </c>
      <c r="E919" t="s">
        <v>29</v>
      </c>
      <c r="F919" t="s">
        <v>28</v>
      </c>
      <c r="G919" t="s">
        <v>29</v>
      </c>
      <c r="H919">
        <v>3</v>
      </c>
      <c r="I919" t="s">
        <v>66</v>
      </c>
      <c r="J919" t="s">
        <v>2567</v>
      </c>
      <c r="K919" t="s">
        <v>2693</v>
      </c>
      <c r="M919" s="4" t="s">
        <v>43</v>
      </c>
      <c r="N919" t="s">
        <v>95</v>
      </c>
      <c r="P919" s="3" t="s">
        <v>36</v>
      </c>
      <c r="Q919" t="s">
        <v>54</v>
      </c>
      <c r="R919">
        <v>1</v>
      </c>
      <c r="S919" s="5">
        <v>45862</v>
      </c>
      <c r="T919" t="s">
        <v>38</v>
      </c>
      <c r="U919">
        <f t="shared" ca="1" si="84"/>
        <v>7</v>
      </c>
      <c r="V919" s="6">
        <f t="shared" ca="1" si="85"/>
        <v>46009</v>
      </c>
      <c r="W919" s="6">
        <f t="shared" ca="1" si="86"/>
        <v>46015</v>
      </c>
      <c r="X919" t="str">
        <f t="shared" ca="1" si="87"/>
        <v>Dec 18 to Dec 24</v>
      </c>
      <c r="Y919" t="str">
        <f t="shared" ca="1" si="88"/>
        <v>🟢 THIS WEEK</v>
      </c>
      <c r="Z919" t="str">
        <f t="shared" ca="1" si="89"/>
        <v>Confirm appointment</v>
      </c>
    </row>
    <row r="920" spans="1:26">
      <c r="A920">
        <v>1051748695</v>
      </c>
      <c r="B920" s="3" t="s">
        <v>2694</v>
      </c>
      <c r="C920">
        <v>66</v>
      </c>
      <c r="D920" t="s">
        <v>47</v>
      </c>
      <c r="E920" t="s">
        <v>29</v>
      </c>
      <c r="F920" t="s">
        <v>28</v>
      </c>
      <c r="G920" t="s">
        <v>29</v>
      </c>
      <c r="H920">
        <v>5</v>
      </c>
      <c r="I920" t="s">
        <v>30</v>
      </c>
      <c r="J920" t="s">
        <v>388</v>
      </c>
      <c r="K920" t="s">
        <v>2695</v>
      </c>
      <c r="L920" t="s">
        <v>33</v>
      </c>
      <c r="M920" s="4" t="s">
        <v>43</v>
      </c>
      <c r="N920" t="s">
        <v>95</v>
      </c>
      <c r="P920" s="3" t="s">
        <v>36</v>
      </c>
      <c r="Q920" s="3" t="s">
        <v>107</v>
      </c>
      <c r="R920">
        <v>1</v>
      </c>
      <c r="S920" s="5">
        <v>45891</v>
      </c>
      <c r="T920" t="s">
        <v>38</v>
      </c>
      <c r="U920">
        <f t="shared" ca="1" si="84"/>
        <v>6</v>
      </c>
      <c r="V920" s="6">
        <f t="shared" ca="1" si="85"/>
        <v>46008</v>
      </c>
      <c r="W920" s="6">
        <f t="shared" ca="1" si="86"/>
        <v>46014</v>
      </c>
      <c r="X920" t="str">
        <f t="shared" ca="1" si="87"/>
        <v>Dec 17 to Dec 23</v>
      </c>
      <c r="Y920" t="str">
        <f t="shared" ca="1" si="88"/>
        <v>🟢 THIS WEEK</v>
      </c>
      <c r="Z920" t="str">
        <f t="shared" ca="1" si="89"/>
        <v>Confirm appointment</v>
      </c>
    </row>
    <row r="921" spans="1:26">
      <c r="A921">
        <v>1051766655</v>
      </c>
      <c r="B921" s="3" t="s">
        <v>2696</v>
      </c>
      <c r="C921">
        <v>42</v>
      </c>
      <c r="D921" t="s">
        <v>27</v>
      </c>
      <c r="E921" t="s">
        <v>29</v>
      </c>
      <c r="F921" t="s">
        <v>28</v>
      </c>
      <c r="G921" t="s">
        <v>29</v>
      </c>
      <c r="H921">
        <v>3</v>
      </c>
      <c r="I921" t="s">
        <v>66</v>
      </c>
      <c r="J921" t="s">
        <v>2697</v>
      </c>
      <c r="K921" t="s">
        <v>2698</v>
      </c>
      <c r="L921" t="s">
        <v>2441</v>
      </c>
      <c r="M921" s="4" t="s">
        <v>34</v>
      </c>
      <c r="N921" t="s">
        <v>182</v>
      </c>
      <c r="P921" s="3" t="s">
        <v>36</v>
      </c>
      <c r="Q921" s="3" t="s">
        <v>45</v>
      </c>
      <c r="R921">
        <v>1</v>
      </c>
      <c r="S921" s="5">
        <v>45751</v>
      </c>
      <c r="T921" t="s">
        <v>38</v>
      </c>
      <c r="U921">
        <f t="shared" ca="1" si="84"/>
        <v>16</v>
      </c>
      <c r="V921" s="6">
        <f t="shared" ca="1" si="85"/>
        <v>46018</v>
      </c>
      <c r="W921" s="6">
        <f t="shared" ca="1" si="86"/>
        <v>46024</v>
      </c>
      <c r="X921" t="str">
        <f t="shared" ca="1" si="87"/>
        <v>Dec 27 to Jan 2</v>
      </c>
      <c r="Y921" t="str">
        <f t="shared" ca="1" si="88"/>
        <v>⚪ SCHEDULED</v>
      </c>
      <c r="Z921" t="str">
        <f t="shared" ca="1" si="89"/>
        <v>No action needed yet</v>
      </c>
    </row>
    <row r="922" spans="1:26">
      <c r="A922">
        <v>1051798989</v>
      </c>
      <c r="B922" s="3" t="s">
        <v>2699</v>
      </c>
      <c r="C922">
        <v>59</v>
      </c>
      <c r="D922" t="s">
        <v>27</v>
      </c>
      <c r="E922" t="s">
        <v>28</v>
      </c>
      <c r="F922" t="s">
        <v>29</v>
      </c>
      <c r="G922" t="s">
        <v>28</v>
      </c>
      <c r="H922">
        <v>3</v>
      </c>
      <c r="I922" t="s">
        <v>66</v>
      </c>
      <c r="J922" t="s">
        <v>398</v>
      </c>
      <c r="K922" t="s">
        <v>2700</v>
      </c>
      <c r="L922" t="s">
        <v>69</v>
      </c>
      <c r="M922" s="4" t="s">
        <v>43</v>
      </c>
      <c r="N922" t="s">
        <v>70</v>
      </c>
      <c r="P922" s="3" t="s">
        <v>36</v>
      </c>
      <c r="Q922" s="3" t="s">
        <v>84</v>
      </c>
      <c r="R922">
        <v>2</v>
      </c>
      <c r="S922" s="5">
        <v>45860</v>
      </c>
      <c r="T922" t="s">
        <v>38</v>
      </c>
      <c r="U922">
        <f t="shared" ca="1" si="84"/>
        <v>5</v>
      </c>
      <c r="V922" s="6">
        <f t="shared" ca="1" si="85"/>
        <v>46007</v>
      </c>
      <c r="W922" s="6">
        <f t="shared" ca="1" si="86"/>
        <v>46013</v>
      </c>
      <c r="X922" t="str">
        <f t="shared" ca="1" si="87"/>
        <v>Dec 16 to Dec 22</v>
      </c>
      <c r="Y922" t="str">
        <f t="shared" ca="1" si="88"/>
        <v>🟢 THIS WEEK</v>
      </c>
      <c r="Z922" t="str">
        <f t="shared" ca="1" si="89"/>
        <v>Confirm appointment</v>
      </c>
    </row>
    <row r="923" spans="1:26">
      <c r="A923">
        <v>1051900403</v>
      </c>
      <c r="B923" s="3" t="s">
        <v>2701</v>
      </c>
      <c r="C923">
        <v>44</v>
      </c>
      <c r="D923" t="s">
        <v>27</v>
      </c>
      <c r="E923" t="s">
        <v>29</v>
      </c>
      <c r="F923" t="s">
        <v>29</v>
      </c>
      <c r="G923" t="s">
        <v>28</v>
      </c>
      <c r="H923">
        <v>3</v>
      </c>
      <c r="I923" t="s">
        <v>66</v>
      </c>
      <c r="J923" t="s">
        <v>2702</v>
      </c>
      <c r="K923" t="s">
        <v>2703</v>
      </c>
      <c r="L923" t="s">
        <v>105</v>
      </c>
      <c r="M923" s="4" t="s">
        <v>34</v>
      </c>
      <c r="N923" t="s">
        <v>106</v>
      </c>
      <c r="P923" s="3" t="s">
        <v>36</v>
      </c>
      <c r="Q923" t="s">
        <v>54</v>
      </c>
      <c r="R923">
        <v>1</v>
      </c>
      <c r="S923" s="5">
        <v>45541</v>
      </c>
      <c r="T923" t="s">
        <v>38</v>
      </c>
      <c r="U923">
        <f t="shared" ca="1" si="84"/>
        <v>16</v>
      </c>
      <c r="V923" s="6">
        <f t="shared" ca="1" si="85"/>
        <v>46018</v>
      </c>
      <c r="W923" s="6">
        <f t="shared" ca="1" si="86"/>
        <v>46024</v>
      </c>
      <c r="X923" t="str">
        <f t="shared" ca="1" si="87"/>
        <v>Dec 27 to Jan 2</v>
      </c>
      <c r="Y923" t="str">
        <f t="shared" ca="1" si="88"/>
        <v>⚪ SCHEDULED</v>
      </c>
      <c r="Z923" t="str">
        <f t="shared" ca="1" si="89"/>
        <v>No action needed yet</v>
      </c>
    </row>
    <row r="924" spans="1:26">
      <c r="A924">
        <v>1051916367</v>
      </c>
      <c r="B924" s="3" t="s">
        <v>2704</v>
      </c>
      <c r="C924">
        <v>55</v>
      </c>
      <c r="D924" t="s">
        <v>47</v>
      </c>
      <c r="E924" t="s">
        <v>28</v>
      </c>
      <c r="F924" t="s">
        <v>29</v>
      </c>
      <c r="G924" t="s">
        <v>29</v>
      </c>
      <c r="H924">
        <v>5</v>
      </c>
      <c r="I924" t="s">
        <v>30</v>
      </c>
      <c r="J924" t="s">
        <v>2705</v>
      </c>
      <c r="K924" t="s">
        <v>2706</v>
      </c>
      <c r="L924" t="s">
        <v>193</v>
      </c>
      <c r="M924" s="4" t="s">
        <v>34</v>
      </c>
      <c r="N924" t="s">
        <v>333</v>
      </c>
      <c r="P924" s="3" t="s">
        <v>36</v>
      </c>
      <c r="Q924" s="3" t="s">
        <v>107</v>
      </c>
      <c r="R924">
        <v>2</v>
      </c>
      <c r="S924" s="5">
        <v>45519</v>
      </c>
      <c r="T924" t="s">
        <v>38</v>
      </c>
      <c r="U924">
        <f t="shared" ca="1" si="84"/>
        <v>24</v>
      </c>
      <c r="V924" s="6">
        <f t="shared" ca="1" si="85"/>
        <v>46026</v>
      </c>
      <c r="W924" s="6">
        <f t="shared" ca="1" si="86"/>
        <v>46032</v>
      </c>
      <c r="X924" t="str">
        <f t="shared" ca="1" si="87"/>
        <v>Jan 4 to Jan 10</v>
      </c>
      <c r="Y924" t="str">
        <f t="shared" ca="1" si="88"/>
        <v>⚪ SCHEDULED</v>
      </c>
      <c r="Z924" t="str">
        <f t="shared" ca="1" si="89"/>
        <v>No action needed yet</v>
      </c>
    </row>
    <row r="925" spans="1:26">
      <c r="A925">
        <v>1052599063</v>
      </c>
      <c r="B925" s="3" t="s">
        <v>2707</v>
      </c>
      <c r="C925">
        <v>54</v>
      </c>
      <c r="D925" t="s">
        <v>27</v>
      </c>
      <c r="E925" t="s">
        <v>29</v>
      </c>
      <c r="F925" t="s">
        <v>29</v>
      </c>
      <c r="G925" t="s">
        <v>29</v>
      </c>
      <c r="H925">
        <v>6</v>
      </c>
      <c r="I925" t="s">
        <v>30</v>
      </c>
      <c r="J925" t="s">
        <v>146</v>
      </c>
      <c r="K925" t="s">
        <v>2708</v>
      </c>
      <c r="M925" s="4" t="s">
        <v>43</v>
      </c>
      <c r="N925" t="s">
        <v>44</v>
      </c>
      <c r="P925" s="3" t="s">
        <v>36</v>
      </c>
      <c r="Q925" s="3" t="s">
        <v>77</v>
      </c>
      <c r="R925">
        <v>2</v>
      </c>
      <c r="S925" s="5">
        <v>45924</v>
      </c>
      <c r="T925" t="s">
        <v>38</v>
      </c>
      <c r="U925">
        <f t="shared" ca="1" si="84"/>
        <v>9</v>
      </c>
      <c r="V925" s="6">
        <f t="shared" ca="1" si="85"/>
        <v>46011</v>
      </c>
      <c r="W925" s="6">
        <f t="shared" ca="1" si="86"/>
        <v>46017</v>
      </c>
      <c r="X925" t="str">
        <f t="shared" ca="1" si="87"/>
        <v>Dec 20 to Dec 26</v>
      </c>
      <c r="Y925" t="str">
        <f t="shared" ca="1" si="88"/>
        <v>🔵 NEXT 2 WEEKS</v>
      </c>
      <c r="Z925" t="str">
        <f t="shared" ca="1" si="89"/>
        <v>Send reminder SMS</v>
      </c>
    </row>
    <row r="926" spans="1:26">
      <c r="A926">
        <v>1052734918</v>
      </c>
      <c r="B926" s="3" t="s">
        <v>2709</v>
      </c>
      <c r="C926">
        <v>47</v>
      </c>
      <c r="D926" t="s">
        <v>27</v>
      </c>
      <c r="E926" t="s">
        <v>29</v>
      </c>
      <c r="F926" t="s">
        <v>28</v>
      </c>
      <c r="G926" t="s">
        <v>28</v>
      </c>
      <c r="H926">
        <v>2</v>
      </c>
      <c r="I926" t="s">
        <v>55</v>
      </c>
      <c r="J926" t="s">
        <v>2710</v>
      </c>
      <c r="K926" t="s">
        <v>2711</v>
      </c>
      <c r="L926" t="s">
        <v>221</v>
      </c>
      <c r="M926" s="4" t="s">
        <v>34</v>
      </c>
      <c r="N926" t="s">
        <v>162</v>
      </c>
      <c r="P926" s="3" t="s">
        <v>36</v>
      </c>
      <c r="Q926" s="3" t="s">
        <v>753</v>
      </c>
      <c r="R926">
        <v>1</v>
      </c>
      <c r="S926" s="5">
        <v>45850</v>
      </c>
      <c r="T926" t="s">
        <v>60</v>
      </c>
      <c r="U926">
        <f t="shared" ca="1" si="84"/>
        <v>25</v>
      </c>
      <c r="V926" s="6">
        <f t="shared" ca="1" si="85"/>
        <v>46027</v>
      </c>
      <c r="W926" s="6">
        <f t="shared" ca="1" si="86"/>
        <v>46033</v>
      </c>
      <c r="X926" t="str">
        <f t="shared" ca="1" si="87"/>
        <v>Jan 5 to Jan 11</v>
      </c>
      <c r="Y926" t="str">
        <f t="shared" ca="1" si="88"/>
        <v>⚪ SCHEDULED</v>
      </c>
      <c r="Z926" t="str">
        <f t="shared" ca="1" si="89"/>
        <v>No action needed yet</v>
      </c>
    </row>
    <row r="927" spans="1:26">
      <c r="A927">
        <v>1052741962</v>
      </c>
      <c r="B927" s="3" t="s">
        <v>2712</v>
      </c>
      <c r="C927">
        <v>63</v>
      </c>
      <c r="D927" t="s">
        <v>47</v>
      </c>
      <c r="E927" t="s">
        <v>28</v>
      </c>
      <c r="F927" t="s">
        <v>28</v>
      </c>
      <c r="G927" t="s">
        <v>28</v>
      </c>
      <c r="H927">
        <v>4</v>
      </c>
      <c r="I927" t="s">
        <v>66</v>
      </c>
      <c r="J927" t="s">
        <v>2713</v>
      </c>
      <c r="K927" t="s">
        <v>2714</v>
      </c>
      <c r="L927" t="s">
        <v>186</v>
      </c>
      <c r="M927" s="4" t="s">
        <v>34</v>
      </c>
      <c r="N927" t="s">
        <v>59</v>
      </c>
      <c r="P927" s="3" t="s">
        <v>36</v>
      </c>
      <c r="Q927" s="3" t="s">
        <v>90</v>
      </c>
      <c r="R927">
        <v>1</v>
      </c>
      <c r="S927" s="5">
        <v>45673</v>
      </c>
      <c r="T927" t="s">
        <v>38</v>
      </c>
      <c r="U927">
        <f t="shared" ca="1" si="84"/>
        <v>28</v>
      </c>
      <c r="V927" s="6">
        <f t="shared" ca="1" si="85"/>
        <v>46030</v>
      </c>
      <c r="W927" s="6">
        <f t="shared" ca="1" si="86"/>
        <v>46036</v>
      </c>
      <c r="X927" t="str">
        <f t="shared" ca="1" si="87"/>
        <v>Jan 8 to Jan 14</v>
      </c>
      <c r="Y927" t="str">
        <f t="shared" ca="1" si="88"/>
        <v>⚪ SCHEDULED</v>
      </c>
      <c r="Z927" t="str">
        <f t="shared" ca="1" si="89"/>
        <v>No action needed yet</v>
      </c>
    </row>
    <row r="928" spans="1:26">
      <c r="A928">
        <v>1052748322</v>
      </c>
      <c r="B928" s="3" t="s">
        <v>2715</v>
      </c>
      <c r="C928">
        <v>48</v>
      </c>
      <c r="D928" t="s">
        <v>47</v>
      </c>
      <c r="E928" t="s">
        <v>28</v>
      </c>
      <c r="F928" t="s">
        <v>28</v>
      </c>
      <c r="G928" t="s">
        <v>28</v>
      </c>
      <c r="H928">
        <v>3</v>
      </c>
      <c r="I928" t="s">
        <v>66</v>
      </c>
      <c r="J928" t="s">
        <v>2716</v>
      </c>
      <c r="K928" t="s">
        <v>2717</v>
      </c>
      <c r="L928" t="s">
        <v>208</v>
      </c>
      <c r="M928" s="4" t="s">
        <v>43</v>
      </c>
      <c r="N928" t="s">
        <v>59</v>
      </c>
      <c r="P928" s="3" t="s">
        <v>36</v>
      </c>
      <c r="Q928" s="3" t="s">
        <v>90</v>
      </c>
      <c r="R928">
        <v>2</v>
      </c>
      <c r="S928" s="5">
        <v>45905</v>
      </c>
      <c r="T928" t="s">
        <v>38</v>
      </c>
      <c r="U928">
        <f t="shared" ca="1" si="84"/>
        <v>20</v>
      </c>
      <c r="V928" s="6">
        <f t="shared" ca="1" si="85"/>
        <v>46022</v>
      </c>
      <c r="W928" s="6">
        <f t="shared" ca="1" si="86"/>
        <v>46028</v>
      </c>
      <c r="X928" t="str">
        <f t="shared" ca="1" si="87"/>
        <v>Dec 31 to Jan 6</v>
      </c>
      <c r="Y928" t="str">
        <f t="shared" ca="1" si="88"/>
        <v>⚪ SCHEDULED</v>
      </c>
      <c r="Z928" t="str">
        <f t="shared" ca="1" si="89"/>
        <v>No action needed yet</v>
      </c>
    </row>
    <row r="929" spans="1:26">
      <c r="A929">
        <v>1052808340</v>
      </c>
      <c r="B929" s="3" t="s">
        <v>2718</v>
      </c>
      <c r="C929">
        <v>62</v>
      </c>
      <c r="D929" t="s">
        <v>47</v>
      </c>
      <c r="E929" t="s">
        <v>29</v>
      </c>
      <c r="F929" t="s">
        <v>29</v>
      </c>
      <c r="G929" t="s">
        <v>28</v>
      </c>
      <c r="H929">
        <v>5</v>
      </c>
      <c r="I929" t="s">
        <v>30</v>
      </c>
      <c r="J929" t="s">
        <v>2719</v>
      </c>
      <c r="K929" t="s">
        <v>2720</v>
      </c>
      <c r="L929" t="s">
        <v>75</v>
      </c>
      <c r="M929" s="4" t="s">
        <v>43</v>
      </c>
      <c r="N929" t="s">
        <v>119</v>
      </c>
      <c r="P929" s="3" t="s">
        <v>36</v>
      </c>
      <c r="Q929" s="3" t="s">
        <v>107</v>
      </c>
      <c r="R929">
        <v>1</v>
      </c>
      <c r="S929" s="5">
        <v>45892</v>
      </c>
      <c r="T929" t="s">
        <v>38</v>
      </c>
      <c r="U929">
        <f t="shared" ca="1" si="84"/>
        <v>7</v>
      </c>
      <c r="V929" s="6">
        <f t="shared" ca="1" si="85"/>
        <v>46009</v>
      </c>
      <c r="W929" s="6">
        <f t="shared" ca="1" si="86"/>
        <v>46015</v>
      </c>
      <c r="X929" t="str">
        <f t="shared" ca="1" si="87"/>
        <v>Dec 18 to Dec 24</v>
      </c>
      <c r="Y929" t="str">
        <f t="shared" ca="1" si="88"/>
        <v>🟢 THIS WEEK</v>
      </c>
      <c r="Z929" t="str">
        <f t="shared" ca="1" si="89"/>
        <v>Confirm appointment</v>
      </c>
    </row>
    <row r="930" spans="1:26">
      <c r="A930">
        <v>1053087092</v>
      </c>
      <c r="B930" s="3" t="s">
        <v>2721</v>
      </c>
      <c r="C930">
        <v>50</v>
      </c>
      <c r="D930" t="s">
        <v>27</v>
      </c>
      <c r="E930" t="s">
        <v>28</v>
      </c>
      <c r="F930" t="s">
        <v>28</v>
      </c>
      <c r="G930" t="s">
        <v>28</v>
      </c>
      <c r="H930">
        <v>2</v>
      </c>
      <c r="I930" t="s">
        <v>55</v>
      </c>
      <c r="J930" t="s">
        <v>2722</v>
      </c>
      <c r="K930" t="s">
        <v>2723</v>
      </c>
      <c r="L930" t="s">
        <v>691</v>
      </c>
      <c r="M930" s="4" t="s">
        <v>94</v>
      </c>
      <c r="N930" t="s">
        <v>59</v>
      </c>
      <c r="P930" s="3" t="s">
        <v>36</v>
      </c>
      <c r="Q930" s="3" t="s">
        <v>313</v>
      </c>
      <c r="R930">
        <v>1</v>
      </c>
      <c r="S930" s="5">
        <v>45968</v>
      </c>
      <c r="T930" t="s">
        <v>60</v>
      </c>
      <c r="U930">
        <f t="shared" ca="1" si="84"/>
        <v>23</v>
      </c>
      <c r="V930" s="6">
        <f t="shared" ca="1" si="85"/>
        <v>46025</v>
      </c>
      <c r="W930" s="6">
        <f t="shared" ca="1" si="86"/>
        <v>46031</v>
      </c>
      <c r="X930" t="str">
        <f t="shared" ca="1" si="87"/>
        <v>Jan 3 to Jan 9</v>
      </c>
      <c r="Y930" t="str">
        <f t="shared" ca="1" si="88"/>
        <v>⚪ SCHEDULED</v>
      </c>
      <c r="Z930" t="str">
        <f t="shared" ca="1" si="89"/>
        <v>No action needed yet</v>
      </c>
    </row>
    <row r="931" spans="1:26">
      <c r="A931">
        <v>1053106058</v>
      </c>
      <c r="B931" s="3" t="s">
        <v>2724</v>
      </c>
      <c r="C931">
        <v>56</v>
      </c>
      <c r="D931" t="s">
        <v>27</v>
      </c>
      <c r="E931" t="s">
        <v>54</v>
      </c>
      <c r="F931" t="s">
        <v>54</v>
      </c>
      <c r="G931" t="s">
        <v>54</v>
      </c>
      <c r="H931">
        <v>2</v>
      </c>
      <c r="I931" t="s">
        <v>55</v>
      </c>
      <c r="J931" t="s">
        <v>519</v>
      </c>
      <c r="K931" t="s">
        <v>2725</v>
      </c>
      <c r="L931" t="s">
        <v>114</v>
      </c>
      <c r="M931" s="4" t="s">
        <v>43</v>
      </c>
      <c r="N931" t="s">
        <v>59</v>
      </c>
      <c r="P931" s="3" t="s">
        <v>36</v>
      </c>
      <c r="Q931" s="3" t="s">
        <v>107</v>
      </c>
      <c r="R931">
        <v>1</v>
      </c>
      <c r="S931" s="5">
        <v>45885</v>
      </c>
      <c r="T931" t="s">
        <v>60</v>
      </c>
      <c r="U931">
        <f t="shared" ca="1" si="84"/>
        <v>0</v>
      </c>
      <c r="V931" s="6">
        <f t="shared" ca="1" si="85"/>
        <v>46002</v>
      </c>
      <c r="W931" s="6">
        <f t="shared" ca="1" si="86"/>
        <v>46008</v>
      </c>
      <c r="X931" t="str">
        <f t="shared" ca="1" si="87"/>
        <v>Dec 11 to Dec 17</v>
      </c>
      <c r="Y931" t="str">
        <f t="shared" ca="1" si="88"/>
        <v>🟡 IMMINENT (within 3 days)</v>
      </c>
      <c r="Z931" t="str">
        <f t="shared" ca="1" si="89"/>
        <v>Prepare medications TODAY</v>
      </c>
    </row>
    <row r="932" spans="1:26">
      <c r="A932">
        <v>1053177364</v>
      </c>
      <c r="B932" s="3" t="s">
        <v>2726</v>
      </c>
      <c r="C932">
        <v>53</v>
      </c>
      <c r="D932" t="s">
        <v>47</v>
      </c>
      <c r="E932" t="s">
        <v>28</v>
      </c>
      <c r="F932" t="s">
        <v>29</v>
      </c>
      <c r="G932" t="s">
        <v>28</v>
      </c>
      <c r="H932">
        <v>5</v>
      </c>
      <c r="I932" t="s">
        <v>30</v>
      </c>
      <c r="J932" t="s">
        <v>2727</v>
      </c>
      <c r="K932" t="s">
        <v>2728</v>
      </c>
      <c r="L932" t="s">
        <v>69</v>
      </c>
      <c r="M932" s="4" t="s">
        <v>34</v>
      </c>
      <c r="N932" t="s">
        <v>70</v>
      </c>
      <c r="P932" s="3" t="s">
        <v>36</v>
      </c>
      <c r="Q932" s="3" t="s">
        <v>84</v>
      </c>
      <c r="R932">
        <v>1</v>
      </c>
      <c r="S932" s="5">
        <v>45769</v>
      </c>
      <c r="T932" t="s">
        <v>38</v>
      </c>
      <c r="U932">
        <f t="shared" ca="1" si="84"/>
        <v>4</v>
      </c>
      <c r="V932" s="6">
        <f t="shared" ca="1" si="85"/>
        <v>46006</v>
      </c>
      <c r="W932" s="6">
        <f t="shared" ca="1" si="86"/>
        <v>46012</v>
      </c>
      <c r="X932" t="str">
        <f t="shared" ca="1" si="87"/>
        <v>Dec 15 to Dec 21</v>
      </c>
      <c r="Y932" t="str">
        <f t="shared" ca="1" si="88"/>
        <v>🟢 THIS WEEK</v>
      </c>
      <c r="Z932" t="str">
        <f t="shared" ca="1" si="89"/>
        <v>Confirm appointment</v>
      </c>
    </row>
    <row r="933" spans="1:26">
      <c r="A933">
        <v>1053406995</v>
      </c>
      <c r="B933" s="3" t="s">
        <v>2729</v>
      </c>
      <c r="C933">
        <v>59</v>
      </c>
      <c r="D933" t="s">
        <v>27</v>
      </c>
      <c r="E933" t="s">
        <v>29</v>
      </c>
      <c r="F933" t="s">
        <v>29</v>
      </c>
      <c r="G933" t="s">
        <v>29</v>
      </c>
      <c r="H933">
        <v>5</v>
      </c>
      <c r="I933" t="s">
        <v>30</v>
      </c>
      <c r="J933" t="s">
        <v>2730</v>
      </c>
      <c r="K933" t="s">
        <v>2731</v>
      </c>
      <c r="M933" s="4" t="s">
        <v>94</v>
      </c>
      <c r="N933" t="s">
        <v>44</v>
      </c>
      <c r="P933" s="3" t="s">
        <v>36</v>
      </c>
      <c r="Q933" s="3" t="s">
        <v>84</v>
      </c>
      <c r="R933">
        <v>2</v>
      </c>
      <c r="S933" s="5">
        <v>45940</v>
      </c>
      <c r="T933" t="s">
        <v>38</v>
      </c>
      <c r="U933">
        <f t="shared" ca="1" si="84"/>
        <v>25</v>
      </c>
      <c r="V933" s="6">
        <f t="shared" ca="1" si="85"/>
        <v>46027</v>
      </c>
      <c r="W933" s="6">
        <f t="shared" ca="1" si="86"/>
        <v>46033</v>
      </c>
      <c r="X933" t="str">
        <f t="shared" ca="1" si="87"/>
        <v>Jan 5 to Jan 11</v>
      </c>
      <c r="Y933" t="str">
        <f t="shared" ca="1" si="88"/>
        <v>⚪ SCHEDULED</v>
      </c>
      <c r="Z933" t="str">
        <f t="shared" ca="1" si="89"/>
        <v>No action needed yet</v>
      </c>
    </row>
    <row r="934" spans="1:26">
      <c r="A934">
        <v>1053733497</v>
      </c>
      <c r="B934" s="3" t="s">
        <v>2732</v>
      </c>
      <c r="C934">
        <v>37</v>
      </c>
      <c r="D934" t="s">
        <v>47</v>
      </c>
      <c r="E934" t="s">
        <v>29</v>
      </c>
      <c r="F934" t="s">
        <v>28</v>
      </c>
      <c r="G934" t="s">
        <v>28</v>
      </c>
      <c r="H934">
        <v>1</v>
      </c>
      <c r="I934" t="s">
        <v>55</v>
      </c>
      <c r="J934" t="s">
        <v>2733</v>
      </c>
      <c r="K934" t="s">
        <v>2734</v>
      </c>
      <c r="L934" t="s">
        <v>105</v>
      </c>
      <c r="M934" s="4" t="s">
        <v>94</v>
      </c>
      <c r="N934" t="s">
        <v>162</v>
      </c>
      <c r="P934" s="3" t="s">
        <v>36</v>
      </c>
      <c r="Q934" s="3" t="s">
        <v>84</v>
      </c>
      <c r="R934">
        <v>1</v>
      </c>
      <c r="S934" s="5">
        <v>46001</v>
      </c>
      <c r="T934" t="s">
        <v>393</v>
      </c>
      <c r="U934">
        <f t="shared" ca="1" si="84"/>
        <v>86</v>
      </c>
      <c r="V934" s="6">
        <f t="shared" ca="1" si="85"/>
        <v>46088</v>
      </c>
      <c r="W934" s="6">
        <f t="shared" ca="1" si="86"/>
        <v>46094</v>
      </c>
      <c r="X934" t="str">
        <f t="shared" ca="1" si="87"/>
        <v>Mar 7 to Mar 13</v>
      </c>
      <c r="Y934" t="str">
        <f t="shared" ca="1" si="88"/>
        <v>⚪ SCHEDULED</v>
      </c>
      <c r="Z934" t="str">
        <f t="shared" ca="1" si="89"/>
        <v>No action needed yet</v>
      </c>
    </row>
    <row r="935" spans="1:26">
      <c r="A935">
        <v>1054002595</v>
      </c>
      <c r="B935" s="3" t="s">
        <v>2735</v>
      </c>
      <c r="C935">
        <v>66</v>
      </c>
      <c r="D935" t="s">
        <v>47</v>
      </c>
      <c r="E935" t="s">
        <v>29</v>
      </c>
      <c r="F935" t="s">
        <v>28</v>
      </c>
      <c r="G935" t="s">
        <v>29</v>
      </c>
      <c r="H935">
        <v>5</v>
      </c>
      <c r="I935" t="s">
        <v>30</v>
      </c>
      <c r="J935" t="s">
        <v>2736</v>
      </c>
      <c r="K935" t="s">
        <v>2737</v>
      </c>
      <c r="L935" t="s">
        <v>234</v>
      </c>
      <c r="M935" s="4" t="s">
        <v>34</v>
      </c>
      <c r="N935" t="s">
        <v>51</v>
      </c>
      <c r="P935" s="3" t="s">
        <v>36</v>
      </c>
      <c r="Q935" s="3" t="s">
        <v>2738</v>
      </c>
      <c r="R935">
        <v>2</v>
      </c>
      <c r="S935" s="5">
        <v>45569</v>
      </c>
      <c r="T935" t="s">
        <v>38</v>
      </c>
      <c r="U935">
        <f t="shared" ca="1" si="84"/>
        <v>14</v>
      </c>
      <c r="V935" s="6">
        <f t="shared" ca="1" si="85"/>
        <v>46016</v>
      </c>
      <c r="W935" s="6">
        <f t="shared" ca="1" si="86"/>
        <v>46022</v>
      </c>
      <c r="X935" t="str">
        <f t="shared" ca="1" si="87"/>
        <v>Dec 25 to Dec 31</v>
      </c>
      <c r="Y935" t="str">
        <f t="shared" ca="1" si="88"/>
        <v>🔵 NEXT 2 WEEKS</v>
      </c>
      <c r="Z935" t="str">
        <f t="shared" ca="1" si="89"/>
        <v>Send reminder SMS</v>
      </c>
    </row>
    <row r="936" spans="1:26">
      <c r="A936">
        <v>1054125891</v>
      </c>
      <c r="B936" s="3" t="s">
        <v>2739</v>
      </c>
      <c r="C936">
        <v>57</v>
      </c>
      <c r="D936" t="s">
        <v>47</v>
      </c>
      <c r="E936" t="s">
        <v>29</v>
      </c>
      <c r="F936" t="s">
        <v>28</v>
      </c>
      <c r="G936" t="s">
        <v>29</v>
      </c>
      <c r="H936">
        <v>4</v>
      </c>
      <c r="I936" t="s">
        <v>66</v>
      </c>
      <c r="J936" t="s">
        <v>253</v>
      </c>
      <c r="K936" t="s">
        <v>2740</v>
      </c>
      <c r="L936" t="s">
        <v>33</v>
      </c>
      <c r="M936" s="4" t="s">
        <v>94</v>
      </c>
      <c r="N936" t="s">
        <v>95</v>
      </c>
      <c r="P936" s="3" t="s">
        <v>36</v>
      </c>
      <c r="Q936" s="3" t="s">
        <v>84</v>
      </c>
      <c r="R936">
        <v>2</v>
      </c>
      <c r="S936" s="5">
        <v>45960</v>
      </c>
      <c r="T936" t="s">
        <v>38</v>
      </c>
      <c r="U936">
        <f t="shared" ca="1" si="84"/>
        <v>15</v>
      </c>
      <c r="V936" s="6">
        <f t="shared" ca="1" si="85"/>
        <v>46017</v>
      </c>
      <c r="W936" s="6">
        <f t="shared" ca="1" si="86"/>
        <v>46023</v>
      </c>
      <c r="X936" t="str">
        <f t="shared" ca="1" si="87"/>
        <v>Dec 26 to Jan 1</v>
      </c>
      <c r="Y936" t="str">
        <f t="shared" ca="1" si="88"/>
        <v>⚪ SCHEDULED</v>
      </c>
      <c r="Z936" t="str">
        <f t="shared" ca="1" si="89"/>
        <v>No action needed yet</v>
      </c>
    </row>
    <row r="937" spans="1:26">
      <c r="A937">
        <v>1054197262</v>
      </c>
      <c r="B937" s="3" t="s">
        <v>2741</v>
      </c>
      <c r="C937">
        <v>63</v>
      </c>
      <c r="D937" t="s">
        <v>47</v>
      </c>
      <c r="E937" t="s">
        <v>29</v>
      </c>
      <c r="F937" t="s">
        <v>29</v>
      </c>
      <c r="G937" t="s">
        <v>28</v>
      </c>
      <c r="H937">
        <v>5</v>
      </c>
      <c r="I937" t="s">
        <v>30</v>
      </c>
      <c r="J937" t="s">
        <v>109</v>
      </c>
      <c r="K937" t="s">
        <v>416</v>
      </c>
      <c r="M937" s="4" t="s">
        <v>94</v>
      </c>
      <c r="N937" t="s">
        <v>144</v>
      </c>
      <c r="P937" s="3" t="s">
        <v>36</v>
      </c>
      <c r="Q937" s="3" t="s">
        <v>96</v>
      </c>
      <c r="R937">
        <v>1</v>
      </c>
      <c r="S937" s="5">
        <v>45938</v>
      </c>
      <c r="T937" t="s">
        <v>38</v>
      </c>
      <c r="U937">
        <f t="shared" ca="1" si="84"/>
        <v>23</v>
      </c>
      <c r="V937" s="6">
        <f t="shared" ca="1" si="85"/>
        <v>46025</v>
      </c>
      <c r="W937" s="6">
        <f t="shared" ca="1" si="86"/>
        <v>46031</v>
      </c>
      <c r="X937" t="str">
        <f t="shared" ca="1" si="87"/>
        <v>Jan 3 to Jan 9</v>
      </c>
      <c r="Y937" t="str">
        <f t="shared" ca="1" si="88"/>
        <v>⚪ SCHEDULED</v>
      </c>
      <c r="Z937" t="str">
        <f t="shared" ca="1" si="89"/>
        <v>No action needed yet</v>
      </c>
    </row>
    <row r="938" spans="1:26">
      <c r="A938">
        <v>1054204506</v>
      </c>
      <c r="B938" s="3" t="s">
        <v>2742</v>
      </c>
      <c r="C938">
        <v>58</v>
      </c>
      <c r="D938" t="s">
        <v>47</v>
      </c>
      <c r="E938" t="s">
        <v>54</v>
      </c>
      <c r="F938" t="s">
        <v>54</v>
      </c>
      <c r="G938" t="s">
        <v>54</v>
      </c>
      <c r="H938">
        <v>2</v>
      </c>
      <c r="I938" t="s">
        <v>55</v>
      </c>
      <c r="J938" t="s">
        <v>2743</v>
      </c>
      <c r="K938" t="s">
        <v>2744</v>
      </c>
      <c r="L938" t="s">
        <v>170</v>
      </c>
      <c r="M938" s="4" t="s">
        <v>43</v>
      </c>
      <c r="N938" t="s">
        <v>59</v>
      </c>
      <c r="P938" s="3" t="s">
        <v>36</v>
      </c>
      <c r="Q938" t="s">
        <v>54</v>
      </c>
      <c r="R938">
        <v>1</v>
      </c>
      <c r="S938" s="5">
        <v>45927</v>
      </c>
      <c r="T938" t="s">
        <v>60</v>
      </c>
      <c r="U938">
        <f t="shared" ca="1" si="84"/>
        <v>42</v>
      </c>
      <c r="V938" s="6">
        <f t="shared" ca="1" si="85"/>
        <v>46044</v>
      </c>
      <c r="W938" s="6">
        <f t="shared" ca="1" si="86"/>
        <v>46050</v>
      </c>
      <c r="X938" t="str">
        <f t="shared" ca="1" si="87"/>
        <v>Jan 22 to Jan 28</v>
      </c>
      <c r="Y938" t="str">
        <f t="shared" ca="1" si="88"/>
        <v>⚪ SCHEDULED</v>
      </c>
      <c r="Z938" t="str">
        <f t="shared" ca="1" si="89"/>
        <v>No action needed yet</v>
      </c>
    </row>
    <row r="939" spans="1:26">
      <c r="A939">
        <v>1054207855</v>
      </c>
      <c r="B939" s="3" t="s">
        <v>2745</v>
      </c>
      <c r="C939">
        <v>58</v>
      </c>
      <c r="D939" t="s">
        <v>27</v>
      </c>
      <c r="E939" t="s">
        <v>28</v>
      </c>
      <c r="F939" t="s">
        <v>28</v>
      </c>
      <c r="G939" t="s">
        <v>29</v>
      </c>
      <c r="H939">
        <v>4</v>
      </c>
      <c r="I939" t="s">
        <v>66</v>
      </c>
      <c r="J939" t="s">
        <v>775</v>
      </c>
      <c r="K939" t="s">
        <v>2746</v>
      </c>
      <c r="L939" t="s">
        <v>139</v>
      </c>
      <c r="M939" s="4" t="s">
        <v>34</v>
      </c>
      <c r="N939" t="s">
        <v>140</v>
      </c>
      <c r="P939" s="3" t="s">
        <v>36</v>
      </c>
      <c r="Q939" s="3" t="s">
        <v>84</v>
      </c>
      <c r="R939">
        <v>1</v>
      </c>
      <c r="S939" s="5">
        <v>45385</v>
      </c>
      <c r="T939" t="s">
        <v>38</v>
      </c>
      <c r="U939">
        <f t="shared" ca="1" si="84"/>
        <v>10</v>
      </c>
      <c r="V939" s="6">
        <f t="shared" ca="1" si="85"/>
        <v>46012</v>
      </c>
      <c r="W939" s="6">
        <f t="shared" ca="1" si="86"/>
        <v>46018</v>
      </c>
      <c r="X939" t="str">
        <f t="shared" ca="1" si="87"/>
        <v>Dec 21 to Dec 27</v>
      </c>
      <c r="Y939" t="str">
        <f t="shared" ca="1" si="88"/>
        <v>🔵 NEXT 2 WEEKS</v>
      </c>
      <c r="Z939" t="str">
        <f t="shared" ca="1" si="89"/>
        <v>Send reminder SMS</v>
      </c>
    </row>
    <row r="940" spans="1:26">
      <c r="A940">
        <v>1054330574</v>
      </c>
      <c r="B940" s="3" t="s">
        <v>2747</v>
      </c>
      <c r="C940">
        <v>37</v>
      </c>
      <c r="D940" t="s">
        <v>47</v>
      </c>
      <c r="E940" t="s">
        <v>29</v>
      </c>
      <c r="F940" t="s">
        <v>29</v>
      </c>
      <c r="G940" t="s">
        <v>29</v>
      </c>
      <c r="H940">
        <v>4</v>
      </c>
      <c r="I940" t="s">
        <v>66</v>
      </c>
      <c r="J940" t="s">
        <v>2748</v>
      </c>
      <c r="K940" t="s">
        <v>2749</v>
      </c>
      <c r="M940" s="4" t="s">
        <v>43</v>
      </c>
      <c r="N940" t="s">
        <v>44</v>
      </c>
      <c r="P940" s="3" t="s">
        <v>36</v>
      </c>
      <c r="Q940" s="3" t="s">
        <v>90</v>
      </c>
      <c r="R940">
        <v>1</v>
      </c>
      <c r="S940" s="5">
        <v>45853</v>
      </c>
      <c r="T940" t="s">
        <v>38</v>
      </c>
      <c r="U940">
        <f t="shared" ca="1" si="84"/>
        <v>28</v>
      </c>
      <c r="V940" s="6">
        <f t="shared" ca="1" si="85"/>
        <v>46030</v>
      </c>
      <c r="W940" s="6">
        <f t="shared" ca="1" si="86"/>
        <v>46036</v>
      </c>
      <c r="X940" t="str">
        <f t="shared" ca="1" si="87"/>
        <v>Jan 8 to Jan 14</v>
      </c>
      <c r="Y940" t="str">
        <f t="shared" ca="1" si="88"/>
        <v>⚪ SCHEDULED</v>
      </c>
      <c r="Z940" t="str">
        <f t="shared" ca="1" si="89"/>
        <v>No action needed yet</v>
      </c>
    </row>
    <row r="941" spans="1:26">
      <c r="A941">
        <v>1054515315</v>
      </c>
      <c r="B941" s="3" t="s">
        <v>2750</v>
      </c>
      <c r="C941">
        <v>57</v>
      </c>
      <c r="D941" t="s">
        <v>27</v>
      </c>
      <c r="E941" t="s">
        <v>29</v>
      </c>
      <c r="F941" t="s">
        <v>28</v>
      </c>
      <c r="G941" t="s">
        <v>29</v>
      </c>
      <c r="H941">
        <v>4</v>
      </c>
      <c r="I941" t="s">
        <v>66</v>
      </c>
      <c r="J941" t="s">
        <v>1131</v>
      </c>
      <c r="K941" t="s">
        <v>2751</v>
      </c>
      <c r="L941" t="s">
        <v>33</v>
      </c>
      <c r="M941" s="4" t="s">
        <v>34</v>
      </c>
      <c r="N941" t="s">
        <v>95</v>
      </c>
      <c r="P941" s="3" t="s">
        <v>36</v>
      </c>
      <c r="Q941" s="3" t="s">
        <v>96</v>
      </c>
      <c r="R941">
        <v>2</v>
      </c>
      <c r="S941" s="5">
        <v>45756</v>
      </c>
      <c r="T941" t="s">
        <v>38</v>
      </c>
      <c r="U941">
        <f t="shared" ca="1" si="84"/>
        <v>21</v>
      </c>
      <c r="V941" s="6">
        <f t="shared" ca="1" si="85"/>
        <v>46023</v>
      </c>
      <c r="W941" s="6">
        <f t="shared" ca="1" si="86"/>
        <v>46029</v>
      </c>
      <c r="X941" t="str">
        <f t="shared" ca="1" si="87"/>
        <v>Jan 1 to Jan 7</v>
      </c>
      <c r="Y941" t="str">
        <f t="shared" ca="1" si="88"/>
        <v>⚪ SCHEDULED</v>
      </c>
      <c r="Z941" t="str">
        <f t="shared" ca="1" si="89"/>
        <v>No action needed yet</v>
      </c>
    </row>
    <row r="942" spans="1:26">
      <c r="A942">
        <v>1054581259</v>
      </c>
      <c r="B942" s="3" t="s">
        <v>2752</v>
      </c>
      <c r="C942">
        <v>56</v>
      </c>
      <c r="D942" t="s">
        <v>47</v>
      </c>
      <c r="E942" t="s">
        <v>28</v>
      </c>
      <c r="F942" t="s">
        <v>29</v>
      </c>
      <c r="G942" t="s">
        <v>28</v>
      </c>
      <c r="H942">
        <v>3</v>
      </c>
      <c r="I942" t="s">
        <v>66</v>
      </c>
      <c r="J942" t="s">
        <v>2753</v>
      </c>
      <c r="K942" t="s">
        <v>2754</v>
      </c>
      <c r="L942" t="s">
        <v>69</v>
      </c>
      <c r="M942" s="4" t="s">
        <v>34</v>
      </c>
      <c r="N942" t="s">
        <v>70</v>
      </c>
      <c r="P942" s="3" t="s">
        <v>36</v>
      </c>
      <c r="Q942" s="3" t="s">
        <v>230</v>
      </c>
      <c r="R942">
        <v>1</v>
      </c>
      <c r="S942" s="5">
        <v>45790</v>
      </c>
      <c r="T942" t="s">
        <v>38</v>
      </c>
      <c r="U942">
        <f t="shared" ca="1" si="84"/>
        <v>25</v>
      </c>
      <c r="V942" s="6">
        <f t="shared" ca="1" si="85"/>
        <v>46027</v>
      </c>
      <c r="W942" s="6">
        <f t="shared" ca="1" si="86"/>
        <v>46033</v>
      </c>
      <c r="X942" t="str">
        <f t="shared" ca="1" si="87"/>
        <v>Jan 5 to Jan 11</v>
      </c>
      <c r="Y942" t="str">
        <f t="shared" ca="1" si="88"/>
        <v>⚪ SCHEDULED</v>
      </c>
      <c r="Z942" t="str">
        <f t="shared" ca="1" si="89"/>
        <v>No action needed yet</v>
      </c>
    </row>
    <row r="943" spans="1:26">
      <c r="A943">
        <v>1054894249</v>
      </c>
      <c r="B943" s="3" t="s">
        <v>2755</v>
      </c>
      <c r="C943">
        <v>61</v>
      </c>
      <c r="D943" t="s">
        <v>47</v>
      </c>
      <c r="E943" t="s">
        <v>29</v>
      </c>
      <c r="F943" t="s">
        <v>28</v>
      </c>
      <c r="G943" t="s">
        <v>28</v>
      </c>
      <c r="H943">
        <v>4</v>
      </c>
      <c r="I943" t="s">
        <v>66</v>
      </c>
      <c r="J943" t="s">
        <v>2756</v>
      </c>
      <c r="K943" t="s">
        <v>2757</v>
      </c>
      <c r="L943" t="s">
        <v>2441</v>
      </c>
      <c r="M943" s="4" t="s">
        <v>94</v>
      </c>
      <c r="N943" t="s">
        <v>162</v>
      </c>
      <c r="P943" s="3" t="s">
        <v>36</v>
      </c>
      <c r="Q943" s="3" t="s">
        <v>760</v>
      </c>
      <c r="R943">
        <v>1</v>
      </c>
      <c r="S943" s="5">
        <v>45941</v>
      </c>
      <c r="T943" t="s">
        <v>38</v>
      </c>
      <c r="U943">
        <f t="shared" ca="1" si="84"/>
        <v>26</v>
      </c>
      <c r="V943" s="6">
        <f t="shared" ca="1" si="85"/>
        <v>46028</v>
      </c>
      <c r="W943" s="6">
        <f t="shared" ca="1" si="86"/>
        <v>46034</v>
      </c>
      <c r="X943" t="str">
        <f t="shared" ca="1" si="87"/>
        <v>Jan 6 to Jan 12</v>
      </c>
      <c r="Y943" t="str">
        <f t="shared" ca="1" si="88"/>
        <v>⚪ SCHEDULED</v>
      </c>
      <c r="Z943" t="str">
        <f t="shared" ca="1" si="89"/>
        <v>No action needed yet</v>
      </c>
    </row>
    <row r="944" spans="1:26">
      <c r="A944">
        <v>1054927551</v>
      </c>
      <c r="B944" s="3" t="s">
        <v>2758</v>
      </c>
      <c r="C944">
        <v>37</v>
      </c>
      <c r="D944" t="s">
        <v>27</v>
      </c>
      <c r="E944" t="s">
        <v>29</v>
      </c>
      <c r="F944" t="s">
        <v>28</v>
      </c>
      <c r="G944" t="s">
        <v>28</v>
      </c>
      <c r="H944">
        <v>1</v>
      </c>
      <c r="I944" t="s">
        <v>55</v>
      </c>
      <c r="J944" t="s">
        <v>388</v>
      </c>
      <c r="K944" t="s">
        <v>2759</v>
      </c>
      <c r="L944" t="s">
        <v>33</v>
      </c>
      <c r="M944" s="4" t="s">
        <v>94</v>
      </c>
      <c r="N944" t="s">
        <v>148</v>
      </c>
      <c r="P944" s="3" t="s">
        <v>36</v>
      </c>
      <c r="Q944" s="3" t="s">
        <v>381</v>
      </c>
      <c r="R944">
        <v>1</v>
      </c>
      <c r="S944" s="5">
        <v>45997</v>
      </c>
      <c r="T944" t="s">
        <v>393</v>
      </c>
      <c r="U944">
        <f t="shared" ca="1" si="84"/>
        <v>82</v>
      </c>
      <c r="V944" s="6">
        <f t="shared" ca="1" si="85"/>
        <v>46084</v>
      </c>
      <c r="W944" s="6">
        <f t="shared" ca="1" si="86"/>
        <v>46090</v>
      </c>
      <c r="X944" t="str">
        <f t="shared" ca="1" si="87"/>
        <v>Mar 3 to Mar 9</v>
      </c>
      <c r="Y944" t="str">
        <f t="shared" ca="1" si="88"/>
        <v>⚪ SCHEDULED</v>
      </c>
      <c r="Z944" t="str">
        <f t="shared" ca="1" si="89"/>
        <v>No action needed yet</v>
      </c>
    </row>
    <row r="945" spans="1:26">
      <c r="A945">
        <v>1055081184</v>
      </c>
      <c r="B945" s="3" t="s">
        <v>2760</v>
      </c>
      <c r="C945">
        <v>74</v>
      </c>
      <c r="D945" t="s">
        <v>27</v>
      </c>
      <c r="E945" t="s">
        <v>29</v>
      </c>
      <c r="F945" t="s">
        <v>29</v>
      </c>
      <c r="G945" t="s">
        <v>28</v>
      </c>
      <c r="H945">
        <v>7</v>
      </c>
      <c r="I945" t="s">
        <v>30</v>
      </c>
      <c r="J945" t="s">
        <v>2158</v>
      </c>
      <c r="K945" t="s">
        <v>2761</v>
      </c>
      <c r="M945" s="4" t="s">
        <v>43</v>
      </c>
      <c r="N945" t="s">
        <v>144</v>
      </c>
      <c r="P945" s="3" t="s">
        <v>36</v>
      </c>
      <c r="Q945" s="3" t="s">
        <v>96</v>
      </c>
      <c r="R945">
        <v>1</v>
      </c>
      <c r="S945" s="5">
        <v>45870</v>
      </c>
      <c r="T945" t="s">
        <v>38</v>
      </c>
      <c r="U945">
        <f t="shared" ca="1" si="84"/>
        <v>15</v>
      </c>
      <c r="V945" s="6">
        <f t="shared" ca="1" si="85"/>
        <v>46017</v>
      </c>
      <c r="W945" s="6">
        <f t="shared" ca="1" si="86"/>
        <v>46023</v>
      </c>
      <c r="X945" t="str">
        <f t="shared" ca="1" si="87"/>
        <v>Dec 26 to Jan 1</v>
      </c>
      <c r="Y945" t="str">
        <f t="shared" ca="1" si="88"/>
        <v>⚪ SCHEDULED</v>
      </c>
      <c r="Z945" t="str">
        <f t="shared" ca="1" si="89"/>
        <v>No action needed yet</v>
      </c>
    </row>
    <row r="946" spans="1:26">
      <c r="A946">
        <v>1055220220</v>
      </c>
      <c r="B946" s="3" t="s">
        <v>2762</v>
      </c>
      <c r="C946">
        <v>68</v>
      </c>
      <c r="D946" t="s">
        <v>27</v>
      </c>
      <c r="E946" t="s">
        <v>54</v>
      </c>
      <c r="F946" t="s">
        <v>54</v>
      </c>
      <c r="G946" t="s">
        <v>54</v>
      </c>
      <c r="H946">
        <v>3</v>
      </c>
      <c r="I946" t="s">
        <v>66</v>
      </c>
      <c r="J946" t="s">
        <v>564</v>
      </c>
      <c r="K946" t="s">
        <v>2763</v>
      </c>
      <c r="L946" t="s">
        <v>105</v>
      </c>
      <c r="M946" s="4" t="s">
        <v>34</v>
      </c>
      <c r="N946" t="s">
        <v>59</v>
      </c>
      <c r="P946" s="3" t="s">
        <v>36</v>
      </c>
      <c r="Q946" t="s">
        <v>54</v>
      </c>
      <c r="R946">
        <v>1</v>
      </c>
      <c r="S946" s="5">
        <v>45714</v>
      </c>
      <c r="T946" t="s">
        <v>38</v>
      </c>
      <c r="U946">
        <f t="shared" ca="1" si="84"/>
        <v>9</v>
      </c>
      <c r="V946" s="6">
        <f t="shared" ca="1" si="85"/>
        <v>46011</v>
      </c>
      <c r="W946" s="6">
        <f t="shared" ca="1" si="86"/>
        <v>46017</v>
      </c>
      <c r="X946" t="str">
        <f t="shared" ca="1" si="87"/>
        <v>Dec 20 to Dec 26</v>
      </c>
      <c r="Y946" t="str">
        <f t="shared" ca="1" si="88"/>
        <v>🔵 NEXT 2 WEEKS</v>
      </c>
      <c r="Z946" t="str">
        <f t="shared" ca="1" si="89"/>
        <v>Send reminder SMS</v>
      </c>
    </row>
    <row r="947" spans="1:26">
      <c r="A947">
        <v>1055362436</v>
      </c>
      <c r="B947" s="3" t="s">
        <v>2764</v>
      </c>
      <c r="C947">
        <v>47</v>
      </c>
      <c r="D947" t="s">
        <v>47</v>
      </c>
      <c r="E947" t="s">
        <v>29</v>
      </c>
      <c r="F947" t="s">
        <v>29</v>
      </c>
      <c r="G947" t="s">
        <v>28</v>
      </c>
      <c r="H947">
        <v>5</v>
      </c>
      <c r="I947" t="s">
        <v>30</v>
      </c>
      <c r="J947" t="s">
        <v>2765</v>
      </c>
      <c r="K947" t="s">
        <v>2766</v>
      </c>
      <c r="L947" t="s">
        <v>88</v>
      </c>
      <c r="M947" s="4" t="s">
        <v>34</v>
      </c>
      <c r="N947" t="s">
        <v>119</v>
      </c>
      <c r="P947" s="3" t="s">
        <v>36</v>
      </c>
      <c r="Q947" t="s">
        <v>54</v>
      </c>
      <c r="R947">
        <v>1</v>
      </c>
      <c r="S947" s="5">
        <v>45632</v>
      </c>
      <c r="T947" t="s">
        <v>38</v>
      </c>
      <c r="U947">
        <f t="shared" ca="1" si="84"/>
        <v>17</v>
      </c>
      <c r="V947" s="6">
        <f t="shared" ca="1" si="85"/>
        <v>46019</v>
      </c>
      <c r="W947" s="6">
        <f t="shared" ca="1" si="86"/>
        <v>46025</v>
      </c>
      <c r="X947" t="str">
        <f t="shared" ca="1" si="87"/>
        <v>Dec 28 to Jan 3</v>
      </c>
      <c r="Y947" t="str">
        <f t="shared" ca="1" si="88"/>
        <v>⚪ SCHEDULED</v>
      </c>
      <c r="Z947" t="str">
        <f t="shared" ca="1" si="89"/>
        <v>No action needed yet</v>
      </c>
    </row>
    <row r="948" spans="1:26">
      <c r="A948">
        <v>1055400376</v>
      </c>
      <c r="B948" s="3" t="s">
        <v>2767</v>
      </c>
      <c r="C948">
        <v>54</v>
      </c>
      <c r="D948" t="s">
        <v>27</v>
      </c>
      <c r="E948" t="s">
        <v>29</v>
      </c>
      <c r="F948" t="s">
        <v>28</v>
      </c>
      <c r="G948" t="s">
        <v>29</v>
      </c>
      <c r="H948">
        <v>5</v>
      </c>
      <c r="I948" t="s">
        <v>30</v>
      </c>
      <c r="J948" t="s">
        <v>2768</v>
      </c>
      <c r="K948" t="s">
        <v>2769</v>
      </c>
      <c r="M948" s="4" t="s">
        <v>43</v>
      </c>
      <c r="N948" t="s">
        <v>95</v>
      </c>
      <c r="P948" s="3" t="s">
        <v>36</v>
      </c>
      <c r="Q948" s="3" t="s">
        <v>90</v>
      </c>
      <c r="R948">
        <v>1</v>
      </c>
      <c r="S948" s="5">
        <v>45918</v>
      </c>
      <c r="T948" t="s">
        <v>38</v>
      </c>
      <c r="U948">
        <f t="shared" ca="1" si="84"/>
        <v>3</v>
      </c>
      <c r="V948" s="6">
        <f t="shared" ca="1" si="85"/>
        <v>46005</v>
      </c>
      <c r="W948" s="6">
        <f t="shared" ca="1" si="86"/>
        <v>46011</v>
      </c>
      <c r="X948" t="str">
        <f t="shared" ca="1" si="87"/>
        <v>Dec 14 to Dec 20</v>
      </c>
      <c r="Y948" t="str">
        <f t="shared" ca="1" si="88"/>
        <v>🟡 IMMINENT (within 3 days)</v>
      </c>
      <c r="Z948" t="str">
        <f t="shared" ca="1" si="89"/>
        <v>Prepare medications TODAY</v>
      </c>
    </row>
    <row r="949" spans="1:26">
      <c r="A949">
        <v>1055469306</v>
      </c>
      <c r="B949" s="3" t="s">
        <v>2770</v>
      </c>
      <c r="C949">
        <v>44</v>
      </c>
      <c r="D949" t="s">
        <v>27</v>
      </c>
      <c r="E949" t="s">
        <v>28</v>
      </c>
      <c r="F949" t="s">
        <v>29</v>
      </c>
      <c r="G949" t="s">
        <v>28</v>
      </c>
      <c r="H949">
        <v>3</v>
      </c>
      <c r="I949" t="s">
        <v>66</v>
      </c>
      <c r="J949" t="s">
        <v>2771</v>
      </c>
      <c r="K949" t="s">
        <v>2772</v>
      </c>
      <c r="L949" t="s">
        <v>69</v>
      </c>
      <c r="M949" s="4" t="s">
        <v>34</v>
      </c>
      <c r="N949" t="s">
        <v>70</v>
      </c>
      <c r="P949" s="3" t="s">
        <v>36</v>
      </c>
      <c r="Q949" s="3" t="s">
        <v>2773</v>
      </c>
      <c r="R949">
        <v>2</v>
      </c>
      <c r="S949" s="5">
        <v>45702</v>
      </c>
      <c r="T949" t="s">
        <v>38</v>
      </c>
      <c r="U949">
        <f t="shared" ca="1" si="84"/>
        <v>27</v>
      </c>
      <c r="V949" s="6">
        <f t="shared" ca="1" si="85"/>
        <v>46029</v>
      </c>
      <c r="W949" s="6">
        <f t="shared" ca="1" si="86"/>
        <v>46035</v>
      </c>
      <c r="X949" t="str">
        <f t="shared" ca="1" si="87"/>
        <v>Jan 7 to Jan 13</v>
      </c>
      <c r="Y949" t="str">
        <f t="shared" ca="1" si="88"/>
        <v>⚪ SCHEDULED</v>
      </c>
      <c r="Z949" t="str">
        <f t="shared" ca="1" si="89"/>
        <v>No action needed yet</v>
      </c>
    </row>
    <row r="950" spans="1:26">
      <c r="A950">
        <v>1055554594</v>
      </c>
      <c r="B950" s="3" t="s">
        <v>2774</v>
      </c>
      <c r="C950">
        <v>48</v>
      </c>
      <c r="D950" t="s">
        <v>27</v>
      </c>
      <c r="E950" t="s">
        <v>29</v>
      </c>
      <c r="F950" t="s">
        <v>28</v>
      </c>
      <c r="G950" t="s">
        <v>28</v>
      </c>
      <c r="H950">
        <v>3</v>
      </c>
      <c r="I950" t="s">
        <v>66</v>
      </c>
      <c r="J950" t="s">
        <v>2775</v>
      </c>
      <c r="K950" t="s">
        <v>2776</v>
      </c>
      <c r="M950" s="4" t="s">
        <v>94</v>
      </c>
      <c r="N950" t="s">
        <v>148</v>
      </c>
      <c r="P950" s="3" t="s">
        <v>36</v>
      </c>
      <c r="Q950" s="3" t="s">
        <v>230</v>
      </c>
      <c r="R950">
        <v>2</v>
      </c>
      <c r="S950" s="5">
        <v>45941</v>
      </c>
      <c r="T950" t="s">
        <v>38</v>
      </c>
      <c r="U950">
        <f t="shared" ca="1" si="84"/>
        <v>26</v>
      </c>
      <c r="V950" s="6">
        <f t="shared" ca="1" si="85"/>
        <v>46028</v>
      </c>
      <c r="W950" s="6">
        <f t="shared" ca="1" si="86"/>
        <v>46034</v>
      </c>
      <c r="X950" t="str">
        <f t="shared" ca="1" si="87"/>
        <v>Jan 6 to Jan 12</v>
      </c>
      <c r="Y950" t="str">
        <f t="shared" ca="1" si="88"/>
        <v>⚪ SCHEDULED</v>
      </c>
      <c r="Z950" t="str">
        <f t="shared" ca="1" si="89"/>
        <v>No action needed yet</v>
      </c>
    </row>
    <row r="951" spans="1:26">
      <c r="A951">
        <v>1055681157</v>
      </c>
      <c r="B951" s="3" t="s">
        <v>2777</v>
      </c>
      <c r="C951">
        <v>55</v>
      </c>
      <c r="D951" t="s">
        <v>27</v>
      </c>
      <c r="E951" t="s">
        <v>29</v>
      </c>
      <c r="F951" t="s">
        <v>28</v>
      </c>
      <c r="G951" t="s">
        <v>29</v>
      </c>
      <c r="H951">
        <v>5</v>
      </c>
      <c r="I951" t="s">
        <v>30</v>
      </c>
      <c r="J951" t="s">
        <v>184</v>
      </c>
      <c r="K951" t="s">
        <v>2778</v>
      </c>
      <c r="L951" t="s">
        <v>186</v>
      </c>
      <c r="M951" s="4" t="s">
        <v>94</v>
      </c>
      <c r="N951" t="s">
        <v>95</v>
      </c>
      <c r="P951" s="3" t="s">
        <v>36</v>
      </c>
      <c r="Q951" s="3" t="s">
        <v>84</v>
      </c>
      <c r="R951">
        <v>2</v>
      </c>
      <c r="S951" s="5">
        <v>45959</v>
      </c>
      <c r="T951" t="s">
        <v>38</v>
      </c>
      <c r="U951">
        <f t="shared" ca="1" si="84"/>
        <v>14</v>
      </c>
      <c r="V951" s="6">
        <f t="shared" ca="1" si="85"/>
        <v>46016</v>
      </c>
      <c r="W951" s="6">
        <f t="shared" ca="1" si="86"/>
        <v>46022</v>
      </c>
      <c r="X951" t="str">
        <f t="shared" ca="1" si="87"/>
        <v>Dec 25 to Dec 31</v>
      </c>
      <c r="Y951" t="str">
        <f t="shared" ca="1" si="88"/>
        <v>🔵 NEXT 2 WEEKS</v>
      </c>
      <c r="Z951" t="str">
        <f t="shared" ca="1" si="89"/>
        <v>Send reminder SMS</v>
      </c>
    </row>
    <row r="952" spans="1:26">
      <c r="A952">
        <v>1055736258</v>
      </c>
      <c r="B952" s="3" t="s">
        <v>2779</v>
      </c>
      <c r="C952">
        <v>54</v>
      </c>
      <c r="D952" t="s">
        <v>27</v>
      </c>
      <c r="E952" t="s">
        <v>29</v>
      </c>
      <c r="F952" t="s">
        <v>29</v>
      </c>
      <c r="G952" t="s">
        <v>28</v>
      </c>
      <c r="H952">
        <v>5</v>
      </c>
      <c r="I952" t="s">
        <v>30</v>
      </c>
      <c r="J952" t="s">
        <v>260</v>
      </c>
      <c r="K952" t="s">
        <v>2780</v>
      </c>
      <c r="M952" s="4" t="s">
        <v>94</v>
      </c>
      <c r="N952" t="s">
        <v>144</v>
      </c>
      <c r="P952" s="3" t="s">
        <v>36</v>
      </c>
      <c r="Q952" s="3" t="s">
        <v>107</v>
      </c>
      <c r="R952">
        <v>2</v>
      </c>
      <c r="S952" s="5">
        <v>45958</v>
      </c>
      <c r="T952" t="s">
        <v>38</v>
      </c>
      <c r="U952">
        <f t="shared" ca="1" si="84"/>
        <v>13</v>
      </c>
      <c r="V952" s="6">
        <f t="shared" ca="1" si="85"/>
        <v>46015</v>
      </c>
      <c r="W952" s="6">
        <f t="shared" ca="1" si="86"/>
        <v>46021</v>
      </c>
      <c r="X952" t="str">
        <f t="shared" ca="1" si="87"/>
        <v>Dec 24 to Dec 30</v>
      </c>
      <c r="Y952" t="str">
        <f t="shared" ca="1" si="88"/>
        <v>🔵 NEXT 2 WEEKS</v>
      </c>
      <c r="Z952" t="str">
        <f t="shared" ca="1" si="89"/>
        <v>Send reminder SMS</v>
      </c>
    </row>
    <row r="953" spans="1:26">
      <c r="A953">
        <v>1055768384</v>
      </c>
      <c r="B953" s="3" t="s">
        <v>2781</v>
      </c>
      <c r="C953">
        <v>41</v>
      </c>
      <c r="D953" t="s">
        <v>27</v>
      </c>
      <c r="E953" t="s">
        <v>28</v>
      </c>
      <c r="F953" t="s">
        <v>29</v>
      </c>
      <c r="G953" t="s">
        <v>28</v>
      </c>
      <c r="H953">
        <v>2</v>
      </c>
      <c r="I953" t="s">
        <v>55</v>
      </c>
      <c r="J953" t="s">
        <v>157</v>
      </c>
      <c r="K953" t="s">
        <v>2782</v>
      </c>
      <c r="L953" t="s">
        <v>33</v>
      </c>
      <c r="M953" s="4" t="s">
        <v>34</v>
      </c>
      <c r="N953" t="s">
        <v>64</v>
      </c>
      <c r="P953" s="3" t="s">
        <v>36</v>
      </c>
      <c r="Q953" s="3" t="s">
        <v>45</v>
      </c>
      <c r="R953">
        <v>2</v>
      </c>
      <c r="S953" s="5">
        <v>45859</v>
      </c>
      <c r="T953" t="s">
        <v>60</v>
      </c>
      <c r="U953">
        <f t="shared" ca="1" si="84"/>
        <v>34</v>
      </c>
      <c r="V953" s="6">
        <f t="shared" ca="1" si="85"/>
        <v>46036</v>
      </c>
      <c r="W953" s="6">
        <f t="shared" ca="1" si="86"/>
        <v>46042</v>
      </c>
      <c r="X953" t="str">
        <f t="shared" ca="1" si="87"/>
        <v>Jan 14 to Jan 20</v>
      </c>
      <c r="Y953" t="str">
        <f t="shared" ca="1" si="88"/>
        <v>⚪ SCHEDULED</v>
      </c>
      <c r="Z953" t="str">
        <f t="shared" ca="1" si="89"/>
        <v>No action needed yet</v>
      </c>
    </row>
    <row r="954" spans="1:26">
      <c r="A954">
        <v>1055808404</v>
      </c>
      <c r="B954" s="3" t="s">
        <v>2783</v>
      </c>
      <c r="C954">
        <v>43</v>
      </c>
      <c r="D954" t="s">
        <v>47</v>
      </c>
      <c r="E954" t="s">
        <v>29</v>
      </c>
      <c r="F954" t="s">
        <v>28</v>
      </c>
      <c r="G954" t="s">
        <v>29</v>
      </c>
      <c r="H954">
        <v>3</v>
      </c>
      <c r="I954" t="s">
        <v>66</v>
      </c>
      <c r="J954" t="s">
        <v>2784</v>
      </c>
      <c r="K954" t="s">
        <v>2785</v>
      </c>
      <c r="L954" t="s">
        <v>234</v>
      </c>
      <c r="M954" s="4" t="s">
        <v>34</v>
      </c>
      <c r="N954" t="s">
        <v>51</v>
      </c>
      <c r="P954" s="3" t="s">
        <v>36</v>
      </c>
      <c r="Q954" s="3" t="s">
        <v>84</v>
      </c>
      <c r="R954">
        <v>2</v>
      </c>
      <c r="S954" s="5">
        <v>45633</v>
      </c>
      <c r="T954" t="s">
        <v>38</v>
      </c>
      <c r="U954">
        <f t="shared" ca="1" si="84"/>
        <v>18</v>
      </c>
      <c r="V954" s="6">
        <f t="shared" ca="1" si="85"/>
        <v>46020</v>
      </c>
      <c r="W954" s="6">
        <f t="shared" ca="1" si="86"/>
        <v>46026</v>
      </c>
      <c r="X954" t="str">
        <f t="shared" ca="1" si="87"/>
        <v>Dec 29 to Jan 4</v>
      </c>
      <c r="Y954" t="str">
        <f t="shared" ca="1" si="88"/>
        <v>⚪ SCHEDULED</v>
      </c>
      <c r="Z954" t="str">
        <f t="shared" ca="1" si="89"/>
        <v>No action needed yet</v>
      </c>
    </row>
    <row r="955" spans="1:26">
      <c r="A955">
        <v>1055817793</v>
      </c>
      <c r="B955" s="3" t="s">
        <v>2786</v>
      </c>
      <c r="C955">
        <v>54</v>
      </c>
      <c r="D955" t="s">
        <v>47</v>
      </c>
      <c r="E955" t="s">
        <v>29</v>
      </c>
      <c r="F955" t="s">
        <v>28</v>
      </c>
      <c r="G955" t="s">
        <v>29</v>
      </c>
      <c r="H955">
        <v>5</v>
      </c>
      <c r="I955" t="s">
        <v>30</v>
      </c>
      <c r="J955" t="s">
        <v>2787</v>
      </c>
      <c r="K955" t="s">
        <v>2788</v>
      </c>
      <c r="M955" s="4" t="s">
        <v>43</v>
      </c>
      <c r="N955" t="s">
        <v>95</v>
      </c>
      <c r="P955" s="3" t="s">
        <v>36</v>
      </c>
      <c r="Q955" s="3" t="s">
        <v>84</v>
      </c>
      <c r="R955">
        <v>2</v>
      </c>
      <c r="S955" s="5">
        <v>45889</v>
      </c>
      <c r="T955" t="s">
        <v>38</v>
      </c>
      <c r="U955">
        <f t="shared" ca="1" si="84"/>
        <v>4</v>
      </c>
      <c r="V955" s="6">
        <f t="shared" ca="1" si="85"/>
        <v>46006</v>
      </c>
      <c r="W955" s="6">
        <f t="shared" ca="1" si="86"/>
        <v>46012</v>
      </c>
      <c r="X955" t="str">
        <f t="shared" ca="1" si="87"/>
        <v>Dec 15 to Dec 21</v>
      </c>
      <c r="Y955" t="str">
        <f t="shared" ca="1" si="88"/>
        <v>🟢 THIS WEEK</v>
      </c>
      <c r="Z955" t="str">
        <f t="shared" ca="1" si="89"/>
        <v>Confirm appointment</v>
      </c>
    </row>
    <row r="956" spans="1:26">
      <c r="A956">
        <v>1056028622</v>
      </c>
      <c r="B956" s="3" t="s">
        <v>2789</v>
      </c>
      <c r="C956">
        <v>41</v>
      </c>
      <c r="D956" t="s">
        <v>47</v>
      </c>
      <c r="E956" t="s">
        <v>29</v>
      </c>
      <c r="F956" t="s">
        <v>28</v>
      </c>
      <c r="G956" t="s">
        <v>28</v>
      </c>
      <c r="H956">
        <v>3</v>
      </c>
      <c r="I956" t="s">
        <v>66</v>
      </c>
      <c r="J956" t="s">
        <v>2790</v>
      </c>
      <c r="K956" t="s">
        <v>2791</v>
      </c>
      <c r="L956" t="s">
        <v>208</v>
      </c>
      <c r="M956" s="4" t="s">
        <v>43</v>
      </c>
      <c r="N956" t="s">
        <v>162</v>
      </c>
      <c r="P956" s="3" t="s">
        <v>36</v>
      </c>
      <c r="Q956" s="3" t="s">
        <v>84</v>
      </c>
      <c r="R956">
        <v>1</v>
      </c>
      <c r="S956" s="5">
        <v>45918</v>
      </c>
      <c r="T956" t="s">
        <v>38</v>
      </c>
      <c r="U956">
        <f t="shared" ca="1" si="84"/>
        <v>3</v>
      </c>
      <c r="V956" s="6">
        <f t="shared" ca="1" si="85"/>
        <v>46005</v>
      </c>
      <c r="W956" s="6">
        <f t="shared" ca="1" si="86"/>
        <v>46011</v>
      </c>
      <c r="X956" t="str">
        <f t="shared" ca="1" si="87"/>
        <v>Dec 14 to Dec 20</v>
      </c>
      <c r="Y956" t="str">
        <f t="shared" ca="1" si="88"/>
        <v>🟡 IMMINENT (within 3 days)</v>
      </c>
      <c r="Z956" t="str">
        <f t="shared" ca="1" si="89"/>
        <v>Prepare medications TODAY</v>
      </c>
    </row>
    <row r="957" spans="1:26">
      <c r="A957">
        <v>1056031709</v>
      </c>
      <c r="B957" s="3" t="s">
        <v>2792</v>
      </c>
      <c r="C957">
        <v>55</v>
      </c>
      <c r="D957" t="s">
        <v>27</v>
      </c>
      <c r="E957" t="s">
        <v>28</v>
      </c>
      <c r="F957" t="s">
        <v>29</v>
      </c>
      <c r="G957" t="s">
        <v>28</v>
      </c>
      <c r="H957">
        <v>4</v>
      </c>
      <c r="I957" t="s">
        <v>66</v>
      </c>
      <c r="J957" t="s">
        <v>2793</v>
      </c>
      <c r="K957" t="s">
        <v>2794</v>
      </c>
      <c r="L957" t="s">
        <v>428</v>
      </c>
      <c r="M957" s="4" t="s">
        <v>34</v>
      </c>
      <c r="N957" t="s">
        <v>70</v>
      </c>
      <c r="P957" s="3" t="s">
        <v>36</v>
      </c>
      <c r="Q957" s="3" t="s">
        <v>107</v>
      </c>
      <c r="R957">
        <v>1</v>
      </c>
      <c r="S957" s="5">
        <v>45713</v>
      </c>
      <c r="T957" t="s">
        <v>38</v>
      </c>
      <c r="U957">
        <f t="shared" ca="1" si="84"/>
        <v>8</v>
      </c>
      <c r="V957" s="6">
        <f t="shared" ca="1" si="85"/>
        <v>46010</v>
      </c>
      <c r="W957" s="6">
        <f t="shared" ca="1" si="86"/>
        <v>46016</v>
      </c>
      <c r="X957" t="str">
        <f t="shared" ca="1" si="87"/>
        <v>Dec 19 to Dec 25</v>
      </c>
      <c r="Y957" t="str">
        <f t="shared" ca="1" si="88"/>
        <v>🔵 NEXT 2 WEEKS</v>
      </c>
      <c r="Z957" t="str">
        <f t="shared" ca="1" si="89"/>
        <v>Send reminder SMS</v>
      </c>
    </row>
    <row r="958" spans="1:26">
      <c r="A958">
        <v>1056066911</v>
      </c>
      <c r="B958" s="3" t="s">
        <v>2795</v>
      </c>
      <c r="C958">
        <v>38</v>
      </c>
      <c r="D958" t="s">
        <v>47</v>
      </c>
      <c r="E958" t="s">
        <v>29</v>
      </c>
      <c r="F958" t="s">
        <v>28</v>
      </c>
      <c r="G958" t="s">
        <v>28</v>
      </c>
      <c r="H958">
        <v>1</v>
      </c>
      <c r="I958" t="s">
        <v>55</v>
      </c>
      <c r="J958" t="s">
        <v>2796</v>
      </c>
      <c r="K958" t="s">
        <v>2797</v>
      </c>
      <c r="L958" t="s">
        <v>170</v>
      </c>
      <c r="M958" s="4" t="s">
        <v>34</v>
      </c>
      <c r="N958" t="s">
        <v>162</v>
      </c>
      <c r="P958" s="3" t="s">
        <v>36</v>
      </c>
      <c r="Q958" s="3" t="s">
        <v>45</v>
      </c>
      <c r="R958">
        <v>1</v>
      </c>
      <c r="S958" s="5">
        <v>45416</v>
      </c>
      <c r="T958" t="s">
        <v>393</v>
      </c>
      <c r="U958">
        <f t="shared" ca="1" si="84"/>
        <v>41</v>
      </c>
      <c r="V958" s="6">
        <f t="shared" ca="1" si="85"/>
        <v>46043</v>
      </c>
      <c r="W958" s="6">
        <f t="shared" ca="1" si="86"/>
        <v>46049</v>
      </c>
      <c r="X958" t="str">
        <f t="shared" ca="1" si="87"/>
        <v>Jan 21 to Jan 27</v>
      </c>
      <c r="Y958" t="str">
        <f t="shared" ca="1" si="88"/>
        <v>⚪ SCHEDULED</v>
      </c>
      <c r="Z958" t="str">
        <f t="shared" ca="1" si="89"/>
        <v>No action needed yet</v>
      </c>
    </row>
    <row r="959" spans="1:26">
      <c r="A959">
        <v>1056111535</v>
      </c>
      <c r="B959" s="3" t="s">
        <v>2798</v>
      </c>
      <c r="C959">
        <v>63</v>
      </c>
      <c r="D959" t="s">
        <v>27</v>
      </c>
      <c r="E959" t="s">
        <v>28</v>
      </c>
      <c r="F959" t="s">
        <v>28</v>
      </c>
      <c r="G959" t="s">
        <v>29</v>
      </c>
      <c r="H959">
        <v>5</v>
      </c>
      <c r="I959" t="s">
        <v>30</v>
      </c>
      <c r="J959" t="s">
        <v>519</v>
      </c>
      <c r="K959" t="s">
        <v>1645</v>
      </c>
      <c r="L959" t="s">
        <v>114</v>
      </c>
      <c r="M959" s="4" t="s">
        <v>34</v>
      </c>
      <c r="N959" t="s">
        <v>140</v>
      </c>
      <c r="P959" s="3" t="s">
        <v>36</v>
      </c>
      <c r="Q959" s="3" t="s">
        <v>175</v>
      </c>
      <c r="R959">
        <v>1</v>
      </c>
      <c r="S959" s="5">
        <v>45524</v>
      </c>
      <c r="T959" t="s">
        <v>38</v>
      </c>
      <c r="U959">
        <f t="shared" ca="1" si="84"/>
        <v>29</v>
      </c>
      <c r="V959" s="6">
        <f t="shared" ca="1" si="85"/>
        <v>46031</v>
      </c>
      <c r="W959" s="6">
        <f t="shared" ca="1" si="86"/>
        <v>46037</v>
      </c>
      <c r="X959" t="str">
        <f t="shared" ca="1" si="87"/>
        <v>Jan 9 to Jan 15</v>
      </c>
      <c r="Y959" t="str">
        <f t="shared" ca="1" si="88"/>
        <v>⚪ SCHEDULED</v>
      </c>
      <c r="Z959" t="str">
        <f t="shared" ca="1" si="89"/>
        <v>No action needed yet</v>
      </c>
    </row>
    <row r="960" spans="1:26">
      <c r="A960">
        <v>1056454026</v>
      </c>
      <c r="B960" s="3" t="s">
        <v>2799</v>
      </c>
      <c r="C960">
        <v>66</v>
      </c>
      <c r="D960" t="s">
        <v>27</v>
      </c>
      <c r="E960" t="s">
        <v>29</v>
      </c>
      <c r="F960" t="s">
        <v>29</v>
      </c>
      <c r="G960" t="s">
        <v>28</v>
      </c>
      <c r="H960">
        <v>6</v>
      </c>
      <c r="I960" t="s">
        <v>30</v>
      </c>
      <c r="J960" t="s">
        <v>2800</v>
      </c>
      <c r="K960" t="s">
        <v>2801</v>
      </c>
      <c r="L960" t="s">
        <v>170</v>
      </c>
      <c r="M960" s="4" t="s">
        <v>34</v>
      </c>
      <c r="N960" t="s">
        <v>106</v>
      </c>
      <c r="P960" s="3" t="s">
        <v>36</v>
      </c>
      <c r="Q960" s="3" t="s">
        <v>45</v>
      </c>
      <c r="R960">
        <v>2</v>
      </c>
      <c r="S960" s="5">
        <v>45469</v>
      </c>
      <c r="T960" t="s">
        <v>38</v>
      </c>
      <c r="U960">
        <f t="shared" ca="1" si="84"/>
        <v>4</v>
      </c>
      <c r="V960" s="6">
        <f t="shared" ca="1" si="85"/>
        <v>46006</v>
      </c>
      <c r="W960" s="6">
        <f t="shared" ca="1" si="86"/>
        <v>46012</v>
      </c>
      <c r="X960" t="str">
        <f t="shared" ca="1" si="87"/>
        <v>Dec 15 to Dec 21</v>
      </c>
      <c r="Y960" t="str">
        <f t="shared" ca="1" si="88"/>
        <v>🟢 THIS WEEK</v>
      </c>
      <c r="Z960" t="str">
        <f t="shared" ca="1" si="89"/>
        <v>Confirm appointment</v>
      </c>
    </row>
    <row r="961" spans="1:26">
      <c r="A961">
        <v>1056746207</v>
      </c>
      <c r="B961" s="3" t="s">
        <v>2802</v>
      </c>
      <c r="C961">
        <v>76</v>
      </c>
      <c r="D961" t="s">
        <v>47</v>
      </c>
      <c r="E961" t="s">
        <v>29</v>
      </c>
      <c r="F961" t="s">
        <v>29</v>
      </c>
      <c r="G961" t="s">
        <v>28</v>
      </c>
      <c r="H961">
        <v>6</v>
      </c>
      <c r="I961" t="s">
        <v>30</v>
      </c>
      <c r="J961" t="s">
        <v>2803</v>
      </c>
      <c r="K961" t="s">
        <v>2804</v>
      </c>
      <c r="M961" s="4" t="s">
        <v>43</v>
      </c>
      <c r="N961" t="s">
        <v>144</v>
      </c>
      <c r="P961" s="3" t="s">
        <v>36</v>
      </c>
      <c r="Q961" s="3" t="s">
        <v>107</v>
      </c>
      <c r="R961">
        <v>2</v>
      </c>
      <c r="S961" s="5">
        <v>45889</v>
      </c>
      <c r="T961" t="s">
        <v>38</v>
      </c>
      <c r="U961">
        <f t="shared" ca="1" si="84"/>
        <v>4</v>
      </c>
      <c r="V961" s="6">
        <f t="shared" ca="1" si="85"/>
        <v>46006</v>
      </c>
      <c r="W961" s="6">
        <f t="shared" ca="1" si="86"/>
        <v>46012</v>
      </c>
      <c r="X961" t="str">
        <f t="shared" ca="1" si="87"/>
        <v>Dec 15 to Dec 21</v>
      </c>
      <c r="Y961" t="str">
        <f t="shared" ca="1" si="88"/>
        <v>🟢 THIS WEEK</v>
      </c>
      <c r="Z961" t="str">
        <f t="shared" ca="1" si="89"/>
        <v>Confirm appointment</v>
      </c>
    </row>
    <row r="962" spans="1:26">
      <c r="A962">
        <v>1056838426</v>
      </c>
      <c r="B962" s="3" t="s">
        <v>2805</v>
      </c>
      <c r="C962">
        <v>42</v>
      </c>
      <c r="D962" t="s">
        <v>47</v>
      </c>
      <c r="E962" t="s">
        <v>29</v>
      </c>
      <c r="F962" t="s">
        <v>28</v>
      </c>
      <c r="G962" t="s">
        <v>28</v>
      </c>
      <c r="H962">
        <v>3</v>
      </c>
      <c r="I962" t="s">
        <v>66</v>
      </c>
      <c r="J962" t="s">
        <v>347</v>
      </c>
      <c r="K962" t="s">
        <v>2806</v>
      </c>
      <c r="M962" s="4" t="s">
        <v>34</v>
      </c>
      <c r="N962" t="s">
        <v>148</v>
      </c>
      <c r="P962" s="3" t="s">
        <v>36</v>
      </c>
      <c r="Q962" s="3" t="s">
        <v>84</v>
      </c>
      <c r="R962">
        <v>2</v>
      </c>
      <c r="S962" s="5">
        <v>45799</v>
      </c>
      <c r="T962" t="s">
        <v>38</v>
      </c>
      <c r="U962">
        <f t="shared" ref="U962:U1025" ca="1" si="90">IF(S962&gt;=TODAY(),S962,S962+CEILING((TODAY()-S962)/IF(T962="Monthly",30,IF(T962="Bi-Monthly",60,90)),1)*IF(T962="Monthly",30,IF(T962="Bi-Monthly",60,90)))-TODAY()</f>
        <v>4</v>
      </c>
      <c r="V962" s="6">
        <f t="shared" ref="V962:V1025" ca="1" si="91">IF(S962&gt;=TODAY(),S962,S962+CEILING((TODAY()-S962)/IF(T962="Monthly",30,IF(T962="Bi-Monthly",60,90)),1)*IF(T962="Monthly",30,IF(T962="Bi-Monthly",60,90)))-3</f>
        <v>46006</v>
      </c>
      <c r="W962" s="6">
        <f t="shared" ref="W962:W1025" ca="1" si="92">IF(S962&gt;=TODAY(),S962,S962+CEILING((TODAY()-S962)/IF(T962="Monthly",30,IF(T962="Bi-Monthly",60,90)),1)*IF(T962="Monthly",30,IF(T962="Bi-Monthly",60,90)))+3</f>
        <v>46012</v>
      </c>
      <c r="X962" t="str">
        <f t="shared" ref="X962:X1025" ca="1" si="93">TEXT(V962,"MMM D")&amp;" to "&amp;TEXT(W962,"MMM D")</f>
        <v>Dec 15 to Dec 21</v>
      </c>
      <c r="Y962" t="str">
        <f t="shared" ref="Y962:Y1025" ca="1" si="94">IF(U962&lt;=3,"🟡 IMMINENT (within 3 days)",IF(U962&lt;=7,"🟢 THIS WEEK",IF(U962&lt;=14,"🔵 NEXT 2 WEEKS","⚪ SCHEDULED")))</f>
        <v>🟢 THIS WEEK</v>
      </c>
      <c r="Z962" t="str">
        <f t="shared" ref="Z962:Z1025" ca="1" si="95">IF(U962&lt;=3,"Prepare medications TODAY",IF(U962&lt;=7,"Confirm appointment",IF(U962&lt;=14,"Send reminder SMS","No action needed yet")))</f>
        <v>Confirm appointment</v>
      </c>
    </row>
    <row r="963" spans="1:26">
      <c r="A963">
        <v>1057140343</v>
      </c>
      <c r="B963" s="3" t="s">
        <v>2807</v>
      </c>
      <c r="C963">
        <v>75</v>
      </c>
      <c r="D963" t="s">
        <v>27</v>
      </c>
      <c r="E963" t="s">
        <v>29</v>
      </c>
      <c r="F963" t="s">
        <v>29</v>
      </c>
      <c r="G963" t="s">
        <v>29</v>
      </c>
      <c r="H963">
        <v>7</v>
      </c>
      <c r="I963" t="s">
        <v>30</v>
      </c>
      <c r="J963" t="s">
        <v>2808</v>
      </c>
      <c r="K963" t="s">
        <v>2809</v>
      </c>
      <c r="L963" t="s">
        <v>2562</v>
      </c>
      <c r="M963" s="4" t="s">
        <v>34</v>
      </c>
      <c r="N963" t="s">
        <v>89</v>
      </c>
      <c r="P963" s="3" t="s">
        <v>36</v>
      </c>
      <c r="Q963" s="3" t="s">
        <v>2810</v>
      </c>
      <c r="R963">
        <v>1</v>
      </c>
      <c r="S963" s="5">
        <v>45709</v>
      </c>
      <c r="T963" t="s">
        <v>38</v>
      </c>
      <c r="U963">
        <f t="shared" ca="1" si="90"/>
        <v>4</v>
      </c>
      <c r="V963" s="6">
        <f t="shared" ca="1" si="91"/>
        <v>46006</v>
      </c>
      <c r="W963" s="6">
        <f t="shared" ca="1" si="92"/>
        <v>46012</v>
      </c>
      <c r="X963" t="str">
        <f t="shared" ca="1" si="93"/>
        <v>Dec 15 to Dec 21</v>
      </c>
      <c r="Y963" t="str">
        <f t="shared" ca="1" si="94"/>
        <v>🟢 THIS WEEK</v>
      </c>
      <c r="Z963" t="str">
        <f t="shared" ca="1" si="95"/>
        <v>Confirm appointment</v>
      </c>
    </row>
    <row r="964" spans="1:26">
      <c r="A964">
        <v>1057147942</v>
      </c>
      <c r="B964" s="3" t="s">
        <v>2811</v>
      </c>
      <c r="C964">
        <v>63</v>
      </c>
      <c r="D964" t="s">
        <v>27</v>
      </c>
      <c r="E964" t="s">
        <v>29</v>
      </c>
      <c r="F964" t="s">
        <v>29</v>
      </c>
      <c r="G964" t="s">
        <v>29</v>
      </c>
      <c r="H964">
        <v>7</v>
      </c>
      <c r="I964" t="s">
        <v>30</v>
      </c>
      <c r="J964" t="s">
        <v>2812</v>
      </c>
      <c r="K964" t="s">
        <v>2813</v>
      </c>
      <c r="L964" t="s">
        <v>234</v>
      </c>
      <c r="M964" s="4" t="s">
        <v>34</v>
      </c>
      <c r="N964" t="s">
        <v>201</v>
      </c>
      <c r="P964" s="3" t="s">
        <v>36</v>
      </c>
      <c r="Q964" s="3" t="s">
        <v>1848</v>
      </c>
      <c r="R964">
        <v>2</v>
      </c>
      <c r="S964" s="5">
        <v>45694</v>
      </c>
      <c r="T964" t="s">
        <v>38</v>
      </c>
      <c r="U964">
        <f t="shared" ca="1" si="90"/>
        <v>19</v>
      </c>
      <c r="V964" s="6">
        <f t="shared" ca="1" si="91"/>
        <v>46021</v>
      </c>
      <c r="W964" s="6">
        <f t="shared" ca="1" si="92"/>
        <v>46027</v>
      </c>
      <c r="X964" t="str">
        <f t="shared" ca="1" si="93"/>
        <v>Dec 30 to Jan 5</v>
      </c>
      <c r="Y964" t="str">
        <f t="shared" ca="1" si="94"/>
        <v>⚪ SCHEDULED</v>
      </c>
      <c r="Z964" t="str">
        <f t="shared" ca="1" si="95"/>
        <v>No action needed yet</v>
      </c>
    </row>
    <row r="965" spans="1:26">
      <c r="A965">
        <v>1057195198</v>
      </c>
      <c r="B965" s="3" t="s">
        <v>2814</v>
      </c>
      <c r="C965">
        <v>38</v>
      </c>
      <c r="D965" t="s">
        <v>47</v>
      </c>
      <c r="E965" t="s">
        <v>28</v>
      </c>
      <c r="F965" t="s">
        <v>29</v>
      </c>
      <c r="G965" t="s">
        <v>28</v>
      </c>
      <c r="H965">
        <v>2</v>
      </c>
      <c r="I965" t="s">
        <v>55</v>
      </c>
      <c r="J965" t="s">
        <v>2815</v>
      </c>
      <c r="K965" t="s">
        <v>2816</v>
      </c>
      <c r="L965" t="s">
        <v>33</v>
      </c>
      <c r="M965" s="4" t="s">
        <v>94</v>
      </c>
      <c r="N965" t="s">
        <v>64</v>
      </c>
      <c r="P965" s="3" t="s">
        <v>36</v>
      </c>
      <c r="Q965" s="3" t="s">
        <v>45</v>
      </c>
      <c r="R965">
        <v>2</v>
      </c>
      <c r="S965" s="5">
        <v>45978</v>
      </c>
      <c r="T965" t="s">
        <v>60</v>
      </c>
      <c r="U965">
        <f t="shared" ca="1" si="90"/>
        <v>33</v>
      </c>
      <c r="V965" s="6">
        <f t="shared" ca="1" si="91"/>
        <v>46035</v>
      </c>
      <c r="W965" s="6">
        <f t="shared" ca="1" si="92"/>
        <v>46041</v>
      </c>
      <c r="X965" t="str">
        <f t="shared" ca="1" si="93"/>
        <v>Jan 13 to Jan 19</v>
      </c>
      <c r="Y965" t="str">
        <f t="shared" ca="1" si="94"/>
        <v>⚪ SCHEDULED</v>
      </c>
      <c r="Z965" t="str">
        <f t="shared" ca="1" si="95"/>
        <v>No action needed yet</v>
      </c>
    </row>
    <row r="966" spans="1:26">
      <c r="A966">
        <v>1057215962</v>
      </c>
      <c r="B966" s="3" t="s">
        <v>2817</v>
      </c>
      <c r="C966">
        <v>37</v>
      </c>
      <c r="D966" t="s">
        <v>27</v>
      </c>
      <c r="E966" t="s">
        <v>28</v>
      </c>
      <c r="F966" t="s">
        <v>28</v>
      </c>
      <c r="G966" t="s">
        <v>28</v>
      </c>
      <c r="H966">
        <v>1</v>
      </c>
      <c r="I966" t="s">
        <v>55</v>
      </c>
      <c r="J966" t="s">
        <v>2818</v>
      </c>
      <c r="K966" t="s">
        <v>2819</v>
      </c>
      <c r="L966" t="s">
        <v>186</v>
      </c>
      <c r="M966" s="4" t="s">
        <v>43</v>
      </c>
      <c r="N966" t="s">
        <v>59</v>
      </c>
      <c r="P966" s="3" t="s">
        <v>36</v>
      </c>
      <c r="Q966" s="3" t="s">
        <v>90</v>
      </c>
      <c r="R966">
        <v>2</v>
      </c>
      <c r="S966" s="5">
        <v>45974</v>
      </c>
      <c r="T966" t="s">
        <v>393</v>
      </c>
      <c r="U966">
        <f t="shared" ca="1" si="90"/>
        <v>59</v>
      </c>
      <c r="V966" s="6">
        <f t="shared" ca="1" si="91"/>
        <v>46061</v>
      </c>
      <c r="W966" s="6">
        <f t="shared" ca="1" si="92"/>
        <v>46067</v>
      </c>
      <c r="X966" t="str">
        <f t="shared" ca="1" si="93"/>
        <v>Feb 8 to Feb 14</v>
      </c>
      <c r="Y966" t="str">
        <f t="shared" ca="1" si="94"/>
        <v>⚪ SCHEDULED</v>
      </c>
      <c r="Z966" t="str">
        <f t="shared" ca="1" si="95"/>
        <v>No action needed yet</v>
      </c>
    </row>
    <row r="967" spans="1:26">
      <c r="A967">
        <v>1057591560</v>
      </c>
      <c r="B967" s="3" t="s">
        <v>2820</v>
      </c>
      <c r="C967">
        <v>37</v>
      </c>
      <c r="D967" t="s">
        <v>27</v>
      </c>
      <c r="E967" t="s">
        <v>28</v>
      </c>
      <c r="F967" t="s">
        <v>28</v>
      </c>
      <c r="G967" t="s">
        <v>28</v>
      </c>
      <c r="H967">
        <v>0</v>
      </c>
      <c r="I967" t="s">
        <v>55</v>
      </c>
      <c r="J967" t="s">
        <v>2665</v>
      </c>
      <c r="K967" t="s">
        <v>2821</v>
      </c>
      <c r="L967" t="s">
        <v>139</v>
      </c>
      <c r="M967" s="4" t="s">
        <v>94</v>
      </c>
      <c r="N967" t="s">
        <v>59</v>
      </c>
      <c r="P967" s="3" t="s">
        <v>36</v>
      </c>
      <c r="Q967" s="3" t="s">
        <v>2822</v>
      </c>
      <c r="R967">
        <v>2</v>
      </c>
      <c r="S967" s="5">
        <v>46012</v>
      </c>
      <c r="T967" t="s">
        <v>393</v>
      </c>
      <c r="U967">
        <f t="shared" ca="1" si="90"/>
        <v>7</v>
      </c>
      <c r="V967" s="6">
        <f t="shared" ca="1" si="91"/>
        <v>46009</v>
      </c>
      <c r="W967" s="6">
        <f t="shared" ca="1" si="92"/>
        <v>46015</v>
      </c>
      <c r="X967" t="str">
        <f t="shared" ca="1" si="93"/>
        <v>Dec 18 to Dec 24</v>
      </c>
      <c r="Y967" t="str">
        <f t="shared" ca="1" si="94"/>
        <v>🟢 THIS WEEK</v>
      </c>
      <c r="Z967" t="str">
        <f t="shared" ca="1" si="95"/>
        <v>Confirm appointment</v>
      </c>
    </row>
    <row r="968" spans="1:26">
      <c r="A968">
        <v>1057673855</v>
      </c>
      <c r="B968" s="3" t="s">
        <v>2823</v>
      </c>
      <c r="C968">
        <v>53</v>
      </c>
      <c r="D968" t="s">
        <v>27</v>
      </c>
      <c r="E968" t="s">
        <v>29</v>
      </c>
      <c r="F968" t="s">
        <v>29</v>
      </c>
      <c r="G968" t="s">
        <v>29</v>
      </c>
      <c r="H968">
        <v>5</v>
      </c>
      <c r="I968" t="s">
        <v>30</v>
      </c>
      <c r="J968" t="s">
        <v>2824</v>
      </c>
      <c r="K968" t="s">
        <v>2825</v>
      </c>
      <c r="L968" t="s">
        <v>234</v>
      </c>
      <c r="M968" s="4" t="s">
        <v>43</v>
      </c>
      <c r="N968" t="s">
        <v>201</v>
      </c>
      <c r="P968" s="3" t="s">
        <v>36</v>
      </c>
      <c r="Q968" s="3" t="s">
        <v>858</v>
      </c>
      <c r="R968">
        <v>2</v>
      </c>
      <c r="S968" s="5">
        <v>45863</v>
      </c>
      <c r="T968" t="s">
        <v>38</v>
      </c>
      <c r="U968">
        <f t="shared" ca="1" si="90"/>
        <v>8</v>
      </c>
      <c r="V968" s="6">
        <f t="shared" ca="1" si="91"/>
        <v>46010</v>
      </c>
      <c r="W968" s="6">
        <f t="shared" ca="1" si="92"/>
        <v>46016</v>
      </c>
      <c r="X968" t="str">
        <f t="shared" ca="1" si="93"/>
        <v>Dec 19 to Dec 25</v>
      </c>
      <c r="Y968" t="str">
        <f t="shared" ca="1" si="94"/>
        <v>🔵 NEXT 2 WEEKS</v>
      </c>
      <c r="Z968" t="str">
        <f t="shared" ca="1" si="95"/>
        <v>Send reminder SMS</v>
      </c>
    </row>
    <row r="969" spans="1:26">
      <c r="A969">
        <v>1057678391</v>
      </c>
      <c r="B969" s="3" t="s">
        <v>2826</v>
      </c>
      <c r="C969">
        <v>61</v>
      </c>
      <c r="D969" t="s">
        <v>47</v>
      </c>
      <c r="E969" t="s">
        <v>54</v>
      </c>
      <c r="F969" t="s">
        <v>54</v>
      </c>
      <c r="G969" t="s">
        <v>54</v>
      </c>
      <c r="H969">
        <v>3</v>
      </c>
      <c r="I969" t="s">
        <v>66</v>
      </c>
      <c r="J969" t="s">
        <v>388</v>
      </c>
      <c r="K969" t="s">
        <v>2827</v>
      </c>
      <c r="L969" t="s">
        <v>33</v>
      </c>
      <c r="M969" s="4" t="s">
        <v>94</v>
      </c>
      <c r="N969" t="s">
        <v>59</v>
      </c>
      <c r="P969" s="3" t="s">
        <v>36</v>
      </c>
      <c r="Q969" s="3" t="s">
        <v>2828</v>
      </c>
      <c r="R969">
        <v>1</v>
      </c>
      <c r="S969" s="5">
        <v>45947</v>
      </c>
      <c r="T969" t="s">
        <v>38</v>
      </c>
      <c r="U969">
        <f t="shared" ca="1" si="90"/>
        <v>2</v>
      </c>
      <c r="V969" s="6">
        <f t="shared" ca="1" si="91"/>
        <v>46004</v>
      </c>
      <c r="W969" s="6">
        <f t="shared" ca="1" si="92"/>
        <v>46010</v>
      </c>
      <c r="X969" t="str">
        <f t="shared" ca="1" si="93"/>
        <v>Dec 13 to Dec 19</v>
      </c>
      <c r="Y969" t="str">
        <f t="shared" ca="1" si="94"/>
        <v>🟡 IMMINENT (within 3 days)</v>
      </c>
      <c r="Z969" t="str">
        <f t="shared" ca="1" si="95"/>
        <v>Prepare medications TODAY</v>
      </c>
    </row>
    <row r="970" spans="1:26">
      <c r="A970">
        <v>1057747394</v>
      </c>
      <c r="B970" s="3" t="s">
        <v>2829</v>
      </c>
      <c r="C970">
        <v>56</v>
      </c>
      <c r="D970" t="s">
        <v>27</v>
      </c>
      <c r="E970" t="s">
        <v>28</v>
      </c>
      <c r="F970" t="s">
        <v>28</v>
      </c>
      <c r="G970" t="s">
        <v>28</v>
      </c>
      <c r="H970">
        <v>2</v>
      </c>
      <c r="I970" t="s">
        <v>55</v>
      </c>
      <c r="J970" t="s">
        <v>2830</v>
      </c>
      <c r="K970" t="s">
        <v>2831</v>
      </c>
      <c r="M970" s="4" t="s">
        <v>43</v>
      </c>
      <c r="N970" t="s">
        <v>59</v>
      </c>
      <c r="P970" s="3" t="s">
        <v>36</v>
      </c>
      <c r="Q970" s="3" t="s">
        <v>90</v>
      </c>
      <c r="R970">
        <v>1</v>
      </c>
      <c r="S970" s="5">
        <v>45956</v>
      </c>
      <c r="T970" t="s">
        <v>60</v>
      </c>
      <c r="U970">
        <f t="shared" ca="1" si="90"/>
        <v>11</v>
      </c>
      <c r="V970" s="6">
        <f t="shared" ca="1" si="91"/>
        <v>46013</v>
      </c>
      <c r="W970" s="6">
        <f t="shared" ca="1" si="92"/>
        <v>46019</v>
      </c>
      <c r="X970" t="str">
        <f t="shared" ca="1" si="93"/>
        <v>Dec 22 to Dec 28</v>
      </c>
      <c r="Y970" t="str">
        <f t="shared" ca="1" si="94"/>
        <v>🔵 NEXT 2 WEEKS</v>
      </c>
      <c r="Z970" t="str">
        <f t="shared" ca="1" si="95"/>
        <v>Send reminder SMS</v>
      </c>
    </row>
    <row r="971" spans="1:26">
      <c r="A971">
        <v>1057774976</v>
      </c>
      <c r="B971" s="3" t="s">
        <v>2832</v>
      </c>
      <c r="C971">
        <v>48</v>
      </c>
      <c r="D971" t="s">
        <v>47</v>
      </c>
      <c r="E971" t="s">
        <v>29</v>
      </c>
      <c r="F971" t="s">
        <v>28</v>
      </c>
      <c r="G971" t="s">
        <v>28</v>
      </c>
      <c r="H971">
        <v>2</v>
      </c>
      <c r="I971" t="s">
        <v>55</v>
      </c>
      <c r="J971" t="s">
        <v>430</v>
      </c>
      <c r="K971" t="s">
        <v>2833</v>
      </c>
      <c r="M971" s="4" t="s">
        <v>43</v>
      </c>
      <c r="N971" t="s">
        <v>148</v>
      </c>
      <c r="P971" s="3" t="s">
        <v>36</v>
      </c>
      <c r="Q971" s="3" t="s">
        <v>84</v>
      </c>
      <c r="R971">
        <v>2</v>
      </c>
      <c r="S971" s="5">
        <v>45919</v>
      </c>
      <c r="T971" t="s">
        <v>60</v>
      </c>
      <c r="U971">
        <f t="shared" ca="1" si="90"/>
        <v>34</v>
      </c>
      <c r="V971" s="6">
        <f t="shared" ca="1" si="91"/>
        <v>46036</v>
      </c>
      <c r="W971" s="6">
        <f t="shared" ca="1" si="92"/>
        <v>46042</v>
      </c>
      <c r="X971" t="str">
        <f t="shared" ca="1" si="93"/>
        <v>Jan 14 to Jan 20</v>
      </c>
      <c r="Y971" t="str">
        <f t="shared" ca="1" si="94"/>
        <v>⚪ SCHEDULED</v>
      </c>
      <c r="Z971" t="str">
        <f t="shared" ca="1" si="95"/>
        <v>No action needed yet</v>
      </c>
    </row>
    <row r="972" spans="1:26">
      <c r="A972">
        <v>1057941773</v>
      </c>
      <c r="B972" s="3" t="s">
        <v>2834</v>
      </c>
      <c r="C972">
        <v>37</v>
      </c>
      <c r="D972" t="s">
        <v>47</v>
      </c>
      <c r="E972" t="s">
        <v>54</v>
      </c>
      <c r="F972" t="s">
        <v>54</v>
      </c>
      <c r="G972" t="s">
        <v>54</v>
      </c>
      <c r="H972">
        <v>0</v>
      </c>
      <c r="I972" t="s">
        <v>55</v>
      </c>
      <c r="J972" t="s">
        <v>2835</v>
      </c>
      <c r="K972" t="s">
        <v>2836</v>
      </c>
      <c r="L972" t="s">
        <v>691</v>
      </c>
      <c r="M972" s="4" t="s">
        <v>94</v>
      </c>
      <c r="N972" t="s">
        <v>59</v>
      </c>
      <c r="P972" s="3" t="s">
        <v>36</v>
      </c>
      <c r="Q972" s="3" t="s">
        <v>365</v>
      </c>
      <c r="R972">
        <v>2</v>
      </c>
      <c r="S972" s="5">
        <v>45992</v>
      </c>
      <c r="T972" t="s">
        <v>393</v>
      </c>
      <c r="U972">
        <f t="shared" ca="1" si="90"/>
        <v>77</v>
      </c>
      <c r="V972" s="6">
        <f t="shared" ca="1" si="91"/>
        <v>46079</v>
      </c>
      <c r="W972" s="6">
        <f t="shared" ca="1" si="92"/>
        <v>46085</v>
      </c>
      <c r="X972" t="str">
        <f t="shared" ca="1" si="93"/>
        <v>Feb 26 to Mar 4</v>
      </c>
      <c r="Y972" t="str">
        <f t="shared" ca="1" si="94"/>
        <v>⚪ SCHEDULED</v>
      </c>
      <c r="Z972" t="str">
        <f t="shared" ca="1" si="95"/>
        <v>No action needed yet</v>
      </c>
    </row>
    <row r="973" spans="1:26">
      <c r="A973">
        <v>1058462563</v>
      </c>
      <c r="B973" s="3" t="s">
        <v>2837</v>
      </c>
      <c r="C973">
        <v>62</v>
      </c>
      <c r="D973" t="s">
        <v>47</v>
      </c>
      <c r="E973" t="s">
        <v>29</v>
      </c>
      <c r="F973" t="s">
        <v>29</v>
      </c>
      <c r="G973" t="s">
        <v>29</v>
      </c>
      <c r="H973">
        <v>6</v>
      </c>
      <c r="I973" t="s">
        <v>30</v>
      </c>
      <c r="J973" t="s">
        <v>894</v>
      </c>
      <c r="K973" t="s">
        <v>2838</v>
      </c>
      <c r="M973" s="4" t="s">
        <v>94</v>
      </c>
      <c r="N973" t="s">
        <v>44</v>
      </c>
      <c r="P973" s="3" t="s">
        <v>36</v>
      </c>
      <c r="Q973" s="3" t="s">
        <v>84</v>
      </c>
      <c r="R973">
        <v>2</v>
      </c>
      <c r="S973" s="5">
        <v>45945</v>
      </c>
      <c r="T973" t="s">
        <v>38</v>
      </c>
      <c r="U973">
        <f t="shared" ca="1" si="90"/>
        <v>0</v>
      </c>
      <c r="V973" s="6">
        <f t="shared" ca="1" si="91"/>
        <v>46002</v>
      </c>
      <c r="W973" s="6">
        <f t="shared" ca="1" si="92"/>
        <v>46008</v>
      </c>
      <c r="X973" t="str">
        <f t="shared" ca="1" si="93"/>
        <v>Dec 11 to Dec 17</v>
      </c>
      <c r="Y973" t="str">
        <f t="shared" ca="1" si="94"/>
        <v>🟡 IMMINENT (within 3 days)</v>
      </c>
      <c r="Z973" t="str">
        <f t="shared" ca="1" si="95"/>
        <v>Prepare medications TODAY</v>
      </c>
    </row>
    <row r="974" spans="1:26">
      <c r="A974">
        <v>1058464635</v>
      </c>
      <c r="B974" s="3" t="s">
        <v>2839</v>
      </c>
      <c r="C974">
        <v>60</v>
      </c>
      <c r="D974" t="s">
        <v>27</v>
      </c>
      <c r="E974" t="s">
        <v>29</v>
      </c>
      <c r="F974" t="s">
        <v>29</v>
      </c>
      <c r="G974" t="s">
        <v>28</v>
      </c>
      <c r="H974">
        <v>6</v>
      </c>
      <c r="I974" t="s">
        <v>30</v>
      </c>
      <c r="J974" t="s">
        <v>398</v>
      </c>
      <c r="K974" t="s">
        <v>2840</v>
      </c>
      <c r="L974" t="s">
        <v>69</v>
      </c>
      <c r="M974" s="4" t="s">
        <v>34</v>
      </c>
      <c r="N974" t="s">
        <v>131</v>
      </c>
      <c r="P974" s="3" t="s">
        <v>36</v>
      </c>
      <c r="Q974" s="3" t="s">
        <v>77</v>
      </c>
      <c r="R974">
        <v>2</v>
      </c>
      <c r="S974" s="5">
        <v>45785</v>
      </c>
      <c r="T974" t="s">
        <v>38</v>
      </c>
      <c r="U974">
        <f t="shared" ca="1" si="90"/>
        <v>20</v>
      </c>
      <c r="V974" s="6">
        <f t="shared" ca="1" si="91"/>
        <v>46022</v>
      </c>
      <c r="W974" s="6">
        <f t="shared" ca="1" si="92"/>
        <v>46028</v>
      </c>
      <c r="X974" t="str">
        <f t="shared" ca="1" si="93"/>
        <v>Dec 31 to Jan 6</v>
      </c>
      <c r="Y974" t="str">
        <f t="shared" ca="1" si="94"/>
        <v>⚪ SCHEDULED</v>
      </c>
      <c r="Z974" t="str">
        <f t="shared" ca="1" si="95"/>
        <v>No action needed yet</v>
      </c>
    </row>
    <row r="975" spans="1:26">
      <c r="A975">
        <v>1058498435</v>
      </c>
      <c r="B975" s="3" t="s">
        <v>2841</v>
      </c>
      <c r="C975">
        <v>53</v>
      </c>
      <c r="D975" t="s">
        <v>27</v>
      </c>
      <c r="E975" t="s">
        <v>28</v>
      </c>
      <c r="F975" t="s">
        <v>29</v>
      </c>
      <c r="G975" t="s">
        <v>29</v>
      </c>
      <c r="H975">
        <v>5</v>
      </c>
      <c r="I975" t="s">
        <v>30</v>
      </c>
      <c r="J975" t="s">
        <v>2842</v>
      </c>
      <c r="K975" t="s">
        <v>2843</v>
      </c>
      <c r="L975" t="s">
        <v>33</v>
      </c>
      <c r="M975" s="4" t="s">
        <v>34</v>
      </c>
      <c r="N975" t="s">
        <v>35</v>
      </c>
      <c r="P975" s="3" t="s">
        <v>36</v>
      </c>
      <c r="Q975" s="3" t="s">
        <v>313</v>
      </c>
      <c r="R975">
        <v>2</v>
      </c>
      <c r="S975" s="5">
        <v>45822</v>
      </c>
      <c r="T975" t="s">
        <v>38</v>
      </c>
      <c r="U975">
        <f t="shared" ca="1" si="90"/>
        <v>27</v>
      </c>
      <c r="V975" s="6">
        <f t="shared" ca="1" si="91"/>
        <v>46029</v>
      </c>
      <c r="W975" s="6">
        <f t="shared" ca="1" si="92"/>
        <v>46035</v>
      </c>
      <c r="X975" t="str">
        <f t="shared" ca="1" si="93"/>
        <v>Jan 7 to Jan 13</v>
      </c>
      <c r="Y975" t="str">
        <f t="shared" ca="1" si="94"/>
        <v>⚪ SCHEDULED</v>
      </c>
      <c r="Z975" t="str">
        <f t="shared" ca="1" si="95"/>
        <v>No action needed yet</v>
      </c>
    </row>
    <row r="976" spans="1:26">
      <c r="A976">
        <v>1058532183</v>
      </c>
      <c r="B976" s="3" t="s">
        <v>2844</v>
      </c>
      <c r="C976">
        <v>56</v>
      </c>
      <c r="D976" t="s">
        <v>27</v>
      </c>
      <c r="E976" t="s">
        <v>28</v>
      </c>
      <c r="F976" t="s">
        <v>28</v>
      </c>
      <c r="G976" t="s">
        <v>29</v>
      </c>
      <c r="H976">
        <v>4</v>
      </c>
      <c r="I976" t="s">
        <v>66</v>
      </c>
      <c r="J976" t="s">
        <v>2845</v>
      </c>
      <c r="K976" t="s">
        <v>2846</v>
      </c>
      <c r="M976" s="4" t="s">
        <v>34</v>
      </c>
      <c r="N976" t="s">
        <v>794</v>
      </c>
      <c r="P976" s="3" t="s">
        <v>36</v>
      </c>
      <c r="Q976" s="3" t="s">
        <v>45</v>
      </c>
      <c r="R976">
        <v>1</v>
      </c>
      <c r="S976" s="5">
        <v>45713</v>
      </c>
      <c r="T976" t="s">
        <v>38</v>
      </c>
      <c r="U976">
        <f t="shared" ca="1" si="90"/>
        <v>8</v>
      </c>
      <c r="V976" s="6">
        <f t="shared" ca="1" si="91"/>
        <v>46010</v>
      </c>
      <c r="W976" s="6">
        <f t="shared" ca="1" si="92"/>
        <v>46016</v>
      </c>
      <c r="X976" t="str">
        <f t="shared" ca="1" si="93"/>
        <v>Dec 19 to Dec 25</v>
      </c>
      <c r="Y976" t="str">
        <f t="shared" ca="1" si="94"/>
        <v>🔵 NEXT 2 WEEKS</v>
      </c>
      <c r="Z976" t="str">
        <f t="shared" ca="1" si="95"/>
        <v>Send reminder SMS</v>
      </c>
    </row>
    <row r="977" spans="1:26">
      <c r="A977">
        <v>1059311074</v>
      </c>
      <c r="B977" s="3" t="s">
        <v>2847</v>
      </c>
      <c r="C977">
        <v>45</v>
      </c>
      <c r="D977" t="s">
        <v>47</v>
      </c>
      <c r="E977" t="s">
        <v>28</v>
      </c>
      <c r="F977" t="s">
        <v>28</v>
      </c>
      <c r="G977" t="s">
        <v>29</v>
      </c>
      <c r="H977">
        <v>4</v>
      </c>
      <c r="I977" t="s">
        <v>66</v>
      </c>
      <c r="J977" t="s">
        <v>2848</v>
      </c>
      <c r="K977" t="s">
        <v>2849</v>
      </c>
      <c r="L977" t="s">
        <v>139</v>
      </c>
      <c r="M977" s="4" t="s">
        <v>34</v>
      </c>
      <c r="N977" t="s">
        <v>140</v>
      </c>
      <c r="P977" s="3" t="s">
        <v>36</v>
      </c>
      <c r="Q977" s="3" t="s">
        <v>107</v>
      </c>
      <c r="R977">
        <v>1</v>
      </c>
      <c r="S977" s="5">
        <v>45762</v>
      </c>
      <c r="T977" t="s">
        <v>38</v>
      </c>
      <c r="U977">
        <f t="shared" ca="1" si="90"/>
        <v>27</v>
      </c>
      <c r="V977" s="6">
        <f t="shared" ca="1" si="91"/>
        <v>46029</v>
      </c>
      <c r="W977" s="6">
        <f t="shared" ca="1" si="92"/>
        <v>46035</v>
      </c>
      <c r="X977" t="str">
        <f t="shared" ca="1" si="93"/>
        <v>Jan 7 to Jan 13</v>
      </c>
      <c r="Y977" t="str">
        <f t="shared" ca="1" si="94"/>
        <v>⚪ SCHEDULED</v>
      </c>
      <c r="Z977" t="str">
        <f t="shared" ca="1" si="95"/>
        <v>No action needed yet</v>
      </c>
    </row>
    <row r="978" spans="1:26">
      <c r="A978">
        <v>1059411171</v>
      </c>
      <c r="B978" s="3" t="s">
        <v>2850</v>
      </c>
      <c r="C978">
        <v>56</v>
      </c>
      <c r="D978" t="s">
        <v>27</v>
      </c>
      <c r="E978" t="s">
        <v>29</v>
      </c>
      <c r="F978" t="s">
        <v>29</v>
      </c>
      <c r="G978" t="s">
        <v>28</v>
      </c>
      <c r="H978">
        <v>5</v>
      </c>
      <c r="I978" t="s">
        <v>30</v>
      </c>
      <c r="J978" t="s">
        <v>2851</v>
      </c>
      <c r="K978" t="s">
        <v>2852</v>
      </c>
      <c r="M978" s="4" t="s">
        <v>94</v>
      </c>
      <c r="N978" t="s">
        <v>144</v>
      </c>
      <c r="P978" s="3" t="s">
        <v>36</v>
      </c>
      <c r="Q978" s="3" t="s">
        <v>90</v>
      </c>
      <c r="R978">
        <v>1</v>
      </c>
      <c r="S978" s="5">
        <v>45947</v>
      </c>
      <c r="T978" t="s">
        <v>38</v>
      </c>
      <c r="U978">
        <f t="shared" ca="1" si="90"/>
        <v>2</v>
      </c>
      <c r="V978" s="6">
        <f t="shared" ca="1" si="91"/>
        <v>46004</v>
      </c>
      <c r="W978" s="6">
        <f t="shared" ca="1" si="92"/>
        <v>46010</v>
      </c>
      <c r="X978" t="str">
        <f t="shared" ca="1" si="93"/>
        <v>Dec 13 to Dec 19</v>
      </c>
      <c r="Y978" t="str">
        <f t="shared" ca="1" si="94"/>
        <v>🟡 IMMINENT (within 3 days)</v>
      </c>
      <c r="Z978" t="str">
        <f t="shared" ca="1" si="95"/>
        <v>Prepare medications TODAY</v>
      </c>
    </row>
    <row r="979" spans="1:26">
      <c r="A979">
        <v>1059511194</v>
      </c>
      <c r="B979" s="3" t="s">
        <v>2853</v>
      </c>
      <c r="C979">
        <v>60</v>
      </c>
      <c r="D979" t="s">
        <v>27</v>
      </c>
      <c r="E979" t="s">
        <v>29</v>
      </c>
      <c r="F979" t="s">
        <v>29</v>
      </c>
      <c r="G979" t="s">
        <v>28</v>
      </c>
      <c r="H979">
        <v>6</v>
      </c>
      <c r="I979" t="s">
        <v>30</v>
      </c>
      <c r="J979" t="s">
        <v>296</v>
      </c>
      <c r="K979" t="s">
        <v>297</v>
      </c>
      <c r="M979" s="4" t="s">
        <v>34</v>
      </c>
      <c r="N979" t="s">
        <v>144</v>
      </c>
      <c r="P979" s="3" t="s">
        <v>36</v>
      </c>
      <c r="Q979" s="3" t="s">
        <v>90</v>
      </c>
      <c r="R979">
        <v>2</v>
      </c>
      <c r="S979" s="5">
        <v>45819</v>
      </c>
      <c r="T979" t="s">
        <v>38</v>
      </c>
      <c r="U979">
        <f t="shared" ca="1" si="90"/>
        <v>24</v>
      </c>
      <c r="V979" s="6">
        <f t="shared" ca="1" si="91"/>
        <v>46026</v>
      </c>
      <c r="W979" s="6">
        <f t="shared" ca="1" si="92"/>
        <v>46032</v>
      </c>
      <c r="X979" t="str">
        <f t="shared" ca="1" si="93"/>
        <v>Jan 4 to Jan 10</v>
      </c>
      <c r="Y979" t="str">
        <f t="shared" ca="1" si="94"/>
        <v>⚪ SCHEDULED</v>
      </c>
      <c r="Z979" t="str">
        <f t="shared" ca="1" si="95"/>
        <v>No action needed yet</v>
      </c>
    </row>
    <row r="980" spans="1:26">
      <c r="A980">
        <v>1059846731</v>
      </c>
      <c r="B980" s="3" t="s">
        <v>2854</v>
      </c>
      <c r="C980">
        <v>59</v>
      </c>
      <c r="D980" t="s">
        <v>27</v>
      </c>
      <c r="E980" t="s">
        <v>29</v>
      </c>
      <c r="F980" t="s">
        <v>28</v>
      </c>
      <c r="G980" t="s">
        <v>28</v>
      </c>
      <c r="H980">
        <v>3</v>
      </c>
      <c r="I980" t="s">
        <v>66</v>
      </c>
      <c r="J980" t="s">
        <v>260</v>
      </c>
      <c r="K980" t="s">
        <v>2855</v>
      </c>
      <c r="M980" s="4" t="s">
        <v>34</v>
      </c>
      <c r="N980" t="s">
        <v>148</v>
      </c>
      <c r="P980" s="3" t="s">
        <v>36</v>
      </c>
      <c r="Q980" s="3" t="s">
        <v>90</v>
      </c>
      <c r="R980">
        <v>2</v>
      </c>
      <c r="S980" s="5">
        <v>45765</v>
      </c>
      <c r="T980" t="s">
        <v>38</v>
      </c>
      <c r="U980">
        <f t="shared" ca="1" si="90"/>
        <v>0</v>
      </c>
      <c r="V980" s="6">
        <f t="shared" ca="1" si="91"/>
        <v>46002</v>
      </c>
      <c r="W980" s="6">
        <f t="shared" ca="1" si="92"/>
        <v>46008</v>
      </c>
      <c r="X980" t="str">
        <f t="shared" ca="1" si="93"/>
        <v>Dec 11 to Dec 17</v>
      </c>
      <c r="Y980" t="str">
        <f t="shared" ca="1" si="94"/>
        <v>🟡 IMMINENT (within 3 days)</v>
      </c>
      <c r="Z980" t="str">
        <f t="shared" ca="1" si="95"/>
        <v>Prepare medications TODAY</v>
      </c>
    </row>
    <row r="981" spans="1:26">
      <c r="A981">
        <v>1059846756</v>
      </c>
      <c r="B981" s="3" t="s">
        <v>2856</v>
      </c>
      <c r="C981">
        <v>38</v>
      </c>
      <c r="D981" t="s">
        <v>47</v>
      </c>
      <c r="E981" t="s">
        <v>28</v>
      </c>
      <c r="F981" t="s">
        <v>28</v>
      </c>
      <c r="G981" t="s">
        <v>28</v>
      </c>
      <c r="H981">
        <v>1</v>
      </c>
      <c r="I981" t="s">
        <v>55</v>
      </c>
      <c r="J981" t="s">
        <v>363</v>
      </c>
      <c r="K981" t="s">
        <v>2857</v>
      </c>
      <c r="M981" s="4" t="s">
        <v>94</v>
      </c>
      <c r="N981" t="s">
        <v>59</v>
      </c>
      <c r="P981" s="3" t="s">
        <v>36</v>
      </c>
      <c r="Q981" s="3" t="s">
        <v>2858</v>
      </c>
      <c r="R981">
        <v>2</v>
      </c>
      <c r="S981" s="5">
        <v>45999</v>
      </c>
      <c r="T981" t="s">
        <v>393</v>
      </c>
      <c r="U981">
        <f t="shared" ca="1" si="90"/>
        <v>84</v>
      </c>
      <c r="V981" s="6">
        <f t="shared" ca="1" si="91"/>
        <v>46086</v>
      </c>
      <c r="W981" s="6">
        <f t="shared" ca="1" si="92"/>
        <v>46092</v>
      </c>
      <c r="X981" t="str">
        <f t="shared" ca="1" si="93"/>
        <v>Mar 5 to Mar 11</v>
      </c>
      <c r="Y981" t="str">
        <f t="shared" ca="1" si="94"/>
        <v>⚪ SCHEDULED</v>
      </c>
      <c r="Z981" t="str">
        <f t="shared" ca="1" si="95"/>
        <v>No action needed yet</v>
      </c>
    </row>
    <row r="982" spans="1:26">
      <c r="A982">
        <v>1059887073</v>
      </c>
      <c r="B982" s="3" t="s">
        <v>2859</v>
      </c>
      <c r="C982">
        <v>68</v>
      </c>
      <c r="D982" t="s">
        <v>27</v>
      </c>
      <c r="E982" t="s">
        <v>29</v>
      </c>
      <c r="F982" t="s">
        <v>29</v>
      </c>
      <c r="G982" t="s">
        <v>29</v>
      </c>
      <c r="H982">
        <v>7</v>
      </c>
      <c r="I982" t="s">
        <v>30</v>
      </c>
      <c r="J982" t="s">
        <v>2860</v>
      </c>
      <c r="K982" t="s">
        <v>2861</v>
      </c>
      <c r="L982" t="s">
        <v>155</v>
      </c>
      <c r="M982" s="4" t="s">
        <v>34</v>
      </c>
      <c r="N982" t="s">
        <v>76</v>
      </c>
      <c r="P982" s="3" t="s">
        <v>36</v>
      </c>
      <c r="Q982" s="3" t="s">
        <v>84</v>
      </c>
      <c r="R982">
        <v>2</v>
      </c>
      <c r="S982" s="5">
        <v>45720</v>
      </c>
      <c r="T982" t="s">
        <v>38</v>
      </c>
      <c r="U982">
        <f t="shared" ca="1" si="90"/>
        <v>15</v>
      </c>
      <c r="V982" s="6">
        <f t="shared" ca="1" si="91"/>
        <v>46017</v>
      </c>
      <c r="W982" s="6">
        <f t="shared" ca="1" si="92"/>
        <v>46023</v>
      </c>
      <c r="X982" t="str">
        <f t="shared" ca="1" si="93"/>
        <v>Dec 26 to Jan 1</v>
      </c>
      <c r="Y982" t="str">
        <f t="shared" ca="1" si="94"/>
        <v>⚪ SCHEDULED</v>
      </c>
      <c r="Z982" t="str">
        <f t="shared" ca="1" si="95"/>
        <v>No action needed yet</v>
      </c>
    </row>
    <row r="983" spans="1:26">
      <c r="A983">
        <v>1059928927</v>
      </c>
      <c r="B983" s="3" t="s">
        <v>2862</v>
      </c>
      <c r="C983">
        <v>86</v>
      </c>
      <c r="D983" t="s">
        <v>27</v>
      </c>
      <c r="E983" t="s">
        <v>29</v>
      </c>
      <c r="F983" t="s">
        <v>29</v>
      </c>
      <c r="G983" t="s">
        <v>29</v>
      </c>
      <c r="H983">
        <v>8</v>
      </c>
      <c r="I983" t="s">
        <v>30</v>
      </c>
      <c r="J983" t="s">
        <v>2863</v>
      </c>
      <c r="K983" t="s">
        <v>2864</v>
      </c>
      <c r="L983" t="s">
        <v>317</v>
      </c>
      <c r="M983" s="4" t="s">
        <v>94</v>
      </c>
      <c r="N983" t="s">
        <v>76</v>
      </c>
      <c r="P983" s="3" t="s">
        <v>36</v>
      </c>
      <c r="Q983" s="3" t="s">
        <v>84</v>
      </c>
      <c r="R983">
        <v>2</v>
      </c>
      <c r="S983" s="5">
        <v>45932</v>
      </c>
      <c r="T983" t="s">
        <v>38</v>
      </c>
      <c r="U983">
        <f t="shared" ca="1" si="90"/>
        <v>17</v>
      </c>
      <c r="V983" s="6">
        <f t="shared" ca="1" si="91"/>
        <v>46019</v>
      </c>
      <c r="W983" s="6">
        <f t="shared" ca="1" si="92"/>
        <v>46025</v>
      </c>
      <c r="X983" t="str">
        <f t="shared" ca="1" si="93"/>
        <v>Dec 28 to Jan 3</v>
      </c>
      <c r="Y983" t="str">
        <f t="shared" ca="1" si="94"/>
        <v>⚪ SCHEDULED</v>
      </c>
      <c r="Z983" t="str">
        <f t="shared" ca="1" si="95"/>
        <v>No action needed yet</v>
      </c>
    </row>
    <row r="984" spans="1:26">
      <c r="A984">
        <v>1060002613</v>
      </c>
      <c r="B984" s="3" t="s">
        <v>2865</v>
      </c>
      <c r="C984">
        <v>56</v>
      </c>
      <c r="D984" t="s">
        <v>47</v>
      </c>
      <c r="E984" t="s">
        <v>29</v>
      </c>
      <c r="F984" t="s">
        <v>28</v>
      </c>
      <c r="G984" t="s">
        <v>28</v>
      </c>
      <c r="H984">
        <v>3</v>
      </c>
      <c r="I984" t="s">
        <v>66</v>
      </c>
      <c r="J984" t="s">
        <v>2866</v>
      </c>
      <c r="K984" t="s">
        <v>2867</v>
      </c>
      <c r="L984" t="s">
        <v>33</v>
      </c>
      <c r="M984" s="4" t="s">
        <v>43</v>
      </c>
      <c r="N984" t="s">
        <v>148</v>
      </c>
      <c r="P984" s="3" t="s">
        <v>36</v>
      </c>
      <c r="Q984" s="3" t="s">
        <v>45</v>
      </c>
      <c r="R984">
        <v>2</v>
      </c>
      <c r="S984" s="5">
        <v>45924</v>
      </c>
      <c r="T984" t="s">
        <v>38</v>
      </c>
      <c r="U984">
        <f t="shared" ca="1" si="90"/>
        <v>9</v>
      </c>
      <c r="V984" s="6">
        <f t="shared" ca="1" si="91"/>
        <v>46011</v>
      </c>
      <c r="W984" s="6">
        <f t="shared" ca="1" si="92"/>
        <v>46017</v>
      </c>
      <c r="X984" t="str">
        <f t="shared" ca="1" si="93"/>
        <v>Dec 20 to Dec 26</v>
      </c>
      <c r="Y984" t="str">
        <f t="shared" ca="1" si="94"/>
        <v>🔵 NEXT 2 WEEKS</v>
      </c>
      <c r="Z984" t="str">
        <f t="shared" ca="1" si="95"/>
        <v>Send reminder SMS</v>
      </c>
    </row>
    <row r="985" spans="1:26">
      <c r="A985">
        <v>1060102645</v>
      </c>
      <c r="B985" s="3" t="s">
        <v>2868</v>
      </c>
      <c r="C985">
        <v>58</v>
      </c>
      <c r="D985" t="s">
        <v>47</v>
      </c>
      <c r="E985" t="s">
        <v>29</v>
      </c>
      <c r="F985" t="s">
        <v>28</v>
      </c>
      <c r="G985" t="s">
        <v>28</v>
      </c>
      <c r="H985">
        <v>4</v>
      </c>
      <c r="I985" t="s">
        <v>66</v>
      </c>
      <c r="J985" t="s">
        <v>168</v>
      </c>
      <c r="K985" t="s">
        <v>2445</v>
      </c>
      <c r="L985" t="s">
        <v>170</v>
      </c>
      <c r="M985" s="4" t="s">
        <v>43</v>
      </c>
      <c r="N985" t="s">
        <v>162</v>
      </c>
      <c r="P985" s="3" t="s">
        <v>36</v>
      </c>
      <c r="Q985" s="3" t="s">
        <v>230</v>
      </c>
      <c r="R985">
        <v>1</v>
      </c>
      <c r="S985" s="5">
        <v>45871</v>
      </c>
      <c r="T985" t="s">
        <v>38</v>
      </c>
      <c r="U985">
        <f t="shared" ca="1" si="90"/>
        <v>16</v>
      </c>
      <c r="V985" s="6">
        <f t="shared" ca="1" si="91"/>
        <v>46018</v>
      </c>
      <c r="W985" s="6">
        <f t="shared" ca="1" si="92"/>
        <v>46024</v>
      </c>
      <c r="X985" t="str">
        <f t="shared" ca="1" si="93"/>
        <v>Dec 27 to Jan 2</v>
      </c>
      <c r="Y985" t="str">
        <f t="shared" ca="1" si="94"/>
        <v>⚪ SCHEDULED</v>
      </c>
      <c r="Z985" t="str">
        <f t="shared" ca="1" si="95"/>
        <v>No action needed yet</v>
      </c>
    </row>
    <row r="986" spans="1:26">
      <c r="A986">
        <v>1060313192</v>
      </c>
      <c r="B986" s="3" t="s">
        <v>2869</v>
      </c>
      <c r="C986">
        <v>69</v>
      </c>
      <c r="D986" t="s">
        <v>27</v>
      </c>
      <c r="E986" t="s">
        <v>29</v>
      </c>
      <c r="F986" t="s">
        <v>29</v>
      </c>
      <c r="G986" t="s">
        <v>28</v>
      </c>
      <c r="H986">
        <v>5</v>
      </c>
      <c r="I986" t="s">
        <v>30</v>
      </c>
      <c r="J986" t="s">
        <v>260</v>
      </c>
      <c r="K986" t="s">
        <v>2870</v>
      </c>
      <c r="M986" s="4" t="s">
        <v>94</v>
      </c>
      <c r="N986" t="s">
        <v>144</v>
      </c>
      <c r="P986" s="3" t="s">
        <v>36</v>
      </c>
      <c r="Q986" s="3" t="s">
        <v>45</v>
      </c>
      <c r="R986">
        <v>2</v>
      </c>
      <c r="S986" s="5">
        <v>45933</v>
      </c>
      <c r="T986" t="s">
        <v>38</v>
      </c>
      <c r="U986">
        <f t="shared" ca="1" si="90"/>
        <v>18</v>
      </c>
      <c r="V986" s="6">
        <f t="shared" ca="1" si="91"/>
        <v>46020</v>
      </c>
      <c r="W986" s="6">
        <f t="shared" ca="1" si="92"/>
        <v>46026</v>
      </c>
      <c r="X986" t="str">
        <f t="shared" ca="1" si="93"/>
        <v>Dec 29 to Jan 4</v>
      </c>
      <c r="Y986" t="str">
        <f t="shared" ca="1" si="94"/>
        <v>⚪ SCHEDULED</v>
      </c>
      <c r="Z986" t="str">
        <f t="shared" ca="1" si="95"/>
        <v>No action needed yet</v>
      </c>
    </row>
    <row r="987" spans="1:26">
      <c r="A987">
        <v>1060596531</v>
      </c>
      <c r="B987" s="3" t="s">
        <v>2871</v>
      </c>
      <c r="C987">
        <v>71</v>
      </c>
      <c r="D987" t="s">
        <v>27</v>
      </c>
      <c r="E987" t="s">
        <v>29</v>
      </c>
      <c r="F987" t="s">
        <v>29</v>
      </c>
      <c r="G987" t="s">
        <v>29</v>
      </c>
      <c r="H987">
        <v>8</v>
      </c>
      <c r="I987" t="s">
        <v>30</v>
      </c>
      <c r="J987" t="s">
        <v>2872</v>
      </c>
      <c r="K987" t="s">
        <v>2873</v>
      </c>
      <c r="L987" t="s">
        <v>75</v>
      </c>
      <c r="M987" s="4" t="s">
        <v>43</v>
      </c>
      <c r="N987" t="s">
        <v>76</v>
      </c>
      <c r="P987" s="3" t="s">
        <v>36</v>
      </c>
      <c r="Q987" s="3" t="s">
        <v>90</v>
      </c>
      <c r="R987">
        <v>1</v>
      </c>
      <c r="S987" s="5">
        <v>45868</v>
      </c>
      <c r="T987" t="s">
        <v>38</v>
      </c>
      <c r="U987">
        <f t="shared" ca="1" si="90"/>
        <v>13</v>
      </c>
      <c r="V987" s="6">
        <f t="shared" ca="1" si="91"/>
        <v>46015</v>
      </c>
      <c r="W987" s="6">
        <f t="shared" ca="1" si="92"/>
        <v>46021</v>
      </c>
      <c r="X987" t="str">
        <f t="shared" ca="1" si="93"/>
        <v>Dec 24 to Dec 30</v>
      </c>
      <c r="Y987" t="str">
        <f t="shared" ca="1" si="94"/>
        <v>🔵 NEXT 2 WEEKS</v>
      </c>
      <c r="Z987" t="str">
        <f t="shared" ca="1" si="95"/>
        <v>Send reminder SMS</v>
      </c>
    </row>
    <row r="988" spans="1:26">
      <c r="A988">
        <v>1060764519</v>
      </c>
      <c r="B988" s="3" t="s">
        <v>2874</v>
      </c>
      <c r="C988">
        <v>53</v>
      </c>
      <c r="D988" t="s">
        <v>27</v>
      </c>
      <c r="E988" t="s">
        <v>54</v>
      </c>
      <c r="F988" t="s">
        <v>54</v>
      </c>
      <c r="G988" t="s">
        <v>54</v>
      </c>
      <c r="H988">
        <v>2</v>
      </c>
      <c r="I988" t="s">
        <v>55</v>
      </c>
      <c r="J988" t="s">
        <v>1921</v>
      </c>
      <c r="K988" t="s">
        <v>2875</v>
      </c>
      <c r="M988" s="4" t="s">
        <v>43</v>
      </c>
      <c r="N988" t="s">
        <v>59</v>
      </c>
      <c r="P988" s="3" t="s">
        <v>36</v>
      </c>
      <c r="Q988" t="s">
        <v>54</v>
      </c>
      <c r="R988">
        <v>1</v>
      </c>
      <c r="S988" s="5">
        <v>45934</v>
      </c>
      <c r="T988" t="s">
        <v>60</v>
      </c>
      <c r="U988">
        <f t="shared" ca="1" si="90"/>
        <v>49</v>
      </c>
      <c r="V988" s="6">
        <f t="shared" ca="1" si="91"/>
        <v>46051</v>
      </c>
      <c r="W988" s="6">
        <f t="shared" ca="1" si="92"/>
        <v>46057</v>
      </c>
      <c r="X988" t="str">
        <f t="shared" ca="1" si="93"/>
        <v>Jan 29 to Feb 4</v>
      </c>
      <c r="Y988" t="str">
        <f t="shared" ca="1" si="94"/>
        <v>⚪ SCHEDULED</v>
      </c>
      <c r="Z988" t="str">
        <f t="shared" ca="1" si="95"/>
        <v>No action needed yet</v>
      </c>
    </row>
    <row r="989" spans="1:26">
      <c r="A989">
        <v>1061272157</v>
      </c>
      <c r="B989" s="3" t="s">
        <v>2876</v>
      </c>
      <c r="C989">
        <v>56</v>
      </c>
      <c r="D989" t="s">
        <v>27</v>
      </c>
      <c r="E989" t="s">
        <v>28</v>
      </c>
      <c r="F989" t="s">
        <v>28</v>
      </c>
      <c r="G989" t="s">
        <v>29</v>
      </c>
      <c r="H989">
        <v>4</v>
      </c>
      <c r="I989" t="s">
        <v>66</v>
      </c>
      <c r="J989" t="s">
        <v>1716</v>
      </c>
      <c r="K989" t="s">
        <v>2877</v>
      </c>
      <c r="L989" t="s">
        <v>114</v>
      </c>
      <c r="M989" s="4" t="s">
        <v>34</v>
      </c>
      <c r="N989" t="s">
        <v>140</v>
      </c>
      <c r="P989" s="3" t="s">
        <v>36</v>
      </c>
      <c r="Q989" s="3" t="s">
        <v>107</v>
      </c>
      <c r="R989">
        <v>2</v>
      </c>
      <c r="S989" s="5">
        <v>45381</v>
      </c>
      <c r="T989" t="s">
        <v>38</v>
      </c>
      <c r="U989">
        <f t="shared" ca="1" si="90"/>
        <v>6</v>
      </c>
      <c r="V989" s="6">
        <f t="shared" ca="1" si="91"/>
        <v>46008</v>
      </c>
      <c r="W989" s="6">
        <f t="shared" ca="1" si="92"/>
        <v>46014</v>
      </c>
      <c r="X989" t="str">
        <f t="shared" ca="1" si="93"/>
        <v>Dec 17 to Dec 23</v>
      </c>
      <c r="Y989" t="str">
        <f t="shared" ca="1" si="94"/>
        <v>🟢 THIS WEEK</v>
      </c>
      <c r="Z989" t="str">
        <f t="shared" ca="1" si="95"/>
        <v>Confirm appointment</v>
      </c>
    </row>
    <row r="990" spans="1:26">
      <c r="A990">
        <v>1061495030</v>
      </c>
      <c r="B990" s="3" t="s">
        <v>2878</v>
      </c>
      <c r="C990">
        <v>60</v>
      </c>
      <c r="D990" t="s">
        <v>27</v>
      </c>
      <c r="E990" t="s">
        <v>54</v>
      </c>
      <c r="F990" t="s">
        <v>54</v>
      </c>
      <c r="G990" t="s">
        <v>54</v>
      </c>
      <c r="H990">
        <v>3</v>
      </c>
      <c r="I990" t="s">
        <v>66</v>
      </c>
      <c r="J990" t="s">
        <v>2879</v>
      </c>
      <c r="K990" t="s">
        <v>2880</v>
      </c>
      <c r="L990" t="s">
        <v>50</v>
      </c>
      <c r="M990" s="4" t="s">
        <v>34</v>
      </c>
      <c r="N990" t="s">
        <v>59</v>
      </c>
      <c r="P990" s="3" t="s">
        <v>36</v>
      </c>
      <c r="Q990" s="3" t="s">
        <v>90</v>
      </c>
      <c r="R990">
        <v>1</v>
      </c>
      <c r="S990" s="5">
        <v>45820</v>
      </c>
      <c r="T990" t="s">
        <v>38</v>
      </c>
      <c r="U990">
        <f t="shared" ca="1" si="90"/>
        <v>25</v>
      </c>
      <c r="V990" s="6">
        <f t="shared" ca="1" si="91"/>
        <v>46027</v>
      </c>
      <c r="W990" s="6">
        <f t="shared" ca="1" si="92"/>
        <v>46033</v>
      </c>
      <c r="X990" t="str">
        <f t="shared" ca="1" si="93"/>
        <v>Jan 5 to Jan 11</v>
      </c>
      <c r="Y990" t="str">
        <f t="shared" ca="1" si="94"/>
        <v>⚪ SCHEDULED</v>
      </c>
      <c r="Z990" t="str">
        <f t="shared" ca="1" si="95"/>
        <v>No action needed yet</v>
      </c>
    </row>
    <row r="991" spans="1:26">
      <c r="A991">
        <v>1061499156</v>
      </c>
      <c r="B991" s="3" t="s">
        <v>2881</v>
      </c>
      <c r="C991">
        <v>43</v>
      </c>
      <c r="D991" t="s">
        <v>47</v>
      </c>
      <c r="E991" t="s">
        <v>29</v>
      </c>
      <c r="F991" t="s">
        <v>28</v>
      </c>
      <c r="G991" t="s">
        <v>29</v>
      </c>
      <c r="H991">
        <v>3</v>
      </c>
      <c r="I991" t="s">
        <v>66</v>
      </c>
      <c r="J991" t="s">
        <v>253</v>
      </c>
      <c r="K991" t="s">
        <v>1285</v>
      </c>
      <c r="L991" t="s">
        <v>33</v>
      </c>
      <c r="M991" s="4" t="s">
        <v>34</v>
      </c>
      <c r="N991" t="s">
        <v>95</v>
      </c>
      <c r="P991" s="3" t="s">
        <v>36</v>
      </c>
      <c r="Q991" s="3" t="s">
        <v>107</v>
      </c>
      <c r="R991">
        <v>2</v>
      </c>
      <c r="S991" s="5">
        <v>45787</v>
      </c>
      <c r="T991" t="s">
        <v>38</v>
      </c>
      <c r="U991">
        <f t="shared" ca="1" si="90"/>
        <v>22</v>
      </c>
      <c r="V991" s="6">
        <f t="shared" ca="1" si="91"/>
        <v>46024</v>
      </c>
      <c r="W991" s="6">
        <f t="shared" ca="1" si="92"/>
        <v>46030</v>
      </c>
      <c r="X991" t="str">
        <f t="shared" ca="1" si="93"/>
        <v>Jan 2 to Jan 8</v>
      </c>
      <c r="Y991" t="str">
        <f t="shared" ca="1" si="94"/>
        <v>⚪ SCHEDULED</v>
      </c>
      <c r="Z991" t="str">
        <f t="shared" ca="1" si="95"/>
        <v>No action needed yet</v>
      </c>
    </row>
    <row r="992" spans="1:26">
      <c r="A992">
        <v>1061613509</v>
      </c>
      <c r="B992" s="3" t="s">
        <v>2882</v>
      </c>
      <c r="C992">
        <v>63</v>
      </c>
      <c r="D992" t="s">
        <v>47</v>
      </c>
      <c r="E992" t="s">
        <v>29</v>
      </c>
      <c r="F992" t="s">
        <v>29</v>
      </c>
      <c r="G992" t="s">
        <v>29</v>
      </c>
      <c r="H992">
        <v>6</v>
      </c>
      <c r="I992" t="s">
        <v>30</v>
      </c>
      <c r="J992" t="s">
        <v>2883</v>
      </c>
      <c r="K992" t="s">
        <v>2884</v>
      </c>
      <c r="L992" t="s">
        <v>968</v>
      </c>
      <c r="M992" s="4" t="s">
        <v>94</v>
      </c>
      <c r="N992" t="s">
        <v>201</v>
      </c>
      <c r="P992" s="3" t="s">
        <v>36</v>
      </c>
      <c r="Q992" s="3" t="s">
        <v>2885</v>
      </c>
      <c r="R992">
        <v>2</v>
      </c>
      <c r="S992" s="5">
        <v>45946</v>
      </c>
      <c r="T992" t="s">
        <v>38</v>
      </c>
      <c r="U992">
        <f t="shared" ca="1" si="90"/>
        <v>1</v>
      </c>
      <c r="V992" s="6">
        <f t="shared" ca="1" si="91"/>
        <v>46003</v>
      </c>
      <c r="W992" s="6">
        <f t="shared" ca="1" si="92"/>
        <v>46009</v>
      </c>
      <c r="X992" t="str">
        <f t="shared" ca="1" si="93"/>
        <v>Dec 12 to Dec 18</v>
      </c>
      <c r="Y992" t="str">
        <f t="shared" ca="1" si="94"/>
        <v>🟡 IMMINENT (within 3 days)</v>
      </c>
      <c r="Z992" t="str">
        <f t="shared" ca="1" si="95"/>
        <v>Prepare medications TODAY</v>
      </c>
    </row>
    <row r="993" spans="1:26">
      <c r="A993">
        <v>1061693931</v>
      </c>
      <c r="B993" s="3" t="s">
        <v>2886</v>
      </c>
      <c r="C993">
        <v>46</v>
      </c>
      <c r="D993" t="s">
        <v>47</v>
      </c>
      <c r="E993" t="s">
        <v>29</v>
      </c>
      <c r="F993" t="s">
        <v>29</v>
      </c>
      <c r="G993" t="s">
        <v>29</v>
      </c>
      <c r="H993">
        <v>4</v>
      </c>
      <c r="I993" t="s">
        <v>66</v>
      </c>
      <c r="J993" t="s">
        <v>2887</v>
      </c>
      <c r="K993" t="s">
        <v>2888</v>
      </c>
      <c r="L993" t="s">
        <v>186</v>
      </c>
      <c r="M993" s="4" t="s">
        <v>94</v>
      </c>
      <c r="N993" t="s">
        <v>44</v>
      </c>
      <c r="P993" s="3" t="s">
        <v>36</v>
      </c>
      <c r="Q993" s="3" t="s">
        <v>45</v>
      </c>
      <c r="R993">
        <v>1</v>
      </c>
      <c r="S993" s="5">
        <v>45945</v>
      </c>
      <c r="T993" t="s">
        <v>38</v>
      </c>
      <c r="U993">
        <f t="shared" ca="1" si="90"/>
        <v>0</v>
      </c>
      <c r="V993" s="6">
        <f t="shared" ca="1" si="91"/>
        <v>46002</v>
      </c>
      <c r="W993" s="6">
        <f t="shared" ca="1" si="92"/>
        <v>46008</v>
      </c>
      <c r="X993" t="str">
        <f t="shared" ca="1" si="93"/>
        <v>Dec 11 to Dec 17</v>
      </c>
      <c r="Y993" t="str">
        <f t="shared" ca="1" si="94"/>
        <v>🟡 IMMINENT (within 3 days)</v>
      </c>
      <c r="Z993" t="str">
        <f t="shared" ca="1" si="95"/>
        <v>Prepare medications TODAY</v>
      </c>
    </row>
    <row r="994" spans="1:26">
      <c r="A994">
        <v>1061916258</v>
      </c>
      <c r="B994" s="3" t="s">
        <v>2889</v>
      </c>
      <c r="C994">
        <v>57</v>
      </c>
      <c r="D994" t="s">
        <v>47</v>
      </c>
      <c r="E994" t="s">
        <v>28</v>
      </c>
      <c r="F994" t="s">
        <v>29</v>
      </c>
      <c r="G994" t="s">
        <v>28</v>
      </c>
      <c r="H994">
        <v>3</v>
      </c>
      <c r="I994" t="s">
        <v>66</v>
      </c>
      <c r="J994" t="s">
        <v>2313</v>
      </c>
      <c r="K994" t="s">
        <v>2890</v>
      </c>
      <c r="L994" t="s">
        <v>166</v>
      </c>
      <c r="M994" s="4" t="s">
        <v>43</v>
      </c>
      <c r="N994" t="s">
        <v>70</v>
      </c>
      <c r="P994" s="3" t="s">
        <v>36</v>
      </c>
      <c r="Q994" s="3" t="s">
        <v>1566</v>
      </c>
      <c r="R994">
        <v>1</v>
      </c>
      <c r="S994" s="5">
        <v>45892</v>
      </c>
      <c r="T994" t="s">
        <v>38</v>
      </c>
      <c r="U994">
        <f t="shared" ca="1" si="90"/>
        <v>7</v>
      </c>
      <c r="V994" s="6">
        <f t="shared" ca="1" si="91"/>
        <v>46009</v>
      </c>
      <c r="W994" s="6">
        <f t="shared" ca="1" si="92"/>
        <v>46015</v>
      </c>
      <c r="X994" t="str">
        <f t="shared" ca="1" si="93"/>
        <v>Dec 18 to Dec 24</v>
      </c>
      <c r="Y994" t="str">
        <f t="shared" ca="1" si="94"/>
        <v>🟢 THIS WEEK</v>
      </c>
      <c r="Z994" t="str">
        <f t="shared" ca="1" si="95"/>
        <v>Confirm appointment</v>
      </c>
    </row>
    <row r="995" spans="1:26">
      <c r="A995">
        <v>1062122930</v>
      </c>
      <c r="B995" s="3" t="s">
        <v>2891</v>
      </c>
      <c r="C995">
        <v>54</v>
      </c>
      <c r="D995" t="s">
        <v>27</v>
      </c>
      <c r="E995" t="s">
        <v>28</v>
      </c>
      <c r="F995" t="s">
        <v>28</v>
      </c>
      <c r="G995" t="s">
        <v>28</v>
      </c>
      <c r="H995">
        <v>3</v>
      </c>
      <c r="I995" t="s">
        <v>66</v>
      </c>
      <c r="J995" t="s">
        <v>2892</v>
      </c>
      <c r="K995" t="s">
        <v>2893</v>
      </c>
      <c r="L995" t="s">
        <v>139</v>
      </c>
      <c r="M995" s="4" t="s">
        <v>34</v>
      </c>
      <c r="N995" t="s">
        <v>59</v>
      </c>
      <c r="P995" s="3" t="s">
        <v>36</v>
      </c>
      <c r="Q995" s="3" t="s">
        <v>804</v>
      </c>
      <c r="R995">
        <v>2</v>
      </c>
      <c r="S995" s="5">
        <v>45729</v>
      </c>
      <c r="T995" t="s">
        <v>38</v>
      </c>
      <c r="U995">
        <f t="shared" ca="1" si="90"/>
        <v>24</v>
      </c>
      <c r="V995" s="6">
        <f t="shared" ca="1" si="91"/>
        <v>46026</v>
      </c>
      <c r="W995" s="6">
        <f t="shared" ca="1" si="92"/>
        <v>46032</v>
      </c>
      <c r="X995" t="str">
        <f t="shared" ca="1" si="93"/>
        <v>Jan 4 to Jan 10</v>
      </c>
      <c r="Y995" t="str">
        <f t="shared" ca="1" si="94"/>
        <v>⚪ SCHEDULED</v>
      </c>
      <c r="Z995" t="str">
        <f t="shared" ca="1" si="95"/>
        <v>No action needed yet</v>
      </c>
    </row>
    <row r="996" spans="1:26">
      <c r="A996">
        <v>1062250814</v>
      </c>
      <c r="B996" s="3" t="s">
        <v>2894</v>
      </c>
      <c r="C996">
        <v>47</v>
      </c>
      <c r="D996" t="s">
        <v>27</v>
      </c>
      <c r="E996" t="s">
        <v>29</v>
      </c>
      <c r="F996" t="s">
        <v>29</v>
      </c>
      <c r="G996" t="s">
        <v>29</v>
      </c>
      <c r="H996">
        <v>5</v>
      </c>
      <c r="I996" t="s">
        <v>30</v>
      </c>
      <c r="J996" t="s">
        <v>173</v>
      </c>
      <c r="K996" t="s">
        <v>2895</v>
      </c>
      <c r="M996" s="4" t="s">
        <v>43</v>
      </c>
      <c r="N996" t="s">
        <v>44</v>
      </c>
      <c r="P996" s="3" t="s">
        <v>36</v>
      </c>
      <c r="Q996" s="3" t="s">
        <v>90</v>
      </c>
      <c r="R996">
        <v>2</v>
      </c>
      <c r="S996" s="5">
        <v>45918</v>
      </c>
      <c r="T996" t="s">
        <v>38</v>
      </c>
      <c r="U996">
        <f t="shared" ca="1" si="90"/>
        <v>3</v>
      </c>
      <c r="V996" s="6">
        <f t="shared" ca="1" si="91"/>
        <v>46005</v>
      </c>
      <c r="W996" s="6">
        <f t="shared" ca="1" si="92"/>
        <v>46011</v>
      </c>
      <c r="X996" t="str">
        <f t="shared" ca="1" si="93"/>
        <v>Dec 14 to Dec 20</v>
      </c>
      <c r="Y996" t="str">
        <f t="shared" ca="1" si="94"/>
        <v>🟡 IMMINENT (within 3 days)</v>
      </c>
      <c r="Z996" t="str">
        <f t="shared" ca="1" si="95"/>
        <v>Prepare medications TODAY</v>
      </c>
    </row>
    <row r="997" spans="1:26">
      <c r="A997">
        <v>1062260573</v>
      </c>
      <c r="B997" s="3" t="s">
        <v>2896</v>
      </c>
      <c r="C997">
        <v>41</v>
      </c>
      <c r="D997" t="s">
        <v>27</v>
      </c>
      <c r="E997" t="s">
        <v>28</v>
      </c>
      <c r="F997" t="s">
        <v>29</v>
      </c>
      <c r="G997" t="s">
        <v>28</v>
      </c>
      <c r="H997">
        <v>2</v>
      </c>
      <c r="I997" t="s">
        <v>55</v>
      </c>
      <c r="J997" t="s">
        <v>125</v>
      </c>
      <c r="K997" t="s">
        <v>383</v>
      </c>
      <c r="L997" t="s">
        <v>69</v>
      </c>
      <c r="M997" s="4" t="s">
        <v>34</v>
      </c>
      <c r="N997" t="s">
        <v>70</v>
      </c>
      <c r="P997" s="3" t="s">
        <v>36</v>
      </c>
      <c r="Q997" s="3" t="s">
        <v>107</v>
      </c>
      <c r="R997">
        <v>1</v>
      </c>
      <c r="S997" s="5">
        <v>45793</v>
      </c>
      <c r="T997" t="s">
        <v>60</v>
      </c>
      <c r="U997">
        <f t="shared" ca="1" si="90"/>
        <v>28</v>
      </c>
      <c r="V997" s="6">
        <f t="shared" ca="1" si="91"/>
        <v>46030</v>
      </c>
      <c r="W997" s="6">
        <f t="shared" ca="1" si="92"/>
        <v>46036</v>
      </c>
      <c r="X997" t="str">
        <f t="shared" ca="1" si="93"/>
        <v>Jan 8 to Jan 14</v>
      </c>
      <c r="Y997" t="str">
        <f t="shared" ca="1" si="94"/>
        <v>⚪ SCHEDULED</v>
      </c>
      <c r="Z997" t="str">
        <f t="shared" ca="1" si="95"/>
        <v>No action needed yet</v>
      </c>
    </row>
    <row r="998" spans="1:26">
      <c r="A998">
        <v>1062338890</v>
      </c>
      <c r="B998" s="3" t="s">
        <v>2897</v>
      </c>
      <c r="C998">
        <v>63</v>
      </c>
      <c r="D998" t="s">
        <v>27</v>
      </c>
      <c r="E998" t="s">
        <v>29</v>
      </c>
      <c r="F998" t="s">
        <v>28</v>
      </c>
      <c r="G998" t="s">
        <v>28</v>
      </c>
      <c r="H998">
        <v>5</v>
      </c>
      <c r="I998" t="s">
        <v>30</v>
      </c>
      <c r="J998" t="s">
        <v>2898</v>
      </c>
      <c r="K998" t="s">
        <v>2899</v>
      </c>
      <c r="L998" t="s">
        <v>170</v>
      </c>
      <c r="M998" s="4" t="s">
        <v>34</v>
      </c>
      <c r="N998" t="s">
        <v>162</v>
      </c>
      <c r="P998" s="3" t="s">
        <v>36</v>
      </c>
      <c r="Q998" s="3" t="s">
        <v>84</v>
      </c>
      <c r="R998">
        <v>2</v>
      </c>
      <c r="S998" s="5">
        <v>45526</v>
      </c>
      <c r="T998" t="s">
        <v>38</v>
      </c>
      <c r="U998">
        <f t="shared" ca="1" si="90"/>
        <v>1</v>
      </c>
      <c r="V998" s="6">
        <f t="shared" ca="1" si="91"/>
        <v>46003</v>
      </c>
      <c r="W998" s="6">
        <f t="shared" ca="1" si="92"/>
        <v>46009</v>
      </c>
      <c r="X998" t="str">
        <f t="shared" ca="1" si="93"/>
        <v>Dec 12 to Dec 18</v>
      </c>
      <c r="Y998" t="str">
        <f t="shared" ca="1" si="94"/>
        <v>🟡 IMMINENT (within 3 days)</v>
      </c>
      <c r="Z998" t="str">
        <f t="shared" ca="1" si="95"/>
        <v>Prepare medications TODAY</v>
      </c>
    </row>
    <row r="999" spans="1:26">
      <c r="A999">
        <v>1062542368</v>
      </c>
      <c r="B999" s="3" t="s">
        <v>2900</v>
      </c>
      <c r="C999">
        <v>46</v>
      </c>
      <c r="D999" t="s">
        <v>27</v>
      </c>
      <c r="E999" t="s">
        <v>29</v>
      </c>
      <c r="F999" t="s">
        <v>28</v>
      </c>
      <c r="G999" t="s">
        <v>28</v>
      </c>
      <c r="H999">
        <v>2</v>
      </c>
      <c r="I999" t="s">
        <v>55</v>
      </c>
      <c r="J999" t="s">
        <v>2901</v>
      </c>
      <c r="K999" t="s">
        <v>2902</v>
      </c>
      <c r="L999" t="s">
        <v>208</v>
      </c>
      <c r="M999" s="4" t="s">
        <v>43</v>
      </c>
      <c r="N999" t="s">
        <v>162</v>
      </c>
      <c r="P999" s="3" t="s">
        <v>36</v>
      </c>
      <c r="Q999" s="3" t="s">
        <v>90</v>
      </c>
      <c r="R999">
        <v>2</v>
      </c>
      <c r="S999" s="5">
        <v>45928</v>
      </c>
      <c r="T999" t="s">
        <v>60</v>
      </c>
      <c r="U999">
        <f t="shared" ca="1" si="90"/>
        <v>43</v>
      </c>
      <c r="V999" s="6">
        <f t="shared" ca="1" si="91"/>
        <v>46045</v>
      </c>
      <c r="W999" s="6">
        <f t="shared" ca="1" si="92"/>
        <v>46051</v>
      </c>
      <c r="X999" t="str">
        <f t="shared" ca="1" si="93"/>
        <v>Jan 23 to Jan 29</v>
      </c>
      <c r="Y999" t="str">
        <f t="shared" ca="1" si="94"/>
        <v>⚪ SCHEDULED</v>
      </c>
      <c r="Z999" t="str">
        <f t="shared" ca="1" si="95"/>
        <v>No action needed yet</v>
      </c>
    </row>
    <row r="1000" spans="1:26">
      <c r="A1000">
        <v>1062603806</v>
      </c>
      <c r="B1000" s="3" t="s">
        <v>2903</v>
      </c>
      <c r="C1000">
        <v>56</v>
      </c>
      <c r="D1000" t="s">
        <v>27</v>
      </c>
      <c r="E1000" t="s">
        <v>29</v>
      </c>
      <c r="F1000" t="s">
        <v>29</v>
      </c>
      <c r="G1000" t="s">
        <v>28</v>
      </c>
      <c r="H1000">
        <v>5</v>
      </c>
      <c r="I1000" t="s">
        <v>30</v>
      </c>
      <c r="J1000" t="s">
        <v>2904</v>
      </c>
      <c r="K1000" t="s">
        <v>2905</v>
      </c>
      <c r="L1000" t="s">
        <v>58</v>
      </c>
      <c r="M1000" s="4" t="s">
        <v>34</v>
      </c>
      <c r="N1000" t="s">
        <v>119</v>
      </c>
      <c r="P1000" s="3" t="s">
        <v>36</v>
      </c>
      <c r="Q1000" s="3" t="s">
        <v>84</v>
      </c>
      <c r="R1000">
        <v>1</v>
      </c>
      <c r="S1000" s="5">
        <v>45387</v>
      </c>
      <c r="T1000" t="s">
        <v>38</v>
      </c>
      <c r="U1000">
        <f t="shared" ca="1" si="90"/>
        <v>12</v>
      </c>
      <c r="V1000" s="6">
        <f t="shared" ca="1" si="91"/>
        <v>46014</v>
      </c>
      <c r="W1000" s="6">
        <f t="shared" ca="1" si="92"/>
        <v>46020</v>
      </c>
      <c r="X1000" t="str">
        <f t="shared" ca="1" si="93"/>
        <v>Dec 23 to Dec 29</v>
      </c>
      <c r="Y1000" t="str">
        <f t="shared" ca="1" si="94"/>
        <v>🔵 NEXT 2 WEEKS</v>
      </c>
      <c r="Z1000" t="str">
        <f t="shared" ca="1" si="95"/>
        <v>Send reminder SMS</v>
      </c>
    </row>
    <row r="1001" spans="1:26">
      <c r="A1001">
        <v>1062723687</v>
      </c>
      <c r="B1001" s="3" t="s">
        <v>2906</v>
      </c>
      <c r="C1001">
        <v>61</v>
      </c>
      <c r="D1001" t="s">
        <v>47</v>
      </c>
      <c r="E1001" t="s">
        <v>28</v>
      </c>
      <c r="F1001" t="s">
        <v>29</v>
      </c>
      <c r="G1001" t="s">
        <v>28</v>
      </c>
      <c r="H1001">
        <v>4</v>
      </c>
      <c r="I1001" t="s">
        <v>66</v>
      </c>
      <c r="J1001" t="s">
        <v>2907</v>
      </c>
      <c r="K1001" t="s">
        <v>2908</v>
      </c>
      <c r="L1001" t="s">
        <v>504</v>
      </c>
      <c r="M1001" s="4" t="s">
        <v>43</v>
      </c>
      <c r="N1001" t="s">
        <v>64</v>
      </c>
      <c r="P1001" s="3" t="s">
        <v>36</v>
      </c>
      <c r="Q1001" s="3" t="s">
        <v>573</v>
      </c>
      <c r="R1001">
        <v>2</v>
      </c>
      <c r="S1001" s="5">
        <v>45895</v>
      </c>
      <c r="T1001" t="s">
        <v>38</v>
      </c>
      <c r="U1001">
        <f t="shared" ca="1" si="90"/>
        <v>10</v>
      </c>
      <c r="V1001" s="6">
        <f t="shared" ca="1" si="91"/>
        <v>46012</v>
      </c>
      <c r="W1001" s="6">
        <f t="shared" ca="1" si="92"/>
        <v>46018</v>
      </c>
      <c r="X1001" t="str">
        <f t="shared" ca="1" si="93"/>
        <v>Dec 21 to Dec 27</v>
      </c>
      <c r="Y1001" t="str">
        <f t="shared" ca="1" si="94"/>
        <v>🔵 NEXT 2 WEEKS</v>
      </c>
      <c r="Z1001" t="str">
        <f t="shared" ca="1" si="95"/>
        <v>Send reminder SMS</v>
      </c>
    </row>
    <row r="1002" spans="1:26">
      <c r="A1002">
        <v>1062826159</v>
      </c>
      <c r="B1002" s="3" t="s">
        <v>2909</v>
      </c>
      <c r="C1002">
        <v>51</v>
      </c>
      <c r="D1002" t="s">
        <v>47</v>
      </c>
      <c r="E1002" t="s">
        <v>54</v>
      </c>
      <c r="F1002" t="s">
        <v>54</v>
      </c>
      <c r="G1002" t="s">
        <v>54</v>
      </c>
      <c r="H1002">
        <v>2</v>
      </c>
      <c r="I1002" t="s">
        <v>55</v>
      </c>
      <c r="J1002" t="s">
        <v>2910</v>
      </c>
      <c r="K1002" t="s">
        <v>2911</v>
      </c>
      <c r="L1002" t="s">
        <v>88</v>
      </c>
      <c r="M1002" s="4" t="s">
        <v>34</v>
      </c>
      <c r="N1002" t="s">
        <v>59</v>
      </c>
      <c r="P1002" s="3" t="s">
        <v>36</v>
      </c>
      <c r="Q1002" s="3" t="s">
        <v>107</v>
      </c>
      <c r="R1002">
        <v>2</v>
      </c>
      <c r="S1002" s="5">
        <v>45826</v>
      </c>
      <c r="T1002" t="s">
        <v>60</v>
      </c>
      <c r="U1002">
        <f t="shared" ca="1" si="90"/>
        <v>1</v>
      </c>
      <c r="V1002" s="6">
        <f t="shared" ca="1" si="91"/>
        <v>46003</v>
      </c>
      <c r="W1002" s="6">
        <f t="shared" ca="1" si="92"/>
        <v>46009</v>
      </c>
      <c r="X1002" t="str">
        <f t="shared" ca="1" si="93"/>
        <v>Dec 12 to Dec 18</v>
      </c>
      <c r="Y1002" t="str">
        <f t="shared" ca="1" si="94"/>
        <v>🟡 IMMINENT (within 3 days)</v>
      </c>
      <c r="Z1002" t="str">
        <f t="shared" ca="1" si="95"/>
        <v>Prepare medications TODAY</v>
      </c>
    </row>
    <row r="1003" spans="1:26">
      <c r="A1003">
        <v>1062842677</v>
      </c>
      <c r="B1003" s="3" t="s">
        <v>2912</v>
      </c>
      <c r="C1003">
        <v>60</v>
      </c>
      <c r="D1003" t="s">
        <v>27</v>
      </c>
      <c r="E1003" t="s">
        <v>29</v>
      </c>
      <c r="F1003" t="s">
        <v>28</v>
      </c>
      <c r="G1003" t="s">
        <v>29</v>
      </c>
      <c r="H1003">
        <v>5</v>
      </c>
      <c r="I1003" t="s">
        <v>30</v>
      </c>
      <c r="J1003" t="s">
        <v>2913</v>
      </c>
      <c r="K1003" t="s">
        <v>2914</v>
      </c>
      <c r="M1003" s="4" t="s">
        <v>34</v>
      </c>
      <c r="N1003" t="s">
        <v>95</v>
      </c>
      <c r="P1003" s="3" t="s">
        <v>36</v>
      </c>
      <c r="Q1003" s="3" t="s">
        <v>365</v>
      </c>
      <c r="R1003">
        <v>2</v>
      </c>
      <c r="S1003" s="5">
        <v>45678</v>
      </c>
      <c r="T1003" t="s">
        <v>38</v>
      </c>
      <c r="U1003">
        <f t="shared" ca="1" si="90"/>
        <v>3</v>
      </c>
      <c r="V1003" s="6">
        <f t="shared" ca="1" si="91"/>
        <v>46005</v>
      </c>
      <c r="W1003" s="6">
        <f t="shared" ca="1" si="92"/>
        <v>46011</v>
      </c>
      <c r="X1003" t="str">
        <f t="shared" ca="1" si="93"/>
        <v>Dec 14 to Dec 20</v>
      </c>
      <c r="Y1003" t="str">
        <f t="shared" ca="1" si="94"/>
        <v>🟡 IMMINENT (within 3 days)</v>
      </c>
      <c r="Z1003" t="str">
        <f t="shared" ca="1" si="95"/>
        <v>Prepare medications TODAY</v>
      </c>
    </row>
    <row r="1004" spans="1:26">
      <c r="A1004">
        <v>1062892052</v>
      </c>
      <c r="B1004" s="3" t="s">
        <v>2915</v>
      </c>
      <c r="C1004">
        <v>55</v>
      </c>
      <c r="D1004" t="s">
        <v>27</v>
      </c>
      <c r="E1004" t="s">
        <v>29</v>
      </c>
      <c r="F1004" t="s">
        <v>28</v>
      </c>
      <c r="G1004" t="s">
        <v>28</v>
      </c>
      <c r="H1004">
        <v>4</v>
      </c>
      <c r="I1004" t="s">
        <v>66</v>
      </c>
      <c r="J1004" t="s">
        <v>2916</v>
      </c>
      <c r="K1004" t="s">
        <v>2917</v>
      </c>
      <c r="L1004" t="s">
        <v>2918</v>
      </c>
      <c r="M1004" s="4" t="s">
        <v>34</v>
      </c>
      <c r="N1004" t="s">
        <v>162</v>
      </c>
      <c r="P1004" s="3" t="s">
        <v>36</v>
      </c>
      <c r="Q1004" s="3" t="s">
        <v>107</v>
      </c>
      <c r="R1004">
        <v>1</v>
      </c>
      <c r="S1004" s="5">
        <v>45603</v>
      </c>
      <c r="T1004" t="s">
        <v>38</v>
      </c>
      <c r="U1004">
        <f t="shared" ca="1" si="90"/>
        <v>18</v>
      </c>
      <c r="V1004" s="6">
        <f t="shared" ca="1" si="91"/>
        <v>46020</v>
      </c>
      <c r="W1004" s="6">
        <f t="shared" ca="1" si="92"/>
        <v>46026</v>
      </c>
      <c r="X1004" t="str">
        <f t="shared" ca="1" si="93"/>
        <v>Dec 29 to Jan 4</v>
      </c>
      <c r="Y1004" t="str">
        <f t="shared" ca="1" si="94"/>
        <v>⚪ SCHEDULED</v>
      </c>
      <c r="Z1004" t="str">
        <f t="shared" ca="1" si="95"/>
        <v>No action needed yet</v>
      </c>
    </row>
    <row r="1005" spans="1:26">
      <c r="A1005">
        <v>1062940869</v>
      </c>
      <c r="B1005" s="3" t="s">
        <v>2919</v>
      </c>
      <c r="C1005">
        <v>52</v>
      </c>
      <c r="D1005" t="s">
        <v>47</v>
      </c>
      <c r="E1005" t="s">
        <v>29</v>
      </c>
      <c r="F1005" t="s">
        <v>28</v>
      </c>
      <c r="G1005" t="s">
        <v>28</v>
      </c>
      <c r="H1005">
        <v>3</v>
      </c>
      <c r="I1005" t="s">
        <v>66</v>
      </c>
      <c r="J1005" t="s">
        <v>2920</v>
      </c>
      <c r="K1005" t="s">
        <v>2921</v>
      </c>
      <c r="L1005" t="s">
        <v>33</v>
      </c>
      <c r="M1005" s="4" t="s">
        <v>34</v>
      </c>
      <c r="N1005" t="s">
        <v>148</v>
      </c>
      <c r="P1005" s="3" t="s">
        <v>36</v>
      </c>
      <c r="Q1005" s="3" t="s">
        <v>84</v>
      </c>
      <c r="R1005">
        <v>2</v>
      </c>
      <c r="S1005" s="5">
        <v>45574</v>
      </c>
      <c r="T1005" t="s">
        <v>38</v>
      </c>
      <c r="U1005">
        <f t="shared" ca="1" si="90"/>
        <v>19</v>
      </c>
      <c r="V1005" s="6">
        <f t="shared" ca="1" si="91"/>
        <v>46021</v>
      </c>
      <c r="W1005" s="6">
        <f t="shared" ca="1" si="92"/>
        <v>46027</v>
      </c>
      <c r="X1005" t="str">
        <f t="shared" ca="1" si="93"/>
        <v>Dec 30 to Jan 5</v>
      </c>
      <c r="Y1005" t="str">
        <f t="shared" ca="1" si="94"/>
        <v>⚪ SCHEDULED</v>
      </c>
      <c r="Z1005" t="str">
        <f t="shared" ca="1" si="95"/>
        <v>No action needed yet</v>
      </c>
    </row>
    <row r="1006" spans="1:26">
      <c r="A1006">
        <v>1062991722</v>
      </c>
      <c r="B1006" s="3" t="s">
        <v>2922</v>
      </c>
      <c r="C1006">
        <v>36</v>
      </c>
      <c r="D1006" t="s">
        <v>47</v>
      </c>
      <c r="E1006" t="s">
        <v>28</v>
      </c>
      <c r="F1006" t="s">
        <v>28</v>
      </c>
      <c r="G1006" t="s">
        <v>28</v>
      </c>
      <c r="H1006">
        <v>1</v>
      </c>
      <c r="I1006" t="s">
        <v>55</v>
      </c>
      <c r="J1006" t="s">
        <v>2923</v>
      </c>
      <c r="K1006" t="s">
        <v>2924</v>
      </c>
      <c r="L1006" t="s">
        <v>882</v>
      </c>
      <c r="M1006" s="4" t="s">
        <v>94</v>
      </c>
      <c r="N1006" t="s">
        <v>59</v>
      </c>
      <c r="P1006" s="3" t="s">
        <v>36</v>
      </c>
      <c r="Q1006" s="3" t="s">
        <v>84</v>
      </c>
      <c r="R1006">
        <v>1</v>
      </c>
      <c r="S1006" s="5">
        <v>46010</v>
      </c>
      <c r="T1006" t="s">
        <v>393</v>
      </c>
      <c r="U1006">
        <f t="shared" ca="1" si="90"/>
        <v>5</v>
      </c>
      <c r="V1006" s="6">
        <f t="shared" ca="1" si="91"/>
        <v>46007</v>
      </c>
      <c r="W1006" s="6">
        <f t="shared" ca="1" si="92"/>
        <v>46013</v>
      </c>
      <c r="X1006" t="str">
        <f t="shared" ca="1" si="93"/>
        <v>Dec 16 to Dec 22</v>
      </c>
      <c r="Y1006" t="str">
        <f t="shared" ca="1" si="94"/>
        <v>🟢 THIS WEEK</v>
      </c>
      <c r="Z1006" t="str">
        <f t="shared" ca="1" si="95"/>
        <v>Confirm appointment</v>
      </c>
    </row>
    <row r="1007" spans="1:26">
      <c r="A1007">
        <v>1063130148</v>
      </c>
      <c r="B1007" s="3" t="s">
        <v>2925</v>
      </c>
      <c r="C1007">
        <v>68</v>
      </c>
      <c r="D1007" t="s">
        <v>27</v>
      </c>
      <c r="E1007" t="s">
        <v>29</v>
      </c>
      <c r="F1007" t="s">
        <v>29</v>
      </c>
      <c r="G1007" t="s">
        <v>28</v>
      </c>
      <c r="H1007">
        <v>6</v>
      </c>
      <c r="I1007" t="s">
        <v>30</v>
      </c>
      <c r="J1007" t="s">
        <v>2926</v>
      </c>
      <c r="K1007" t="s">
        <v>2927</v>
      </c>
      <c r="L1007" t="s">
        <v>355</v>
      </c>
      <c r="M1007" s="4" t="s">
        <v>34</v>
      </c>
      <c r="N1007" t="s">
        <v>119</v>
      </c>
      <c r="P1007" s="3" t="s">
        <v>36</v>
      </c>
      <c r="Q1007" s="3" t="s">
        <v>123</v>
      </c>
      <c r="R1007">
        <v>1</v>
      </c>
      <c r="S1007" s="5">
        <v>45717</v>
      </c>
      <c r="T1007" t="s">
        <v>38</v>
      </c>
      <c r="U1007">
        <f t="shared" ca="1" si="90"/>
        <v>12</v>
      </c>
      <c r="V1007" s="6">
        <f t="shared" ca="1" si="91"/>
        <v>46014</v>
      </c>
      <c r="W1007" s="6">
        <f t="shared" ca="1" si="92"/>
        <v>46020</v>
      </c>
      <c r="X1007" t="str">
        <f t="shared" ca="1" si="93"/>
        <v>Dec 23 to Dec 29</v>
      </c>
      <c r="Y1007" t="str">
        <f t="shared" ca="1" si="94"/>
        <v>🔵 NEXT 2 WEEKS</v>
      </c>
      <c r="Z1007" t="str">
        <f t="shared" ca="1" si="95"/>
        <v>Send reminder SMS</v>
      </c>
    </row>
    <row r="1008" spans="1:26">
      <c r="A1008">
        <v>1063198749</v>
      </c>
      <c r="B1008" s="3" t="s">
        <v>2928</v>
      </c>
      <c r="C1008">
        <v>52</v>
      </c>
      <c r="D1008" t="s">
        <v>47</v>
      </c>
      <c r="E1008" t="s">
        <v>29</v>
      </c>
      <c r="F1008" t="s">
        <v>28</v>
      </c>
      <c r="G1008" t="s">
        <v>29</v>
      </c>
      <c r="H1008">
        <v>5</v>
      </c>
      <c r="I1008" t="s">
        <v>30</v>
      </c>
      <c r="J1008" t="s">
        <v>2929</v>
      </c>
      <c r="K1008" t="s">
        <v>2930</v>
      </c>
      <c r="M1008" s="4" t="s">
        <v>94</v>
      </c>
      <c r="N1008" t="s">
        <v>95</v>
      </c>
      <c r="P1008" s="3" t="s">
        <v>36</v>
      </c>
      <c r="Q1008" s="3" t="s">
        <v>84</v>
      </c>
      <c r="R1008">
        <v>1</v>
      </c>
      <c r="S1008" s="5">
        <v>45944</v>
      </c>
      <c r="T1008" t="s">
        <v>38</v>
      </c>
      <c r="U1008">
        <f t="shared" ca="1" si="90"/>
        <v>29</v>
      </c>
      <c r="V1008" s="6">
        <f t="shared" ca="1" si="91"/>
        <v>46031</v>
      </c>
      <c r="W1008" s="6">
        <f t="shared" ca="1" si="92"/>
        <v>46037</v>
      </c>
      <c r="X1008" t="str">
        <f t="shared" ca="1" si="93"/>
        <v>Jan 9 to Jan 15</v>
      </c>
      <c r="Y1008" t="str">
        <f t="shared" ca="1" si="94"/>
        <v>⚪ SCHEDULED</v>
      </c>
      <c r="Z1008" t="str">
        <f t="shared" ca="1" si="95"/>
        <v>No action needed yet</v>
      </c>
    </row>
    <row r="1009" spans="1:26">
      <c r="A1009">
        <v>1063327074</v>
      </c>
      <c r="B1009" s="3" t="s">
        <v>2931</v>
      </c>
      <c r="C1009">
        <v>97</v>
      </c>
      <c r="D1009" t="s">
        <v>27</v>
      </c>
      <c r="E1009" t="s">
        <v>29</v>
      </c>
      <c r="F1009" t="s">
        <v>29</v>
      </c>
      <c r="G1009" t="s">
        <v>28</v>
      </c>
      <c r="H1009">
        <v>7</v>
      </c>
      <c r="I1009" t="s">
        <v>30</v>
      </c>
      <c r="J1009" t="s">
        <v>2932</v>
      </c>
      <c r="K1009" t="s">
        <v>2933</v>
      </c>
      <c r="L1009" t="s">
        <v>135</v>
      </c>
      <c r="M1009" s="4" t="s">
        <v>94</v>
      </c>
      <c r="N1009" t="s">
        <v>131</v>
      </c>
      <c r="P1009" s="3" t="s">
        <v>36</v>
      </c>
      <c r="Q1009" s="3" t="s">
        <v>45</v>
      </c>
      <c r="R1009">
        <v>1</v>
      </c>
      <c r="S1009" s="5">
        <v>45931</v>
      </c>
      <c r="T1009" t="s">
        <v>38</v>
      </c>
      <c r="U1009">
        <f t="shared" ca="1" si="90"/>
        <v>16</v>
      </c>
      <c r="V1009" s="6">
        <f t="shared" ca="1" si="91"/>
        <v>46018</v>
      </c>
      <c r="W1009" s="6">
        <f t="shared" ca="1" si="92"/>
        <v>46024</v>
      </c>
      <c r="X1009" t="str">
        <f t="shared" ca="1" si="93"/>
        <v>Dec 27 to Jan 2</v>
      </c>
      <c r="Y1009" t="str">
        <f t="shared" ca="1" si="94"/>
        <v>⚪ SCHEDULED</v>
      </c>
      <c r="Z1009" t="str">
        <f t="shared" ca="1" si="95"/>
        <v>No action needed yet</v>
      </c>
    </row>
    <row r="1010" spans="1:26">
      <c r="A1010">
        <v>1063406795</v>
      </c>
      <c r="B1010" s="3" t="s">
        <v>2934</v>
      </c>
      <c r="C1010">
        <v>72</v>
      </c>
      <c r="D1010" t="s">
        <v>27</v>
      </c>
      <c r="E1010" t="s">
        <v>29</v>
      </c>
      <c r="F1010" t="s">
        <v>29</v>
      </c>
      <c r="G1010" t="s">
        <v>29</v>
      </c>
      <c r="H1010">
        <v>8</v>
      </c>
      <c r="I1010" t="s">
        <v>30</v>
      </c>
      <c r="J1010" t="s">
        <v>2935</v>
      </c>
      <c r="K1010" t="s">
        <v>2936</v>
      </c>
      <c r="L1010" t="s">
        <v>155</v>
      </c>
      <c r="M1010" s="4" t="s">
        <v>34</v>
      </c>
      <c r="N1010" t="s">
        <v>76</v>
      </c>
      <c r="P1010" s="3" t="s">
        <v>36</v>
      </c>
      <c r="Q1010" s="3" t="s">
        <v>107</v>
      </c>
      <c r="R1010">
        <v>2</v>
      </c>
      <c r="S1010" s="5">
        <v>45751</v>
      </c>
      <c r="T1010" t="s">
        <v>38</v>
      </c>
      <c r="U1010">
        <f t="shared" ca="1" si="90"/>
        <v>16</v>
      </c>
      <c r="V1010" s="6">
        <f t="shared" ca="1" si="91"/>
        <v>46018</v>
      </c>
      <c r="W1010" s="6">
        <f t="shared" ca="1" si="92"/>
        <v>46024</v>
      </c>
      <c r="X1010" t="str">
        <f t="shared" ca="1" si="93"/>
        <v>Dec 27 to Jan 2</v>
      </c>
      <c r="Y1010" t="str">
        <f t="shared" ca="1" si="94"/>
        <v>⚪ SCHEDULED</v>
      </c>
      <c r="Z1010" t="str">
        <f t="shared" ca="1" si="95"/>
        <v>No action needed yet</v>
      </c>
    </row>
    <row r="1011" spans="1:26">
      <c r="A1011">
        <v>1063639122</v>
      </c>
      <c r="B1011" s="3" t="s">
        <v>2937</v>
      </c>
      <c r="C1011">
        <v>58</v>
      </c>
      <c r="D1011" t="s">
        <v>27</v>
      </c>
      <c r="E1011" t="s">
        <v>29</v>
      </c>
      <c r="F1011" t="s">
        <v>29</v>
      </c>
      <c r="G1011" t="s">
        <v>28</v>
      </c>
      <c r="H1011">
        <v>4</v>
      </c>
      <c r="I1011" t="s">
        <v>66</v>
      </c>
      <c r="J1011" t="s">
        <v>2938</v>
      </c>
      <c r="K1011" t="s">
        <v>2939</v>
      </c>
      <c r="L1011" t="s">
        <v>155</v>
      </c>
      <c r="M1011" s="4" t="s">
        <v>34</v>
      </c>
      <c r="N1011" t="s">
        <v>119</v>
      </c>
      <c r="P1011" s="3" t="s">
        <v>36</v>
      </c>
      <c r="Q1011" s="3" t="s">
        <v>90</v>
      </c>
      <c r="R1011">
        <v>1</v>
      </c>
      <c r="S1011" s="5">
        <v>45576</v>
      </c>
      <c r="T1011" t="s">
        <v>38</v>
      </c>
      <c r="U1011">
        <f t="shared" ca="1" si="90"/>
        <v>21</v>
      </c>
      <c r="V1011" s="6">
        <f t="shared" ca="1" si="91"/>
        <v>46023</v>
      </c>
      <c r="W1011" s="6">
        <f t="shared" ca="1" si="92"/>
        <v>46029</v>
      </c>
      <c r="X1011" t="str">
        <f t="shared" ca="1" si="93"/>
        <v>Jan 1 to Jan 7</v>
      </c>
      <c r="Y1011" t="str">
        <f t="shared" ca="1" si="94"/>
        <v>⚪ SCHEDULED</v>
      </c>
      <c r="Z1011" t="str">
        <f t="shared" ca="1" si="95"/>
        <v>No action needed yet</v>
      </c>
    </row>
    <row r="1012" spans="1:26">
      <c r="A1012">
        <v>1063836710</v>
      </c>
      <c r="B1012" s="3" t="s">
        <v>2940</v>
      </c>
      <c r="C1012">
        <v>69</v>
      </c>
      <c r="D1012" t="s">
        <v>47</v>
      </c>
      <c r="E1012" t="s">
        <v>29</v>
      </c>
      <c r="F1012" t="s">
        <v>29</v>
      </c>
      <c r="G1012" t="s">
        <v>28</v>
      </c>
      <c r="H1012">
        <v>5</v>
      </c>
      <c r="I1012" t="s">
        <v>30</v>
      </c>
      <c r="J1012" t="s">
        <v>125</v>
      </c>
      <c r="K1012" t="s">
        <v>2941</v>
      </c>
      <c r="L1012" t="s">
        <v>69</v>
      </c>
      <c r="M1012" s="4" t="s">
        <v>43</v>
      </c>
      <c r="N1012" t="s">
        <v>131</v>
      </c>
      <c r="P1012" s="3" t="s">
        <v>36</v>
      </c>
      <c r="Q1012" s="3" t="s">
        <v>84</v>
      </c>
      <c r="R1012">
        <v>1</v>
      </c>
      <c r="S1012" s="5">
        <v>45870</v>
      </c>
      <c r="T1012" t="s">
        <v>38</v>
      </c>
      <c r="U1012">
        <f t="shared" ca="1" si="90"/>
        <v>15</v>
      </c>
      <c r="V1012" s="6">
        <f t="shared" ca="1" si="91"/>
        <v>46017</v>
      </c>
      <c r="W1012" s="6">
        <f t="shared" ca="1" si="92"/>
        <v>46023</v>
      </c>
      <c r="X1012" t="str">
        <f t="shared" ca="1" si="93"/>
        <v>Dec 26 to Jan 1</v>
      </c>
      <c r="Y1012" t="str">
        <f t="shared" ca="1" si="94"/>
        <v>⚪ SCHEDULED</v>
      </c>
      <c r="Z1012" t="str">
        <f t="shared" ca="1" si="95"/>
        <v>No action needed yet</v>
      </c>
    </row>
    <row r="1013" spans="1:26">
      <c r="A1013">
        <v>1063931867</v>
      </c>
      <c r="B1013" s="3" t="s">
        <v>2942</v>
      </c>
      <c r="C1013">
        <v>42</v>
      </c>
      <c r="D1013" t="s">
        <v>27</v>
      </c>
      <c r="E1013" t="s">
        <v>29</v>
      </c>
      <c r="F1013" t="s">
        <v>28</v>
      </c>
      <c r="G1013" t="s">
        <v>28</v>
      </c>
      <c r="H1013">
        <v>2</v>
      </c>
      <c r="I1013" t="s">
        <v>55</v>
      </c>
      <c r="J1013" t="s">
        <v>2943</v>
      </c>
      <c r="K1013" t="s">
        <v>2944</v>
      </c>
      <c r="L1013" t="s">
        <v>1003</v>
      </c>
      <c r="M1013" s="4" t="s">
        <v>94</v>
      </c>
      <c r="N1013" t="s">
        <v>148</v>
      </c>
      <c r="P1013" s="3" t="s">
        <v>36</v>
      </c>
      <c r="Q1013" s="3" t="s">
        <v>2945</v>
      </c>
      <c r="R1013">
        <v>1</v>
      </c>
      <c r="S1013" s="5">
        <v>45990</v>
      </c>
      <c r="T1013" t="s">
        <v>60</v>
      </c>
      <c r="U1013">
        <f t="shared" ca="1" si="90"/>
        <v>45</v>
      </c>
      <c r="V1013" s="6">
        <f t="shared" ca="1" si="91"/>
        <v>46047</v>
      </c>
      <c r="W1013" s="6">
        <f t="shared" ca="1" si="92"/>
        <v>46053</v>
      </c>
      <c r="X1013" t="str">
        <f t="shared" ca="1" si="93"/>
        <v>Jan 25 to Jan 31</v>
      </c>
      <c r="Y1013" t="str">
        <f t="shared" ca="1" si="94"/>
        <v>⚪ SCHEDULED</v>
      </c>
      <c r="Z1013" t="str">
        <f t="shared" ca="1" si="95"/>
        <v>No action needed yet</v>
      </c>
    </row>
    <row r="1014" spans="1:26">
      <c r="A1014">
        <v>1063974172</v>
      </c>
      <c r="B1014" s="3" t="s">
        <v>2946</v>
      </c>
      <c r="C1014">
        <v>45</v>
      </c>
      <c r="D1014" t="s">
        <v>27</v>
      </c>
      <c r="E1014" t="s">
        <v>28</v>
      </c>
      <c r="F1014" t="s">
        <v>28</v>
      </c>
      <c r="G1014" t="s">
        <v>28</v>
      </c>
      <c r="H1014">
        <v>2</v>
      </c>
      <c r="I1014" t="s">
        <v>55</v>
      </c>
      <c r="J1014" t="s">
        <v>2947</v>
      </c>
      <c r="K1014" t="s">
        <v>2948</v>
      </c>
      <c r="L1014" t="s">
        <v>234</v>
      </c>
      <c r="M1014" s="4" t="s">
        <v>43</v>
      </c>
      <c r="N1014" t="s">
        <v>59</v>
      </c>
      <c r="P1014" s="3" t="s">
        <v>36</v>
      </c>
      <c r="Q1014" s="3" t="s">
        <v>45</v>
      </c>
      <c r="R1014">
        <v>2</v>
      </c>
      <c r="S1014" s="5">
        <v>45921</v>
      </c>
      <c r="T1014" t="s">
        <v>60</v>
      </c>
      <c r="U1014">
        <f t="shared" ca="1" si="90"/>
        <v>36</v>
      </c>
      <c r="V1014" s="6">
        <f t="shared" ca="1" si="91"/>
        <v>46038</v>
      </c>
      <c r="W1014" s="6">
        <f t="shared" ca="1" si="92"/>
        <v>46044</v>
      </c>
      <c r="X1014" t="str">
        <f t="shared" ca="1" si="93"/>
        <v>Jan 16 to Jan 22</v>
      </c>
      <c r="Y1014" t="str">
        <f t="shared" ca="1" si="94"/>
        <v>⚪ SCHEDULED</v>
      </c>
      <c r="Z1014" t="str">
        <f t="shared" ca="1" si="95"/>
        <v>No action needed yet</v>
      </c>
    </row>
    <row r="1015" spans="1:26">
      <c r="A1015">
        <v>1063976615</v>
      </c>
      <c r="B1015" s="3" t="s">
        <v>2949</v>
      </c>
      <c r="C1015">
        <v>38</v>
      </c>
      <c r="D1015" t="s">
        <v>47</v>
      </c>
      <c r="E1015" t="s">
        <v>29</v>
      </c>
      <c r="F1015" t="s">
        <v>28</v>
      </c>
      <c r="G1015" t="s">
        <v>29</v>
      </c>
      <c r="H1015">
        <v>3</v>
      </c>
      <c r="I1015" t="s">
        <v>66</v>
      </c>
      <c r="J1015" t="s">
        <v>2950</v>
      </c>
      <c r="K1015" t="s">
        <v>2951</v>
      </c>
      <c r="L1015" t="s">
        <v>234</v>
      </c>
      <c r="M1015" s="4" t="s">
        <v>34</v>
      </c>
      <c r="N1015" t="s">
        <v>51</v>
      </c>
      <c r="P1015" s="3" t="s">
        <v>36</v>
      </c>
      <c r="Q1015" s="3" t="s">
        <v>77</v>
      </c>
      <c r="R1015">
        <v>2</v>
      </c>
      <c r="S1015" s="5">
        <v>45791</v>
      </c>
      <c r="T1015" t="s">
        <v>38</v>
      </c>
      <c r="U1015">
        <f t="shared" ca="1" si="90"/>
        <v>26</v>
      </c>
      <c r="V1015" s="6">
        <f t="shared" ca="1" si="91"/>
        <v>46028</v>
      </c>
      <c r="W1015" s="6">
        <f t="shared" ca="1" si="92"/>
        <v>46034</v>
      </c>
      <c r="X1015" t="str">
        <f t="shared" ca="1" si="93"/>
        <v>Jan 6 to Jan 12</v>
      </c>
      <c r="Y1015" t="str">
        <f t="shared" ca="1" si="94"/>
        <v>⚪ SCHEDULED</v>
      </c>
      <c r="Z1015" t="str">
        <f t="shared" ca="1" si="95"/>
        <v>No action needed yet</v>
      </c>
    </row>
    <row r="1016" spans="1:26">
      <c r="A1016">
        <v>1064034679</v>
      </c>
      <c r="B1016" s="3" t="s">
        <v>2952</v>
      </c>
      <c r="C1016">
        <v>42</v>
      </c>
      <c r="D1016" t="s">
        <v>27</v>
      </c>
      <c r="E1016" t="s">
        <v>28</v>
      </c>
      <c r="F1016" t="s">
        <v>28</v>
      </c>
      <c r="G1016" t="s">
        <v>29</v>
      </c>
      <c r="H1016">
        <v>2</v>
      </c>
      <c r="I1016" t="s">
        <v>55</v>
      </c>
      <c r="J1016" t="s">
        <v>1067</v>
      </c>
      <c r="K1016" t="s">
        <v>2953</v>
      </c>
      <c r="M1016" s="4" t="s">
        <v>34</v>
      </c>
      <c r="N1016" t="s">
        <v>794</v>
      </c>
      <c r="P1016" s="3" t="s">
        <v>36</v>
      </c>
      <c r="Q1016" s="3" t="s">
        <v>45</v>
      </c>
      <c r="R1016">
        <v>2</v>
      </c>
      <c r="S1016" s="5">
        <v>45465</v>
      </c>
      <c r="T1016" t="s">
        <v>60</v>
      </c>
      <c r="U1016">
        <f t="shared" ca="1" si="90"/>
        <v>0</v>
      </c>
      <c r="V1016" s="6">
        <f t="shared" ca="1" si="91"/>
        <v>46002</v>
      </c>
      <c r="W1016" s="6">
        <f t="shared" ca="1" si="92"/>
        <v>46008</v>
      </c>
      <c r="X1016" t="str">
        <f t="shared" ca="1" si="93"/>
        <v>Dec 11 to Dec 17</v>
      </c>
      <c r="Y1016" t="str">
        <f t="shared" ca="1" si="94"/>
        <v>🟡 IMMINENT (within 3 days)</v>
      </c>
      <c r="Z1016" t="str">
        <f t="shared" ca="1" si="95"/>
        <v>Prepare medications TODAY</v>
      </c>
    </row>
    <row r="1017" spans="1:26">
      <c r="A1017">
        <v>1064065095</v>
      </c>
      <c r="B1017" s="3" t="s">
        <v>2954</v>
      </c>
      <c r="C1017">
        <v>58</v>
      </c>
      <c r="D1017" t="s">
        <v>47</v>
      </c>
      <c r="E1017" t="s">
        <v>54</v>
      </c>
      <c r="F1017" t="s">
        <v>54</v>
      </c>
      <c r="G1017" t="s">
        <v>54</v>
      </c>
      <c r="H1017">
        <v>2</v>
      </c>
      <c r="I1017" t="s">
        <v>55</v>
      </c>
      <c r="J1017" t="s">
        <v>109</v>
      </c>
      <c r="K1017" t="s">
        <v>738</v>
      </c>
      <c r="M1017" s="4" t="s">
        <v>43</v>
      </c>
      <c r="N1017" t="s">
        <v>59</v>
      </c>
      <c r="P1017" s="3" t="s">
        <v>36</v>
      </c>
      <c r="Q1017" t="s">
        <v>54</v>
      </c>
      <c r="R1017">
        <v>1</v>
      </c>
      <c r="S1017" s="5">
        <v>45919</v>
      </c>
      <c r="T1017" t="s">
        <v>60</v>
      </c>
      <c r="U1017">
        <f t="shared" ca="1" si="90"/>
        <v>34</v>
      </c>
      <c r="V1017" s="6">
        <f t="shared" ca="1" si="91"/>
        <v>46036</v>
      </c>
      <c r="W1017" s="6">
        <f t="shared" ca="1" si="92"/>
        <v>46042</v>
      </c>
      <c r="X1017" t="str">
        <f t="shared" ca="1" si="93"/>
        <v>Jan 14 to Jan 20</v>
      </c>
      <c r="Y1017" t="str">
        <f t="shared" ca="1" si="94"/>
        <v>⚪ SCHEDULED</v>
      </c>
      <c r="Z1017" t="str">
        <f t="shared" ca="1" si="95"/>
        <v>No action needed yet</v>
      </c>
    </row>
    <row r="1018" spans="1:26">
      <c r="A1018">
        <v>1064079666</v>
      </c>
      <c r="B1018" s="3" t="s">
        <v>2955</v>
      </c>
      <c r="C1018">
        <v>50</v>
      </c>
      <c r="D1018" t="s">
        <v>47</v>
      </c>
      <c r="E1018" t="s">
        <v>28</v>
      </c>
      <c r="F1018" t="s">
        <v>29</v>
      </c>
      <c r="G1018" t="s">
        <v>29</v>
      </c>
      <c r="H1018">
        <v>5</v>
      </c>
      <c r="I1018" t="s">
        <v>30</v>
      </c>
      <c r="J1018" t="s">
        <v>1829</v>
      </c>
      <c r="K1018" t="s">
        <v>2956</v>
      </c>
      <c r="M1018" s="4" t="s">
        <v>34</v>
      </c>
      <c r="N1018" t="s">
        <v>35</v>
      </c>
      <c r="P1018" s="3" t="s">
        <v>36</v>
      </c>
      <c r="Q1018" s="3" t="s">
        <v>45</v>
      </c>
      <c r="R1018">
        <v>2</v>
      </c>
      <c r="S1018" s="5">
        <v>45700</v>
      </c>
      <c r="T1018" t="s">
        <v>38</v>
      </c>
      <c r="U1018">
        <f t="shared" ca="1" si="90"/>
        <v>25</v>
      </c>
      <c r="V1018" s="6">
        <f t="shared" ca="1" si="91"/>
        <v>46027</v>
      </c>
      <c r="W1018" s="6">
        <f t="shared" ca="1" si="92"/>
        <v>46033</v>
      </c>
      <c r="X1018" t="str">
        <f t="shared" ca="1" si="93"/>
        <v>Jan 5 to Jan 11</v>
      </c>
      <c r="Y1018" t="str">
        <f t="shared" ca="1" si="94"/>
        <v>⚪ SCHEDULED</v>
      </c>
      <c r="Z1018" t="str">
        <f t="shared" ca="1" si="95"/>
        <v>No action needed yet</v>
      </c>
    </row>
    <row r="1019" spans="1:26">
      <c r="A1019">
        <v>1064166695</v>
      </c>
      <c r="B1019" s="3" t="s">
        <v>2957</v>
      </c>
      <c r="C1019">
        <v>36</v>
      </c>
      <c r="D1019" t="s">
        <v>27</v>
      </c>
      <c r="E1019" t="s">
        <v>28</v>
      </c>
      <c r="F1019" t="s">
        <v>28</v>
      </c>
      <c r="G1019" t="s">
        <v>28</v>
      </c>
      <c r="H1019">
        <v>1</v>
      </c>
      <c r="I1019" t="s">
        <v>55</v>
      </c>
      <c r="J1019" t="s">
        <v>519</v>
      </c>
      <c r="K1019" t="s">
        <v>1397</v>
      </c>
      <c r="L1019" t="s">
        <v>114</v>
      </c>
      <c r="M1019" s="4" t="s">
        <v>94</v>
      </c>
      <c r="N1019" t="s">
        <v>59</v>
      </c>
      <c r="P1019" s="3" t="s">
        <v>36</v>
      </c>
      <c r="Q1019" s="3" t="s">
        <v>2540</v>
      </c>
      <c r="R1019">
        <v>1</v>
      </c>
      <c r="S1019" s="5">
        <v>45998</v>
      </c>
      <c r="T1019" t="s">
        <v>393</v>
      </c>
      <c r="U1019">
        <f t="shared" ca="1" si="90"/>
        <v>83</v>
      </c>
      <c r="V1019" s="6">
        <f t="shared" ca="1" si="91"/>
        <v>46085</v>
      </c>
      <c r="W1019" s="6">
        <f t="shared" ca="1" si="92"/>
        <v>46091</v>
      </c>
      <c r="X1019" t="str">
        <f t="shared" ca="1" si="93"/>
        <v>Mar 4 to Mar 10</v>
      </c>
      <c r="Y1019" t="str">
        <f t="shared" ca="1" si="94"/>
        <v>⚪ SCHEDULED</v>
      </c>
      <c r="Z1019" t="str">
        <f t="shared" ca="1" si="95"/>
        <v>No action needed yet</v>
      </c>
    </row>
    <row r="1020" spans="1:26">
      <c r="A1020">
        <v>1064188293</v>
      </c>
      <c r="B1020" s="3" t="s">
        <v>2958</v>
      </c>
      <c r="C1020">
        <v>61</v>
      </c>
      <c r="D1020" t="s">
        <v>47</v>
      </c>
      <c r="E1020" t="s">
        <v>28</v>
      </c>
      <c r="F1020" t="s">
        <v>29</v>
      </c>
      <c r="G1020" t="s">
        <v>29</v>
      </c>
      <c r="H1020">
        <v>6</v>
      </c>
      <c r="I1020" t="s">
        <v>30</v>
      </c>
      <c r="J1020" t="s">
        <v>2959</v>
      </c>
      <c r="K1020" t="s">
        <v>2960</v>
      </c>
      <c r="L1020" t="s">
        <v>105</v>
      </c>
      <c r="M1020" s="4" t="s">
        <v>34</v>
      </c>
      <c r="N1020" t="s">
        <v>35</v>
      </c>
      <c r="P1020" s="3" t="s">
        <v>36</v>
      </c>
      <c r="Q1020" s="3" t="s">
        <v>107</v>
      </c>
      <c r="R1020">
        <v>2</v>
      </c>
      <c r="S1020" s="5">
        <v>45573</v>
      </c>
      <c r="T1020" t="s">
        <v>38</v>
      </c>
      <c r="U1020">
        <f t="shared" ca="1" si="90"/>
        <v>18</v>
      </c>
      <c r="V1020" s="6">
        <f t="shared" ca="1" si="91"/>
        <v>46020</v>
      </c>
      <c r="W1020" s="6">
        <f t="shared" ca="1" si="92"/>
        <v>46026</v>
      </c>
      <c r="X1020" t="str">
        <f t="shared" ca="1" si="93"/>
        <v>Dec 29 to Jan 4</v>
      </c>
      <c r="Y1020" t="str">
        <f t="shared" ca="1" si="94"/>
        <v>⚪ SCHEDULED</v>
      </c>
      <c r="Z1020" t="str">
        <f t="shared" ca="1" si="95"/>
        <v>No action needed yet</v>
      </c>
    </row>
    <row r="1021" spans="1:26">
      <c r="A1021">
        <v>1064192279</v>
      </c>
      <c r="B1021" s="3" t="s">
        <v>2961</v>
      </c>
      <c r="C1021">
        <v>95</v>
      </c>
      <c r="D1021" t="s">
        <v>27</v>
      </c>
      <c r="E1021" t="s">
        <v>29</v>
      </c>
      <c r="F1021" t="s">
        <v>29</v>
      </c>
      <c r="G1021" t="s">
        <v>28</v>
      </c>
      <c r="H1021">
        <v>6</v>
      </c>
      <c r="I1021" t="s">
        <v>30</v>
      </c>
      <c r="J1021" t="s">
        <v>2962</v>
      </c>
      <c r="K1021" t="s">
        <v>2963</v>
      </c>
      <c r="L1021" t="s">
        <v>58</v>
      </c>
      <c r="M1021" s="4" t="s">
        <v>43</v>
      </c>
      <c r="N1021" t="s">
        <v>119</v>
      </c>
      <c r="P1021" s="3" t="s">
        <v>36</v>
      </c>
      <c r="Q1021" s="3" t="s">
        <v>90</v>
      </c>
      <c r="R1021">
        <v>1</v>
      </c>
      <c r="S1021" s="5">
        <v>45930</v>
      </c>
      <c r="T1021" t="s">
        <v>38</v>
      </c>
      <c r="U1021">
        <f t="shared" ca="1" si="90"/>
        <v>15</v>
      </c>
      <c r="V1021" s="6">
        <f t="shared" ca="1" si="91"/>
        <v>46017</v>
      </c>
      <c r="W1021" s="6">
        <f t="shared" ca="1" si="92"/>
        <v>46023</v>
      </c>
      <c r="X1021" t="str">
        <f t="shared" ca="1" si="93"/>
        <v>Dec 26 to Jan 1</v>
      </c>
      <c r="Y1021" t="str">
        <f t="shared" ca="1" si="94"/>
        <v>⚪ SCHEDULED</v>
      </c>
      <c r="Z1021" t="str">
        <f t="shared" ca="1" si="95"/>
        <v>No action needed yet</v>
      </c>
    </row>
    <row r="1022" spans="1:26">
      <c r="A1022">
        <v>1064192287</v>
      </c>
      <c r="B1022" s="3" t="s">
        <v>2964</v>
      </c>
      <c r="C1022">
        <v>62</v>
      </c>
      <c r="D1022" t="s">
        <v>27</v>
      </c>
      <c r="E1022" t="s">
        <v>29</v>
      </c>
      <c r="F1022" t="s">
        <v>29</v>
      </c>
      <c r="G1022" t="s">
        <v>29</v>
      </c>
      <c r="H1022">
        <v>7</v>
      </c>
      <c r="I1022" t="s">
        <v>30</v>
      </c>
      <c r="J1022" t="s">
        <v>195</v>
      </c>
      <c r="K1022" t="s">
        <v>196</v>
      </c>
      <c r="M1022" s="4" t="s">
        <v>94</v>
      </c>
      <c r="N1022" t="s">
        <v>44</v>
      </c>
      <c r="P1022" s="3" t="s">
        <v>36</v>
      </c>
      <c r="Q1022" s="3" t="s">
        <v>45</v>
      </c>
      <c r="R1022">
        <v>1</v>
      </c>
      <c r="S1022" s="5">
        <v>45945</v>
      </c>
      <c r="T1022" t="s">
        <v>38</v>
      </c>
      <c r="U1022">
        <f t="shared" ca="1" si="90"/>
        <v>0</v>
      </c>
      <c r="V1022" s="6">
        <f t="shared" ca="1" si="91"/>
        <v>46002</v>
      </c>
      <c r="W1022" s="6">
        <f t="shared" ca="1" si="92"/>
        <v>46008</v>
      </c>
      <c r="X1022" t="str">
        <f t="shared" ca="1" si="93"/>
        <v>Dec 11 to Dec 17</v>
      </c>
      <c r="Y1022" t="str">
        <f t="shared" ca="1" si="94"/>
        <v>🟡 IMMINENT (within 3 days)</v>
      </c>
      <c r="Z1022" t="str">
        <f t="shared" ca="1" si="95"/>
        <v>Prepare medications TODAY</v>
      </c>
    </row>
    <row r="1023" spans="1:26">
      <c r="A1023">
        <v>1064210535</v>
      </c>
      <c r="B1023" s="3" t="s">
        <v>2965</v>
      </c>
      <c r="C1023">
        <v>64</v>
      </c>
      <c r="D1023" t="s">
        <v>27</v>
      </c>
      <c r="E1023" t="s">
        <v>28</v>
      </c>
      <c r="F1023" t="s">
        <v>29</v>
      </c>
      <c r="G1023" t="s">
        <v>29</v>
      </c>
      <c r="H1023">
        <v>5</v>
      </c>
      <c r="I1023" t="s">
        <v>30</v>
      </c>
      <c r="J1023" t="s">
        <v>112</v>
      </c>
      <c r="K1023" t="s">
        <v>2620</v>
      </c>
      <c r="L1023" t="s">
        <v>114</v>
      </c>
      <c r="M1023" s="4" t="s">
        <v>94</v>
      </c>
      <c r="N1023" t="s">
        <v>209</v>
      </c>
      <c r="P1023" s="3" t="s">
        <v>36</v>
      </c>
      <c r="Q1023" s="3" t="s">
        <v>90</v>
      </c>
      <c r="R1023">
        <v>2</v>
      </c>
      <c r="S1023" s="5">
        <v>45932</v>
      </c>
      <c r="T1023" t="s">
        <v>38</v>
      </c>
      <c r="U1023">
        <f t="shared" ca="1" si="90"/>
        <v>17</v>
      </c>
      <c r="V1023" s="6">
        <f t="shared" ca="1" si="91"/>
        <v>46019</v>
      </c>
      <c r="W1023" s="6">
        <f t="shared" ca="1" si="92"/>
        <v>46025</v>
      </c>
      <c r="X1023" t="str">
        <f t="shared" ca="1" si="93"/>
        <v>Dec 28 to Jan 3</v>
      </c>
      <c r="Y1023" t="str">
        <f t="shared" ca="1" si="94"/>
        <v>⚪ SCHEDULED</v>
      </c>
      <c r="Z1023" t="str">
        <f t="shared" ca="1" si="95"/>
        <v>No action needed yet</v>
      </c>
    </row>
    <row r="1024" spans="1:26">
      <c r="A1024">
        <v>1064233974</v>
      </c>
      <c r="B1024" s="3" t="s">
        <v>2966</v>
      </c>
      <c r="C1024">
        <v>45</v>
      </c>
      <c r="D1024" t="s">
        <v>27</v>
      </c>
      <c r="E1024" t="s">
        <v>29</v>
      </c>
      <c r="F1024" t="s">
        <v>29</v>
      </c>
      <c r="G1024" t="s">
        <v>28</v>
      </c>
      <c r="H1024">
        <v>4</v>
      </c>
      <c r="I1024" t="s">
        <v>66</v>
      </c>
      <c r="J1024" t="s">
        <v>2967</v>
      </c>
      <c r="K1024" t="s">
        <v>2968</v>
      </c>
      <c r="L1024" t="s">
        <v>962</v>
      </c>
      <c r="M1024" s="4" t="s">
        <v>34</v>
      </c>
      <c r="N1024" t="s">
        <v>119</v>
      </c>
      <c r="P1024" s="3" t="s">
        <v>36</v>
      </c>
      <c r="Q1024" s="3" t="s">
        <v>45</v>
      </c>
      <c r="R1024">
        <v>2</v>
      </c>
      <c r="S1024" s="5">
        <v>45743</v>
      </c>
      <c r="T1024" t="s">
        <v>38</v>
      </c>
      <c r="U1024">
        <f t="shared" ca="1" si="90"/>
        <v>8</v>
      </c>
      <c r="V1024" s="6">
        <f t="shared" ca="1" si="91"/>
        <v>46010</v>
      </c>
      <c r="W1024" s="6">
        <f t="shared" ca="1" si="92"/>
        <v>46016</v>
      </c>
      <c r="X1024" t="str">
        <f t="shared" ca="1" si="93"/>
        <v>Dec 19 to Dec 25</v>
      </c>
      <c r="Y1024" t="str">
        <f t="shared" ca="1" si="94"/>
        <v>🔵 NEXT 2 WEEKS</v>
      </c>
      <c r="Z1024" t="str">
        <f t="shared" ca="1" si="95"/>
        <v>Send reminder SMS</v>
      </c>
    </row>
    <row r="1025" spans="1:26">
      <c r="A1025">
        <v>1064365503</v>
      </c>
      <c r="B1025" s="3" t="s">
        <v>2969</v>
      </c>
      <c r="C1025">
        <v>36</v>
      </c>
      <c r="D1025" t="s">
        <v>27</v>
      </c>
      <c r="E1025" t="s">
        <v>28</v>
      </c>
      <c r="F1025" t="s">
        <v>28</v>
      </c>
      <c r="G1025" t="s">
        <v>28</v>
      </c>
      <c r="H1025">
        <v>0</v>
      </c>
      <c r="I1025" t="s">
        <v>55</v>
      </c>
      <c r="J1025" t="s">
        <v>2970</v>
      </c>
      <c r="K1025" t="s">
        <v>2971</v>
      </c>
      <c r="L1025" t="s">
        <v>170</v>
      </c>
      <c r="M1025" s="4" t="s">
        <v>34</v>
      </c>
      <c r="N1025" t="s">
        <v>59</v>
      </c>
      <c r="P1025" s="3" t="s">
        <v>36</v>
      </c>
      <c r="Q1025" s="3" t="s">
        <v>2972</v>
      </c>
      <c r="R1025">
        <v>2</v>
      </c>
      <c r="S1025" s="5">
        <v>45497</v>
      </c>
      <c r="T1025" t="s">
        <v>393</v>
      </c>
      <c r="U1025">
        <f t="shared" ca="1" si="90"/>
        <v>32</v>
      </c>
      <c r="V1025" s="6">
        <f t="shared" ca="1" si="91"/>
        <v>46034</v>
      </c>
      <c r="W1025" s="6">
        <f t="shared" ca="1" si="92"/>
        <v>46040</v>
      </c>
      <c r="X1025" t="str">
        <f t="shared" ca="1" si="93"/>
        <v>Jan 12 to Jan 18</v>
      </c>
      <c r="Y1025" t="str">
        <f t="shared" ca="1" si="94"/>
        <v>⚪ SCHEDULED</v>
      </c>
      <c r="Z1025" t="str">
        <f t="shared" ca="1" si="95"/>
        <v>No action needed yet</v>
      </c>
    </row>
    <row r="1026" spans="1:26">
      <c r="A1026">
        <v>1064402793</v>
      </c>
      <c r="B1026" s="3" t="s">
        <v>2973</v>
      </c>
      <c r="C1026">
        <v>36</v>
      </c>
      <c r="D1026" t="s">
        <v>47</v>
      </c>
      <c r="E1026" t="s">
        <v>28</v>
      </c>
      <c r="F1026" t="s">
        <v>29</v>
      </c>
      <c r="G1026" t="s">
        <v>29</v>
      </c>
      <c r="H1026">
        <v>2</v>
      </c>
      <c r="I1026" t="s">
        <v>55</v>
      </c>
      <c r="J1026" t="s">
        <v>2974</v>
      </c>
      <c r="K1026" t="s">
        <v>2975</v>
      </c>
      <c r="L1026" t="s">
        <v>186</v>
      </c>
      <c r="M1026" s="4" t="s">
        <v>43</v>
      </c>
      <c r="N1026" t="s">
        <v>35</v>
      </c>
      <c r="P1026" s="3" t="s">
        <v>36</v>
      </c>
      <c r="Q1026" s="3" t="s">
        <v>45</v>
      </c>
      <c r="R1026">
        <v>2</v>
      </c>
      <c r="S1026" s="5">
        <v>45953</v>
      </c>
      <c r="T1026" t="s">
        <v>60</v>
      </c>
      <c r="U1026">
        <f t="shared" ref="U1026:U1089" ca="1" si="96">IF(S1026&gt;=TODAY(),S1026,S1026+CEILING((TODAY()-S1026)/IF(T1026="Monthly",30,IF(T1026="Bi-Monthly",60,90)),1)*IF(T1026="Monthly",30,IF(T1026="Bi-Monthly",60,90)))-TODAY()</f>
        <v>8</v>
      </c>
      <c r="V1026" s="6">
        <f t="shared" ref="V1026:V1089" ca="1" si="97">IF(S1026&gt;=TODAY(),S1026,S1026+CEILING((TODAY()-S1026)/IF(T1026="Monthly",30,IF(T1026="Bi-Monthly",60,90)),1)*IF(T1026="Monthly",30,IF(T1026="Bi-Monthly",60,90)))-3</f>
        <v>46010</v>
      </c>
      <c r="W1026" s="6">
        <f t="shared" ref="W1026:W1089" ca="1" si="98">IF(S1026&gt;=TODAY(),S1026,S1026+CEILING((TODAY()-S1026)/IF(T1026="Monthly",30,IF(T1026="Bi-Monthly",60,90)),1)*IF(T1026="Monthly",30,IF(T1026="Bi-Monthly",60,90)))+3</f>
        <v>46016</v>
      </c>
      <c r="X1026" t="str">
        <f t="shared" ref="X1026:X1089" ca="1" si="99">TEXT(V1026,"MMM D")&amp;" to "&amp;TEXT(W1026,"MMM D")</f>
        <v>Dec 19 to Dec 25</v>
      </c>
      <c r="Y1026" t="str">
        <f t="shared" ref="Y1026:Y1089" ca="1" si="100">IF(U1026&lt;=3,"🟡 IMMINENT (within 3 days)",IF(U1026&lt;=7,"🟢 THIS WEEK",IF(U1026&lt;=14,"🔵 NEXT 2 WEEKS","⚪ SCHEDULED")))</f>
        <v>🔵 NEXT 2 WEEKS</v>
      </c>
      <c r="Z1026" t="str">
        <f t="shared" ref="Z1026:Z1089" ca="1" si="101">IF(U1026&lt;=3,"Prepare medications TODAY",IF(U1026&lt;=7,"Confirm appointment",IF(U1026&lt;=14,"Send reminder SMS","No action needed yet")))</f>
        <v>Send reminder SMS</v>
      </c>
    </row>
    <row r="1027" spans="1:26">
      <c r="A1027">
        <v>1064465824</v>
      </c>
      <c r="B1027" s="3" t="s">
        <v>2976</v>
      </c>
      <c r="C1027">
        <v>52</v>
      </c>
      <c r="D1027" t="s">
        <v>27</v>
      </c>
      <c r="E1027" t="s">
        <v>28</v>
      </c>
      <c r="F1027" t="s">
        <v>29</v>
      </c>
      <c r="G1027" t="s">
        <v>28</v>
      </c>
      <c r="H1027">
        <v>3</v>
      </c>
      <c r="I1027" t="s">
        <v>66</v>
      </c>
      <c r="J1027" t="s">
        <v>2977</v>
      </c>
      <c r="K1027" t="s">
        <v>2978</v>
      </c>
      <c r="L1027" t="s">
        <v>69</v>
      </c>
      <c r="M1027" s="4" t="s">
        <v>34</v>
      </c>
      <c r="N1027" t="s">
        <v>70</v>
      </c>
      <c r="P1027" s="3" t="s">
        <v>36</v>
      </c>
      <c r="Q1027" s="3" t="s">
        <v>84</v>
      </c>
      <c r="R1027">
        <v>2</v>
      </c>
      <c r="S1027" s="5">
        <v>45373</v>
      </c>
      <c r="T1027" t="s">
        <v>38</v>
      </c>
      <c r="U1027">
        <f t="shared" ca="1" si="96"/>
        <v>28</v>
      </c>
      <c r="V1027" s="6">
        <f t="shared" ca="1" si="97"/>
        <v>46030</v>
      </c>
      <c r="W1027" s="6">
        <f t="shared" ca="1" si="98"/>
        <v>46036</v>
      </c>
      <c r="X1027" t="str">
        <f t="shared" ca="1" si="99"/>
        <v>Jan 8 to Jan 14</v>
      </c>
      <c r="Y1027" t="str">
        <f t="shared" ca="1" si="100"/>
        <v>⚪ SCHEDULED</v>
      </c>
      <c r="Z1027" t="str">
        <f t="shared" ca="1" si="101"/>
        <v>No action needed yet</v>
      </c>
    </row>
    <row r="1028" spans="1:26">
      <c r="A1028">
        <v>1064473992</v>
      </c>
      <c r="B1028" s="3" t="s">
        <v>2979</v>
      </c>
      <c r="C1028">
        <v>64</v>
      </c>
      <c r="D1028" t="s">
        <v>47</v>
      </c>
      <c r="E1028" t="s">
        <v>29</v>
      </c>
      <c r="F1028" t="s">
        <v>29</v>
      </c>
      <c r="G1028" t="s">
        <v>28</v>
      </c>
      <c r="H1028">
        <v>5</v>
      </c>
      <c r="I1028" t="s">
        <v>30</v>
      </c>
      <c r="J1028" t="s">
        <v>302</v>
      </c>
      <c r="K1028" t="s">
        <v>2980</v>
      </c>
      <c r="M1028" s="4" t="s">
        <v>34</v>
      </c>
      <c r="N1028" t="s">
        <v>144</v>
      </c>
      <c r="P1028" s="3" t="s">
        <v>36</v>
      </c>
      <c r="Q1028" s="3" t="s">
        <v>107</v>
      </c>
      <c r="R1028">
        <v>2</v>
      </c>
      <c r="S1028" s="5">
        <v>45791</v>
      </c>
      <c r="T1028" t="s">
        <v>38</v>
      </c>
      <c r="U1028">
        <f t="shared" ca="1" si="96"/>
        <v>26</v>
      </c>
      <c r="V1028" s="6">
        <f t="shared" ca="1" si="97"/>
        <v>46028</v>
      </c>
      <c r="W1028" s="6">
        <f t="shared" ca="1" si="98"/>
        <v>46034</v>
      </c>
      <c r="X1028" t="str">
        <f t="shared" ca="1" si="99"/>
        <v>Jan 6 to Jan 12</v>
      </c>
      <c r="Y1028" t="str">
        <f t="shared" ca="1" si="100"/>
        <v>⚪ SCHEDULED</v>
      </c>
      <c r="Z1028" t="str">
        <f t="shared" ca="1" si="101"/>
        <v>No action needed yet</v>
      </c>
    </row>
    <row r="1029" spans="1:26">
      <c r="A1029">
        <v>1064571068</v>
      </c>
      <c r="B1029" s="3" t="s">
        <v>2981</v>
      </c>
      <c r="C1029">
        <v>40</v>
      </c>
      <c r="D1029" t="s">
        <v>47</v>
      </c>
      <c r="E1029" t="s">
        <v>29</v>
      </c>
      <c r="F1029" t="s">
        <v>28</v>
      </c>
      <c r="G1029" t="s">
        <v>28</v>
      </c>
      <c r="H1029">
        <v>4</v>
      </c>
      <c r="I1029" t="s">
        <v>66</v>
      </c>
      <c r="J1029" t="s">
        <v>1001</v>
      </c>
      <c r="K1029" t="s">
        <v>2982</v>
      </c>
      <c r="L1029" t="s">
        <v>1003</v>
      </c>
      <c r="M1029" s="4" t="s">
        <v>43</v>
      </c>
      <c r="N1029" t="s">
        <v>148</v>
      </c>
      <c r="P1029" s="3" t="s">
        <v>36</v>
      </c>
      <c r="Q1029" s="3" t="s">
        <v>90</v>
      </c>
      <c r="R1029">
        <v>2</v>
      </c>
      <c r="S1029" s="5">
        <v>45868</v>
      </c>
      <c r="T1029" t="s">
        <v>38</v>
      </c>
      <c r="U1029">
        <f t="shared" ca="1" si="96"/>
        <v>13</v>
      </c>
      <c r="V1029" s="6">
        <f t="shared" ca="1" si="97"/>
        <v>46015</v>
      </c>
      <c r="W1029" s="6">
        <f t="shared" ca="1" si="98"/>
        <v>46021</v>
      </c>
      <c r="X1029" t="str">
        <f t="shared" ca="1" si="99"/>
        <v>Dec 24 to Dec 30</v>
      </c>
      <c r="Y1029" t="str">
        <f t="shared" ca="1" si="100"/>
        <v>🔵 NEXT 2 WEEKS</v>
      </c>
      <c r="Z1029" t="str">
        <f t="shared" ca="1" si="101"/>
        <v>Send reminder SMS</v>
      </c>
    </row>
    <row r="1030" spans="1:26">
      <c r="A1030">
        <v>1065082677</v>
      </c>
      <c r="B1030" s="3" t="s">
        <v>2983</v>
      </c>
      <c r="C1030">
        <v>57</v>
      </c>
      <c r="D1030" t="s">
        <v>27</v>
      </c>
      <c r="E1030" t="s">
        <v>54</v>
      </c>
      <c r="F1030" t="s">
        <v>54</v>
      </c>
      <c r="G1030" t="s">
        <v>54</v>
      </c>
      <c r="H1030">
        <v>2</v>
      </c>
      <c r="I1030" t="s">
        <v>55</v>
      </c>
      <c r="J1030" t="s">
        <v>458</v>
      </c>
      <c r="K1030" t="s">
        <v>2984</v>
      </c>
      <c r="M1030" s="4" t="s">
        <v>34</v>
      </c>
      <c r="N1030" t="s">
        <v>59</v>
      </c>
      <c r="P1030" s="3" t="s">
        <v>36</v>
      </c>
      <c r="Q1030" t="s">
        <v>54</v>
      </c>
      <c r="R1030">
        <v>2</v>
      </c>
      <c r="S1030" s="5">
        <v>45382</v>
      </c>
      <c r="T1030" t="s">
        <v>60</v>
      </c>
      <c r="U1030">
        <f t="shared" ca="1" si="96"/>
        <v>37</v>
      </c>
      <c r="V1030" s="6">
        <f t="shared" ca="1" si="97"/>
        <v>46039</v>
      </c>
      <c r="W1030" s="6">
        <f t="shared" ca="1" si="98"/>
        <v>46045</v>
      </c>
      <c r="X1030" t="str">
        <f t="shared" ca="1" si="99"/>
        <v>Jan 17 to Jan 23</v>
      </c>
      <c r="Y1030" t="str">
        <f t="shared" ca="1" si="100"/>
        <v>⚪ SCHEDULED</v>
      </c>
      <c r="Z1030" t="str">
        <f t="shared" ca="1" si="101"/>
        <v>No action needed yet</v>
      </c>
    </row>
    <row r="1031" spans="1:26">
      <c r="A1031">
        <v>1065098079</v>
      </c>
      <c r="B1031" s="3" t="s">
        <v>2985</v>
      </c>
      <c r="C1031">
        <v>64</v>
      </c>
      <c r="D1031" t="s">
        <v>27</v>
      </c>
      <c r="E1031" t="s">
        <v>28</v>
      </c>
      <c r="F1031" t="s">
        <v>29</v>
      </c>
      <c r="G1031" t="s">
        <v>28</v>
      </c>
      <c r="H1031">
        <v>5</v>
      </c>
      <c r="I1031" t="s">
        <v>30</v>
      </c>
      <c r="J1031" t="s">
        <v>2986</v>
      </c>
      <c r="K1031" t="s">
        <v>2987</v>
      </c>
      <c r="L1031" t="s">
        <v>428</v>
      </c>
      <c r="M1031" s="4" t="s">
        <v>34</v>
      </c>
      <c r="N1031" t="s">
        <v>70</v>
      </c>
      <c r="P1031" s="3" t="s">
        <v>36</v>
      </c>
      <c r="Q1031" s="3" t="s">
        <v>858</v>
      </c>
      <c r="R1031">
        <v>1</v>
      </c>
      <c r="S1031" s="5">
        <v>45541</v>
      </c>
      <c r="T1031" t="s">
        <v>38</v>
      </c>
      <c r="U1031">
        <f t="shared" ca="1" si="96"/>
        <v>16</v>
      </c>
      <c r="V1031" s="6">
        <f t="shared" ca="1" si="97"/>
        <v>46018</v>
      </c>
      <c r="W1031" s="6">
        <f t="shared" ca="1" si="98"/>
        <v>46024</v>
      </c>
      <c r="X1031" t="str">
        <f t="shared" ca="1" si="99"/>
        <v>Dec 27 to Jan 2</v>
      </c>
      <c r="Y1031" t="str">
        <f t="shared" ca="1" si="100"/>
        <v>⚪ SCHEDULED</v>
      </c>
      <c r="Z1031" t="str">
        <f t="shared" ca="1" si="101"/>
        <v>No action needed yet</v>
      </c>
    </row>
    <row r="1032" spans="1:26">
      <c r="A1032">
        <v>1065174367</v>
      </c>
      <c r="B1032" s="3" t="s">
        <v>2988</v>
      </c>
      <c r="C1032">
        <v>61</v>
      </c>
      <c r="D1032" t="s">
        <v>27</v>
      </c>
      <c r="E1032" t="s">
        <v>29</v>
      </c>
      <c r="F1032" t="s">
        <v>28</v>
      </c>
      <c r="G1032" t="s">
        <v>28</v>
      </c>
      <c r="H1032">
        <v>4</v>
      </c>
      <c r="I1032" t="s">
        <v>66</v>
      </c>
      <c r="J1032" t="s">
        <v>2989</v>
      </c>
      <c r="K1032" t="s">
        <v>2990</v>
      </c>
      <c r="L1032" t="s">
        <v>234</v>
      </c>
      <c r="M1032" s="4" t="s">
        <v>94</v>
      </c>
      <c r="N1032" t="s">
        <v>162</v>
      </c>
      <c r="P1032" s="3" t="s">
        <v>36</v>
      </c>
      <c r="Q1032" s="3" t="s">
        <v>84</v>
      </c>
      <c r="R1032">
        <v>1</v>
      </c>
      <c r="S1032" s="5">
        <v>45940</v>
      </c>
      <c r="T1032" t="s">
        <v>38</v>
      </c>
      <c r="U1032">
        <f t="shared" ca="1" si="96"/>
        <v>25</v>
      </c>
      <c r="V1032" s="6">
        <f t="shared" ca="1" si="97"/>
        <v>46027</v>
      </c>
      <c r="W1032" s="6">
        <f t="shared" ca="1" si="98"/>
        <v>46033</v>
      </c>
      <c r="X1032" t="str">
        <f t="shared" ca="1" si="99"/>
        <v>Jan 5 to Jan 11</v>
      </c>
      <c r="Y1032" t="str">
        <f t="shared" ca="1" si="100"/>
        <v>⚪ SCHEDULED</v>
      </c>
      <c r="Z1032" t="str">
        <f t="shared" ca="1" si="101"/>
        <v>No action needed yet</v>
      </c>
    </row>
    <row r="1033" spans="1:26">
      <c r="A1033">
        <v>1065306340</v>
      </c>
      <c r="B1033" s="3" t="s">
        <v>2991</v>
      </c>
      <c r="C1033">
        <v>79</v>
      </c>
      <c r="D1033" t="s">
        <v>27</v>
      </c>
      <c r="E1033" t="s">
        <v>29</v>
      </c>
      <c r="F1033" t="s">
        <v>28</v>
      </c>
      <c r="G1033" t="s">
        <v>29</v>
      </c>
      <c r="H1033">
        <v>6</v>
      </c>
      <c r="I1033" t="s">
        <v>30</v>
      </c>
      <c r="J1033" t="s">
        <v>2992</v>
      </c>
      <c r="K1033" t="s">
        <v>2993</v>
      </c>
      <c r="L1033" t="s">
        <v>186</v>
      </c>
      <c r="M1033" s="4" t="s">
        <v>94</v>
      </c>
      <c r="N1033" t="s">
        <v>95</v>
      </c>
      <c r="P1033" s="3" t="s">
        <v>36</v>
      </c>
      <c r="Q1033" s="3" t="s">
        <v>84</v>
      </c>
      <c r="R1033">
        <v>1</v>
      </c>
      <c r="S1033" s="5">
        <v>45946</v>
      </c>
      <c r="T1033" t="s">
        <v>38</v>
      </c>
      <c r="U1033">
        <f t="shared" ca="1" si="96"/>
        <v>1</v>
      </c>
      <c r="V1033" s="6">
        <f t="shared" ca="1" si="97"/>
        <v>46003</v>
      </c>
      <c r="W1033" s="6">
        <f t="shared" ca="1" si="98"/>
        <v>46009</v>
      </c>
      <c r="X1033" t="str">
        <f t="shared" ca="1" si="99"/>
        <v>Dec 12 to Dec 18</v>
      </c>
      <c r="Y1033" t="str">
        <f t="shared" ca="1" si="100"/>
        <v>🟡 IMMINENT (within 3 days)</v>
      </c>
      <c r="Z1033" t="str">
        <f t="shared" ca="1" si="101"/>
        <v>Prepare medications TODAY</v>
      </c>
    </row>
    <row r="1034" spans="1:26">
      <c r="A1034">
        <v>1065585869</v>
      </c>
      <c r="B1034" s="3" t="s">
        <v>2994</v>
      </c>
      <c r="C1034">
        <v>52</v>
      </c>
      <c r="D1034" t="s">
        <v>47</v>
      </c>
      <c r="E1034" t="s">
        <v>29</v>
      </c>
      <c r="F1034" t="s">
        <v>29</v>
      </c>
      <c r="G1034" t="s">
        <v>28</v>
      </c>
      <c r="H1034">
        <v>4</v>
      </c>
      <c r="I1034" t="s">
        <v>66</v>
      </c>
      <c r="J1034" t="s">
        <v>2995</v>
      </c>
      <c r="K1034" t="s">
        <v>2996</v>
      </c>
      <c r="L1034" t="s">
        <v>808</v>
      </c>
      <c r="M1034" s="4" t="s">
        <v>34</v>
      </c>
      <c r="N1034" t="s">
        <v>131</v>
      </c>
      <c r="P1034" s="3" t="s">
        <v>36</v>
      </c>
      <c r="Q1034" s="3" t="s">
        <v>90</v>
      </c>
      <c r="R1034">
        <v>2</v>
      </c>
      <c r="S1034" s="5">
        <v>45673</v>
      </c>
      <c r="T1034" t="s">
        <v>38</v>
      </c>
      <c r="U1034">
        <f t="shared" ca="1" si="96"/>
        <v>28</v>
      </c>
      <c r="V1034" s="6">
        <f t="shared" ca="1" si="97"/>
        <v>46030</v>
      </c>
      <c r="W1034" s="6">
        <f t="shared" ca="1" si="98"/>
        <v>46036</v>
      </c>
      <c r="X1034" t="str">
        <f t="shared" ca="1" si="99"/>
        <v>Jan 8 to Jan 14</v>
      </c>
      <c r="Y1034" t="str">
        <f t="shared" ca="1" si="100"/>
        <v>⚪ SCHEDULED</v>
      </c>
      <c r="Z1034" t="str">
        <f t="shared" ca="1" si="101"/>
        <v>No action needed yet</v>
      </c>
    </row>
    <row r="1035" spans="1:26">
      <c r="A1035">
        <v>1065648840</v>
      </c>
      <c r="B1035" s="3" t="s">
        <v>2997</v>
      </c>
      <c r="C1035">
        <v>52</v>
      </c>
      <c r="D1035" t="s">
        <v>47</v>
      </c>
      <c r="E1035" t="s">
        <v>29</v>
      </c>
      <c r="F1035" t="s">
        <v>29</v>
      </c>
      <c r="G1035" t="s">
        <v>28</v>
      </c>
      <c r="H1035">
        <v>6</v>
      </c>
      <c r="I1035" t="s">
        <v>30</v>
      </c>
      <c r="J1035" t="s">
        <v>2998</v>
      </c>
      <c r="K1035" t="s">
        <v>2999</v>
      </c>
      <c r="L1035" t="s">
        <v>100</v>
      </c>
      <c r="M1035" s="4" t="s">
        <v>34</v>
      </c>
      <c r="N1035" t="s">
        <v>119</v>
      </c>
      <c r="P1035" s="3" t="s">
        <v>36</v>
      </c>
      <c r="Q1035" s="3" t="s">
        <v>90</v>
      </c>
      <c r="R1035">
        <v>1</v>
      </c>
      <c r="S1035" s="5">
        <v>45435</v>
      </c>
      <c r="T1035" t="s">
        <v>38</v>
      </c>
      <c r="U1035">
        <f t="shared" ca="1" si="96"/>
        <v>0</v>
      </c>
      <c r="V1035" s="6">
        <f t="shared" ca="1" si="97"/>
        <v>46002</v>
      </c>
      <c r="W1035" s="6">
        <f t="shared" ca="1" si="98"/>
        <v>46008</v>
      </c>
      <c r="X1035" t="str">
        <f t="shared" ca="1" si="99"/>
        <v>Dec 11 to Dec 17</v>
      </c>
      <c r="Y1035" t="str">
        <f t="shared" ca="1" si="100"/>
        <v>🟡 IMMINENT (within 3 days)</v>
      </c>
      <c r="Z1035" t="str">
        <f t="shared" ca="1" si="101"/>
        <v>Prepare medications TODAY</v>
      </c>
    </row>
    <row r="1036" spans="1:26">
      <c r="A1036">
        <v>1065720201</v>
      </c>
      <c r="B1036" s="3" t="s">
        <v>3000</v>
      </c>
      <c r="C1036">
        <v>35</v>
      </c>
      <c r="D1036" t="s">
        <v>47</v>
      </c>
      <c r="E1036" t="s">
        <v>29</v>
      </c>
      <c r="F1036" t="s">
        <v>28</v>
      </c>
      <c r="G1036" t="s">
        <v>28</v>
      </c>
      <c r="H1036">
        <v>1</v>
      </c>
      <c r="I1036" t="s">
        <v>55</v>
      </c>
      <c r="J1036" t="s">
        <v>632</v>
      </c>
      <c r="K1036" t="s">
        <v>672</v>
      </c>
      <c r="L1036" t="s">
        <v>170</v>
      </c>
      <c r="M1036" s="4" t="s">
        <v>34</v>
      </c>
      <c r="N1036" t="s">
        <v>162</v>
      </c>
      <c r="P1036" s="3" t="s">
        <v>36</v>
      </c>
      <c r="Q1036" s="3" t="s">
        <v>90</v>
      </c>
      <c r="R1036">
        <v>2</v>
      </c>
      <c r="S1036" s="5">
        <v>45494</v>
      </c>
      <c r="T1036" t="s">
        <v>393</v>
      </c>
      <c r="U1036">
        <f t="shared" ca="1" si="96"/>
        <v>29</v>
      </c>
      <c r="V1036" s="6">
        <f t="shared" ca="1" si="97"/>
        <v>46031</v>
      </c>
      <c r="W1036" s="6">
        <f t="shared" ca="1" si="98"/>
        <v>46037</v>
      </c>
      <c r="X1036" t="str">
        <f t="shared" ca="1" si="99"/>
        <v>Jan 9 to Jan 15</v>
      </c>
      <c r="Y1036" t="str">
        <f t="shared" ca="1" si="100"/>
        <v>⚪ SCHEDULED</v>
      </c>
      <c r="Z1036" t="str">
        <f t="shared" ca="1" si="101"/>
        <v>No action needed yet</v>
      </c>
    </row>
    <row r="1037" spans="1:26">
      <c r="A1037">
        <v>1065815902</v>
      </c>
      <c r="B1037" s="3" t="s">
        <v>3001</v>
      </c>
      <c r="C1037">
        <v>71</v>
      </c>
      <c r="D1037" t="s">
        <v>47</v>
      </c>
      <c r="E1037" t="s">
        <v>29</v>
      </c>
      <c r="F1037" t="s">
        <v>29</v>
      </c>
      <c r="G1037" t="s">
        <v>29</v>
      </c>
      <c r="H1037">
        <v>8</v>
      </c>
      <c r="I1037" t="s">
        <v>30</v>
      </c>
      <c r="J1037" t="s">
        <v>3002</v>
      </c>
      <c r="K1037" t="s">
        <v>3003</v>
      </c>
      <c r="L1037" t="s">
        <v>88</v>
      </c>
      <c r="M1037" s="4" t="s">
        <v>43</v>
      </c>
      <c r="N1037" t="s">
        <v>89</v>
      </c>
      <c r="P1037" s="3" t="s">
        <v>36</v>
      </c>
      <c r="Q1037" s="3" t="s">
        <v>45</v>
      </c>
      <c r="R1037">
        <v>2</v>
      </c>
      <c r="S1037" s="5">
        <v>45897</v>
      </c>
      <c r="T1037" t="s">
        <v>38</v>
      </c>
      <c r="U1037">
        <f t="shared" ca="1" si="96"/>
        <v>12</v>
      </c>
      <c r="V1037" s="6">
        <f t="shared" ca="1" si="97"/>
        <v>46014</v>
      </c>
      <c r="W1037" s="6">
        <f t="shared" ca="1" si="98"/>
        <v>46020</v>
      </c>
      <c r="X1037" t="str">
        <f t="shared" ca="1" si="99"/>
        <v>Dec 23 to Dec 29</v>
      </c>
      <c r="Y1037" t="str">
        <f t="shared" ca="1" si="100"/>
        <v>🔵 NEXT 2 WEEKS</v>
      </c>
      <c r="Z1037" t="str">
        <f t="shared" ca="1" si="101"/>
        <v>Send reminder SMS</v>
      </c>
    </row>
    <row r="1038" spans="1:26">
      <c r="A1038">
        <v>1065942144</v>
      </c>
      <c r="B1038" s="3" t="s">
        <v>3004</v>
      </c>
      <c r="C1038">
        <v>57</v>
      </c>
      <c r="D1038" t="s">
        <v>27</v>
      </c>
      <c r="E1038" t="s">
        <v>29</v>
      </c>
      <c r="F1038" t="s">
        <v>29</v>
      </c>
      <c r="G1038" t="s">
        <v>29</v>
      </c>
      <c r="H1038">
        <v>6</v>
      </c>
      <c r="I1038" t="s">
        <v>30</v>
      </c>
      <c r="J1038" t="s">
        <v>775</v>
      </c>
      <c r="K1038" t="s">
        <v>3005</v>
      </c>
      <c r="L1038" t="s">
        <v>139</v>
      </c>
      <c r="M1038" s="4" t="s">
        <v>34</v>
      </c>
      <c r="N1038" t="s">
        <v>470</v>
      </c>
      <c r="P1038" s="3" t="s">
        <v>36</v>
      </c>
      <c r="Q1038" s="3" t="s">
        <v>107</v>
      </c>
      <c r="R1038">
        <v>2</v>
      </c>
      <c r="S1038" s="5">
        <v>45720</v>
      </c>
      <c r="T1038" t="s">
        <v>38</v>
      </c>
      <c r="U1038">
        <f t="shared" ca="1" si="96"/>
        <v>15</v>
      </c>
      <c r="V1038" s="6">
        <f t="shared" ca="1" si="97"/>
        <v>46017</v>
      </c>
      <c r="W1038" s="6">
        <f t="shared" ca="1" si="98"/>
        <v>46023</v>
      </c>
      <c r="X1038" t="str">
        <f t="shared" ca="1" si="99"/>
        <v>Dec 26 to Jan 1</v>
      </c>
      <c r="Y1038" t="str">
        <f t="shared" ca="1" si="100"/>
        <v>⚪ SCHEDULED</v>
      </c>
      <c r="Z1038" t="str">
        <f t="shared" ca="1" si="101"/>
        <v>No action needed yet</v>
      </c>
    </row>
    <row r="1039" spans="1:26">
      <c r="A1039">
        <v>1066053347</v>
      </c>
      <c r="B1039" s="3" t="s">
        <v>3006</v>
      </c>
      <c r="C1039">
        <v>36</v>
      </c>
      <c r="D1039" t="s">
        <v>27</v>
      </c>
      <c r="E1039" t="s">
        <v>29</v>
      </c>
      <c r="F1039" t="s">
        <v>28</v>
      </c>
      <c r="G1039" t="s">
        <v>28</v>
      </c>
      <c r="H1039">
        <v>1</v>
      </c>
      <c r="I1039" t="s">
        <v>55</v>
      </c>
      <c r="J1039" t="s">
        <v>157</v>
      </c>
      <c r="K1039" t="s">
        <v>3007</v>
      </c>
      <c r="M1039" s="4" t="s">
        <v>43</v>
      </c>
      <c r="N1039" t="s">
        <v>148</v>
      </c>
      <c r="P1039" s="3" t="s">
        <v>36</v>
      </c>
      <c r="Q1039" s="3" t="s">
        <v>84</v>
      </c>
      <c r="R1039">
        <v>1</v>
      </c>
      <c r="S1039" s="5">
        <v>45923</v>
      </c>
      <c r="T1039" t="s">
        <v>393</v>
      </c>
      <c r="U1039">
        <f t="shared" ca="1" si="96"/>
        <v>8</v>
      </c>
      <c r="V1039" s="6">
        <f t="shared" ca="1" si="97"/>
        <v>46010</v>
      </c>
      <c r="W1039" s="6">
        <f t="shared" ca="1" si="98"/>
        <v>46016</v>
      </c>
      <c r="X1039" t="str">
        <f t="shared" ca="1" si="99"/>
        <v>Dec 19 to Dec 25</v>
      </c>
      <c r="Y1039" t="str">
        <f t="shared" ca="1" si="100"/>
        <v>🔵 NEXT 2 WEEKS</v>
      </c>
      <c r="Z1039" t="str">
        <f t="shared" ca="1" si="101"/>
        <v>Send reminder SMS</v>
      </c>
    </row>
    <row r="1040" spans="1:26">
      <c r="A1040">
        <v>1066260462</v>
      </c>
      <c r="B1040" s="3" t="s">
        <v>3008</v>
      </c>
      <c r="C1040">
        <v>35</v>
      </c>
      <c r="D1040" t="s">
        <v>47</v>
      </c>
      <c r="E1040" t="s">
        <v>28</v>
      </c>
      <c r="F1040" t="s">
        <v>28</v>
      </c>
      <c r="G1040" t="s">
        <v>28</v>
      </c>
      <c r="H1040">
        <v>0</v>
      </c>
      <c r="I1040" t="s">
        <v>55</v>
      </c>
      <c r="J1040" t="s">
        <v>3009</v>
      </c>
      <c r="K1040" t="s">
        <v>3010</v>
      </c>
      <c r="M1040" s="4" t="s">
        <v>94</v>
      </c>
      <c r="N1040" t="s">
        <v>59</v>
      </c>
      <c r="P1040" s="3" t="s">
        <v>36</v>
      </c>
      <c r="Q1040" s="3" t="s">
        <v>1622</v>
      </c>
      <c r="R1040">
        <v>2</v>
      </c>
      <c r="S1040" s="5">
        <v>46005</v>
      </c>
      <c r="T1040" t="s">
        <v>393</v>
      </c>
      <c r="U1040">
        <f t="shared" ca="1" si="96"/>
        <v>0</v>
      </c>
      <c r="V1040" s="6">
        <f t="shared" ca="1" si="97"/>
        <v>46002</v>
      </c>
      <c r="W1040" s="6">
        <f t="shared" ca="1" si="98"/>
        <v>46008</v>
      </c>
      <c r="X1040" t="str">
        <f t="shared" ca="1" si="99"/>
        <v>Dec 11 to Dec 17</v>
      </c>
      <c r="Y1040" t="str">
        <f t="shared" ca="1" si="100"/>
        <v>🟡 IMMINENT (within 3 days)</v>
      </c>
      <c r="Z1040" t="str">
        <f t="shared" ca="1" si="101"/>
        <v>Prepare medications TODAY</v>
      </c>
    </row>
    <row r="1041" spans="1:26">
      <c r="A1041">
        <v>1066279652</v>
      </c>
      <c r="B1041" s="3" t="s">
        <v>3011</v>
      </c>
      <c r="C1041">
        <v>58</v>
      </c>
      <c r="D1041" t="s">
        <v>27</v>
      </c>
      <c r="E1041" t="s">
        <v>29</v>
      </c>
      <c r="F1041" t="s">
        <v>28</v>
      </c>
      <c r="G1041" t="s">
        <v>28</v>
      </c>
      <c r="H1041">
        <v>4</v>
      </c>
      <c r="I1041" t="s">
        <v>66</v>
      </c>
      <c r="J1041" t="s">
        <v>1001</v>
      </c>
      <c r="K1041" t="s">
        <v>3012</v>
      </c>
      <c r="L1041" t="s">
        <v>1003</v>
      </c>
      <c r="M1041" s="4" t="s">
        <v>94</v>
      </c>
      <c r="N1041" t="s">
        <v>148</v>
      </c>
      <c r="P1041" s="3" t="s">
        <v>36</v>
      </c>
      <c r="Q1041" s="3" t="s">
        <v>45</v>
      </c>
      <c r="R1041">
        <v>1</v>
      </c>
      <c r="S1041" s="5">
        <v>45958</v>
      </c>
      <c r="T1041" t="s">
        <v>38</v>
      </c>
      <c r="U1041">
        <f t="shared" ca="1" si="96"/>
        <v>13</v>
      </c>
      <c r="V1041" s="6">
        <f t="shared" ca="1" si="97"/>
        <v>46015</v>
      </c>
      <c r="W1041" s="6">
        <f t="shared" ca="1" si="98"/>
        <v>46021</v>
      </c>
      <c r="X1041" t="str">
        <f t="shared" ca="1" si="99"/>
        <v>Dec 24 to Dec 30</v>
      </c>
      <c r="Y1041" t="str">
        <f t="shared" ca="1" si="100"/>
        <v>🔵 NEXT 2 WEEKS</v>
      </c>
      <c r="Z1041" t="str">
        <f t="shared" ca="1" si="101"/>
        <v>Send reminder SMS</v>
      </c>
    </row>
    <row r="1042" spans="1:26">
      <c r="A1042">
        <v>1066319714</v>
      </c>
      <c r="B1042" s="3" t="s">
        <v>3013</v>
      </c>
      <c r="C1042">
        <v>50</v>
      </c>
      <c r="D1042" t="s">
        <v>27</v>
      </c>
      <c r="E1042" t="s">
        <v>29</v>
      </c>
      <c r="F1042" t="s">
        <v>28</v>
      </c>
      <c r="G1042" t="s">
        <v>28</v>
      </c>
      <c r="H1042">
        <v>4</v>
      </c>
      <c r="I1042" t="s">
        <v>66</v>
      </c>
      <c r="J1042" t="s">
        <v>3014</v>
      </c>
      <c r="K1042" t="s">
        <v>3015</v>
      </c>
      <c r="L1042" t="s">
        <v>170</v>
      </c>
      <c r="M1042" s="4" t="s">
        <v>34</v>
      </c>
      <c r="N1042" t="s">
        <v>162</v>
      </c>
      <c r="P1042" s="3" t="s">
        <v>36</v>
      </c>
      <c r="Q1042" s="3" t="s">
        <v>90</v>
      </c>
      <c r="R1042">
        <v>2</v>
      </c>
      <c r="S1042" s="5">
        <v>45443</v>
      </c>
      <c r="T1042" t="s">
        <v>38</v>
      </c>
      <c r="U1042">
        <f t="shared" ca="1" si="96"/>
        <v>8</v>
      </c>
      <c r="V1042" s="6">
        <f t="shared" ca="1" si="97"/>
        <v>46010</v>
      </c>
      <c r="W1042" s="6">
        <f t="shared" ca="1" si="98"/>
        <v>46016</v>
      </c>
      <c r="X1042" t="str">
        <f t="shared" ca="1" si="99"/>
        <v>Dec 19 to Dec 25</v>
      </c>
      <c r="Y1042" t="str">
        <f t="shared" ca="1" si="100"/>
        <v>🔵 NEXT 2 WEEKS</v>
      </c>
      <c r="Z1042" t="str">
        <f t="shared" ca="1" si="101"/>
        <v>Send reminder SMS</v>
      </c>
    </row>
    <row r="1043" spans="1:26">
      <c r="A1043">
        <v>1066597475</v>
      </c>
      <c r="B1043" s="3" t="s">
        <v>3016</v>
      </c>
      <c r="C1043">
        <v>67</v>
      </c>
      <c r="D1043" t="s">
        <v>27</v>
      </c>
      <c r="E1043" t="s">
        <v>54</v>
      </c>
      <c r="F1043" t="s">
        <v>54</v>
      </c>
      <c r="G1043" t="s">
        <v>54</v>
      </c>
      <c r="H1043">
        <v>3</v>
      </c>
      <c r="I1043" t="s">
        <v>66</v>
      </c>
      <c r="J1043" t="s">
        <v>3017</v>
      </c>
      <c r="K1043" t="s">
        <v>3018</v>
      </c>
      <c r="L1043" t="s">
        <v>217</v>
      </c>
      <c r="M1043" s="4" t="s">
        <v>34</v>
      </c>
      <c r="N1043" t="s">
        <v>59</v>
      </c>
      <c r="P1043" s="3" t="s">
        <v>36</v>
      </c>
      <c r="Q1043" s="3" t="s">
        <v>84</v>
      </c>
      <c r="R1043">
        <v>1</v>
      </c>
      <c r="S1043" s="5">
        <v>45722</v>
      </c>
      <c r="T1043" t="s">
        <v>38</v>
      </c>
      <c r="U1043">
        <f t="shared" ca="1" si="96"/>
        <v>17</v>
      </c>
      <c r="V1043" s="6">
        <f t="shared" ca="1" si="97"/>
        <v>46019</v>
      </c>
      <c r="W1043" s="6">
        <f t="shared" ca="1" si="98"/>
        <v>46025</v>
      </c>
      <c r="X1043" t="str">
        <f t="shared" ca="1" si="99"/>
        <v>Dec 28 to Jan 3</v>
      </c>
      <c r="Y1043" t="str">
        <f t="shared" ca="1" si="100"/>
        <v>⚪ SCHEDULED</v>
      </c>
      <c r="Z1043" t="str">
        <f t="shared" ca="1" si="101"/>
        <v>No action needed yet</v>
      </c>
    </row>
    <row r="1044" spans="1:26">
      <c r="A1044">
        <v>1066668474</v>
      </c>
      <c r="B1044" s="3" t="s">
        <v>3019</v>
      </c>
      <c r="C1044">
        <v>76</v>
      </c>
      <c r="D1044" t="s">
        <v>47</v>
      </c>
      <c r="E1044" t="s">
        <v>29</v>
      </c>
      <c r="F1044" t="s">
        <v>28</v>
      </c>
      <c r="G1044" t="s">
        <v>28</v>
      </c>
      <c r="H1044">
        <v>6</v>
      </c>
      <c r="I1044" t="s">
        <v>30</v>
      </c>
      <c r="J1044" t="s">
        <v>3020</v>
      </c>
      <c r="K1044" t="s">
        <v>3021</v>
      </c>
      <c r="L1044" t="s">
        <v>208</v>
      </c>
      <c r="M1044" s="4" t="s">
        <v>34</v>
      </c>
      <c r="N1044" t="s">
        <v>162</v>
      </c>
      <c r="P1044" s="3" t="s">
        <v>36</v>
      </c>
      <c r="Q1044" s="3" t="s">
        <v>45</v>
      </c>
      <c r="R1044">
        <v>1</v>
      </c>
      <c r="S1044" s="5">
        <v>45799</v>
      </c>
      <c r="T1044" t="s">
        <v>38</v>
      </c>
      <c r="U1044">
        <f t="shared" ca="1" si="96"/>
        <v>4</v>
      </c>
      <c r="V1044" s="6">
        <f t="shared" ca="1" si="97"/>
        <v>46006</v>
      </c>
      <c r="W1044" s="6">
        <f t="shared" ca="1" si="98"/>
        <v>46012</v>
      </c>
      <c r="X1044" t="str">
        <f t="shared" ca="1" si="99"/>
        <v>Dec 15 to Dec 21</v>
      </c>
      <c r="Y1044" t="str">
        <f t="shared" ca="1" si="100"/>
        <v>🟢 THIS WEEK</v>
      </c>
      <c r="Z1044" t="str">
        <f t="shared" ca="1" si="101"/>
        <v>Confirm appointment</v>
      </c>
    </row>
    <row r="1045" spans="1:26">
      <c r="A1045">
        <v>1066676261</v>
      </c>
      <c r="B1045" s="3" t="s">
        <v>3022</v>
      </c>
      <c r="C1045">
        <v>41</v>
      </c>
      <c r="D1045" t="s">
        <v>47</v>
      </c>
      <c r="E1045" t="s">
        <v>54</v>
      </c>
      <c r="F1045" t="s">
        <v>54</v>
      </c>
      <c r="G1045" t="s">
        <v>54</v>
      </c>
      <c r="H1045">
        <v>1</v>
      </c>
      <c r="I1045" t="s">
        <v>55</v>
      </c>
      <c r="J1045" t="s">
        <v>3023</v>
      </c>
      <c r="K1045" t="s">
        <v>3024</v>
      </c>
      <c r="L1045" t="s">
        <v>166</v>
      </c>
      <c r="M1045" s="4" t="s">
        <v>34</v>
      </c>
      <c r="N1045" t="s">
        <v>59</v>
      </c>
      <c r="P1045" s="3" t="s">
        <v>36</v>
      </c>
      <c r="Q1045" s="3" t="s">
        <v>107</v>
      </c>
      <c r="R1045">
        <v>1</v>
      </c>
      <c r="S1045" s="5">
        <v>45846</v>
      </c>
      <c r="T1045" t="s">
        <v>393</v>
      </c>
      <c r="U1045">
        <f t="shared" ca="1" si="96"/>
        <v>21</v>
      </c>
      <c r="V1045" s="6">
        <f t="shared" ca="1" si="97"/>
        <v>46023</v>
      </c>
      <c r="W1045" s="6">
        <f t="shared" ca="1" si="98"/>
        <v>46029</v>
      </c>
      <c r="X1045" t="str">
        <f t="shared" ca="1" si="99"/>
        <v>Jan 1 to Jan 7</v>
      </c>
      <c r="Y1045" t="str">
        <f t="shared" ca="1" si="100"/>
        <v>⚪ SCHEDULED</v>
      </c>
      <c r="Z1045" t="str">
        <f t="shared" ca="1" si="101"/>
        <v>No action needed yet</v>
      </c>
    </row>
    <row r="1046" spans="1:26">
      <c r="A1046">
        <v>1066712538</v>
      </c>
      <c r="B1046" s="3" t="s">
        <v>3025</v>
      </c>
      <c r="C1046">
        <v>37</v>
      </c>
      <c r="D1046" t="s">
        <v>27</v>
      </c>
      <c r="E1046" t="s">
        <v>28</v>
      </c>
      <c r="F1046" t="s">
        <v>28</v>
      </c>
      <c r="G1046" t="s">
        <v>28</v>
      </c>
      <c r="H1046">
        <v>1</v>
      </c>
      <c r="I1046" t="s">
        <v>55</v>
      </c>
      <c r="J1046" t="s">
        <v>253</v>
      </c>
      <c r="K1046" t="s">
        <v>907</v>
      </c>
      <c r="L1046" t="s">
        <v>33</v>
      </c>
      <c r="M1046" s="4" t="s">
        <v>34</v>
      </c>
      <c r="N1046" t="s">
        <v>59</v>
      </c>
      <c r="P1046" s="3" t="s">
        <v>36</v>
      </c>
      <c r="Q1046" s="3" t="s">
        <v>3026</v>
      </c>
      <c r="R1046">
        <v>2</v>
      </c>
      <c r="S1046" s="5">
        <v>45385</v>
      </c>
      <c r="T1046" t="s">
        <v>393</v>
      </c>
      <c r="U1046">
        <f t="shared" ca="1" si="96"/>
        <v>10</v>
      </c>
      <c r="V1046" s="6">
        <f t="shared" ca="1" si="97"/>
        <v>46012</v>
      </c>
      <c r="W1046" s="6">
        <f t="shared" ca="1" si="98"/>
        <v>46018</v>
      </c>
      <c r="X1046" t="str">
        <f t="shared" ca="1" si="99"/>
        <v>Dec 21 to Dec 27</v>
      </c>
      <c r="Y1046" t="str">
        <f t="shared" ca="1" si="100"/>
        <v>🔵 NEXT 2 WEEKS</v>
      </c>
      <c r="Z1046" t="str">
        <f t="shared" ca="1" si="101"/>
        <v>Send reminder SMS</v>
      </c>
    </row>
    <row r="1047" spans="1:26">
      <c r="A1047">
        <v>1066757319</v>
      </c>
      <c r="B1047" s="3" t="s">
        <v>3027</v>
      </c>
      <c r="C1047">
        <v>65</v>
      </c>
      <c r="D1047" t="s">
        <v>27</v>
      </c>
      <c r="E1047" t="s">
        <v>29</v>
      </c>
      <c r="F1047" t="s">
        <v>28</v>
      </c>
      <c r="G1047" t="s">
        <v>29</v>
      </c>
      <c r="H1047">
        <v>6</v>
      </c>
      <c r="I1047" t="s">
        <v>30</v>
      </c>
      <c r="J1047" t="s">
        <v>1704</v>
      </c>
      <c r="K1047" t="s">
        <v>3028</v>
      </c>
      <c r="M1047" s="4" t="s">
        <v>34</v>
      </c>
      <c r="N1047" t="s">
        <v>95</v>
      </c>
      <c r="P1047" s="3" t="s">
        <v>36</v>
      </c>
      <c r="Q1047" s="3" t="s">
        <v>84</v>
      </c>
      <c r="R1047">
        <v>1</v>
      </c>
      <c r="S1047" s="5">
        <v>45657</v>
      </c>
      <c r="T1047" t="s">
        <v>38</v>
      </c>
      <c r="U1047">
        <f t="shared" ca="1" si="96"/>
        <v>12</v>
      </c>
      <c r="V1047" s="6">
        <f t="shared" ca="1" si="97"/>
        <v>46014</v>
      </c>
      <c r="W1047" s="6">
        <f t="shared" ca="1" si="98"/>
        <v>46020</v>
      </c>
      <c r="X1047" t="str">
        <f t="shared" ca="1" si="99"/>
        <v>Dec 23 to Dec 29</v>
      </c>
      <c r="Y1047" t="str">
        <f t="shared" ca="1" si="100"/>
        <v>🔵 NEXT 2 WEEKS</v>
      </c>
      <c r="Z1047" t="str">
        <f t="shared" ca="1" si="101"/>
        <v>Send reminder SMS</v>
      </c>
    </row>
    <row r="1048" spans="1:26">
      <c r="A1048">
        <v>1066799592</v>
      </c>
      <c r="B1048" s="3" t="s">
        <v>3029</v>
      </c>
      <c r="C1048">
        <v>55</v>
      </c>
      <c r="D1048" t="s">
        <v>47</v>
      </c>
      <c r="E1048" t="s">
        <v>28</v>
      </c>
      <c r="F1048" t="s">
        <v>29</v>
      </c>
      <c r="G1048" t="s">
        <v>29</v>
      </c>
      <c r="H1048">
        <v>5</v>
      </c>
      <c r="I1048" t="s">
        <v>30</v>
      </c>
      <c r="J1048" t="s">
        <v>3030</v>
      </c>
      <c r="K1048" t="s">
        <v>3031</v>
      </c>
      <c r="L1048" t="s">
        <v>42</v>
      </c>
      <c r="M1048" s="4" t="s">
        <v>43</v>
      </c>
      <c r="N1048" t="s">
        <v>35</v>
      </c>
      <c r="P1048" s="3" t="s">
        <v>36</v>
      </c>
      <c r="Q1048" s="3" t="s">
        <v>123</v>
      </c>
      <c r="R1048">
        <v>1</v>
      </c>
      <c r="S1048" s="5">
        <v>45876</v>
      </c>
      <c r="T1048" t="s">
        <v>38</v>
      </c>
      <c r="U1048">
        <f t="shared" ca="1" si="96"/>
        <v>21</v>
      </c>
      <c r="V1048" s="6">
        <f t="shared" ca="1" si="97"/>
        <v>46023</v>
      </c>
      <c r="W1048" s="6">
        <f t="shared" ca="1" si="98"/>
        <v>46029</v>
      </c>
      <c r="X1048" t="str">
        <f t="shared" ca="1" si="99"/>
        <v>Jan 1 to Jan 7</v>
      </c>
      <c r="Y1048" t="str">
        <f t="shared" ca="1" si="100"/>
        <v>⚪ SCHEDULED</v>
      </c>
      <c r="Z1048" t="str">
        <f t="shared" ca="1" si="101"/>
        <v>No action needed yet</v>
      </c>
    </row>
    <row r="1049" spans="1:26">
      <c r="A1049">
        <v>1067137511</v>
      </c>
      <c r="B1049" s="3" t="s">
        <v>3032</v>
      </c>
      <c r="C1049">
        <v>54</v>
      </c>
      <c r="D1049" t="s">
        <v>27</v>
      </c>
      <c r="E1049" t="s">
        <v>29</v>
      </c>
      <c r="F1049" t="s">
        <v>29</v>
      </c>
      <c r="G1049" t="s">
        <v>28</v>
      </c>
      <c r="H1049">
        <v>5</v>
      </c>
      <c r="I1049" t="s">
        <v>30</v>
      </c>
      <c r="J1049" t="s">
        <v>1985</v>
      </c>
      <c r="K1049" t="s">
        <v>3033</v>
      </c>
      <c r="M1049" s="4" t="s">
        <v>43</v>
      </c>
      <c r="N1049" t="s">
        <v>144</v>
      </c>
      <c r="P1049" s="3" t="s">
        <v>36</v>
      </c>
      <c r="Q1049" s="3" t="s">
        <v>84</v>
      </c>
      <c r="R1049">
        <v>2</v>
      </c>
      <c r="S1049" s="5">
        <v>45913</v>
      </c>
      <c r="T1049" t="s">
        <v>38</v>
      </c>
      <c r="U1049">
        <f t="shared" ca="1" si="96"/>
        <v>28</v>
      </c>
      <c r="V1049" s="6">
        <f t="shared" ca="1" si="97"/>
        <v>46030</v>
      </c>
      <c r="W1049" s="6">
        <f t="shared" ca="1" si="98"/>
        <v>46036</v>
      </c>
      <c r="X1049" t="str">
        <f t="shared" ca="1" si="99"/>
        <v>Jan 8 to Jan 14</v>
      </c>
      <c r="Y1049" t="str">
        <f t="shared" ca="1" si="100"/>
        <v>⚪ SCHEDULED</v>
      </c>
      <c r="Z1049" t="str">
        <f t="shared" ca="1" si="101"/>
        <v>No action needed yet</v>
      </c>
    </row>
    <row r="1050" spans="1:26">
      <c r="A1050">
        <v>1067168730</v>
      </c>
      <c r="B1050" s="3" t="s">
        <v>3034</v>
      </c>
      <c r="C1050">
        <v>68</v>
      </c>
      <c r="D1050" t="s">
        <v>27</v>
      </c>
      <c r="E1050" t="s">
        <v>28</v>
      </c>
      <c r="F1050" t="s">
        <v>29</v>
      </c>
      <c r="G1050" t="s">
        <v>28</v>
      </c>
      <c r="H1050">
        <v>4</v>
      </c>
      <c r="I1050" t="s">
        <v>66</v>
      </c>
      <c r="J1050" t="s">
        <v>3035</v>
      </c>
      <c r="K1050" t="s">
        <v>3036</v>
      </c>
      <c r="L1050" t="s">
        <v>744</v>
      </c>
      <c r="M1050" s="4" t="s">
        <v>94</v>
      </c>
      <c r="N1050" t="s">
        <v>70</v>
      </c>
      <c r="P1050" s="3" t="s">
        <v>36</v>
      </c>
      <c r="Q1050" s="3" t="s">
        <v>45</v>
      </c>
      <c r="R1050">
        <v>2</v>
      </c>
      <c r="S1050" s="5">
        <v>45951</v>
      </c>
      <c r="T1050" t="s">
        <v>38</v>
      </c>
      <c r="U1050">
        <f t="shared" ca="1" si="96"/>
        <v>6</v>
      </c>
      <c r="V1050" s="6">
        <f t="shared" ca="1" si="97"/>
        <v>46008</v>
      </c>
      <c r="W1050" s="6">
        <f t="shared" ca="1" si="98"/>
        <v>46014</v>
      </c>
      <c r="X1050" t="str">
        <f t="shared" ca="1" si="99"/>
        <v>Dec 17 to Dec 23</v>
      </c>
      <c r="Y1050" t="str">
        <f t="shared" ca="1" si="100"/>
        <v>🟢 THIS WEEK</v>
      </c>
      <c r="Z1050" t="str">
        <f t="shared" ca="1" si="101"/>
        <v>Confirm appointment</v>
      </c>
    </row>
    <row r="1051" spans="1:26">
      <c r="A1051">
        <v>1067295749</v>
      </c>
      <c r="B1051" s="3" t="s">
        <v>3037</v>
      </c>
      <c r="C1051">
        <v>44</v>
      </c>
      <c r="D1051" t="s">
        <v>47</v>
      </c>
      <c r="E1051" t="s">
        <v>54</v>
      </c>
      <c r="F1051" t="s">
        <v>54</v>
      </c>
      <c r="G1051" t="s">
        <v>54</v>
      </c>
      <c r="H1051">
        <v>1</v>
      </c>
      <c r="I1051" t="s">
        <v>55</v>
      </c>
      <c r="J1051" t="s">
        <v>3038</v>
      </c>
      <c r="K1051" t="s">
        <v>3039</v>
      </c>
      <c r="M1051" s="4" t="s">
        <v>34</v>
      </c>
      <c r="N1051" t="s">
        <v>59</v>
      </c>
      <c r="P1051" s="3" t="s">
        <v>36</v>
      </c>
      <c r="Q1051" t="s">
        <v>54</v>
      </c>
      <c r="R1051">
        <v>2</v>
      </c>
      <c r="S1051" s="5">
        <v>45814</v>
      </c>
      <c r="T1051" t="s">
        <v>393</v>
      </c>
      <c r="U1051">
        <f t="shared" ca="1" si="96"/>
        <v>79</v>
      </c>
      <c r="V1051" s="6">
        <f t="shared" ca="1" si="97"/>
        <v>46081</v>
      </c>
      <c r="W1051" s="6">
        <f t="shared" ca="1" si="98"/>
        <v>46087</v>
      </c>
      <c r="X1051" t="str">
        <f t="shared" ca="1" si="99"/>
        <v>Feb 28 to Mar 6</v>
      </c>
      <c r="Y1051" t="str">
        <f t="shared" ca="1" si="100"/>
        <v>⚪ SCHEDULED</v>
      </c>
      <c r="Z1051" t="str">
        <f t="shared" ca="1" si="101"/>
        <v>No action needed yet</v>
      </c>
    </row>
    <row r="1052" spans="1:26">
      <c r="A1052">
        <v>1067311926</v>
      </c>
      <c r="B1052" s="3" t="s">
        <v>3040</v>
      </c>
      <c r="C1052">
        <v>35</v>
      </c>
      <c r="D1052" t="s">
        <v>47</v>
      </c>
      <c r="E1052" t="s">
        <v>54</v>
      </c>
      <c r="F1052" t="s">
        <v>54</v>
      </c>
      <c r="G1052" t="s">
        <v>54</v>
      </c>
      <c r="H1052">
        <v>0</v>
      </c>
      <c r="I1052" t="s">
        <v>55</v>
      </c>
      <c r="J1052" t="s">
        <v>347</v>
      </c>
      <c r="K1052" t="s">
        <v>3041</v>
      </c>
      <c r="M1052" s="4" t="s">
        <v>34</v>
      </c>
      <c r="N1052" t="s">
        <v>59</v>
      </c>
      <c r="P1052" s="3" t="s">
        <v>36</v>
      </c>
      <c r="Q1052" t="s">
        <v>54</v>
      </c>
      <c r="R1052">
        <v>1</v>
      </c>
      <c r="S1052" s="5">
        <v>45579</v>
      </c>
      <c r="T1052" t="s">
        <v>393</v>
      </c>
      <c r="U1052">
        <f t="shared" ca="1" si="96"/>
        <v>24</v>
      </c>
      <c r="V1052" s="6">
        <f t="shared" ca="1" si="97"/>
        <v>46026</v>
      </c>
      <c r="W1052" s="6">
        <f t="shared" ca="1" si="98"/>
        <v>46032</v>
      </c>
      <c r="X1052" t="str">
        <f t="shared" ca="1" si="99"/>
        <v>Jan 4 to Jan 10</v>
      </c>
      <c r="Y1052" t="str">
        <f t="shared" ca="1" si="100"/>
        <v>⚪ SCHEDULED</v>
      </c>
      <c r="Z1052" t="str">
        <f t="shared" ca="1" si="101"/>
        <v>No action needed yet</v>
      </c>
    </row>
    <row r="1053" spans="1:26">
      <c r="A1053">
        <v>1067795094</v>
      </c>
      <c r="B1053" s="3" t="s">
        <v>3042</v>
      </c>
      <c r="C1053">
        <v>59</v>
      </c>
      <c r="D1053" t="s">
        <v>27</v>
      </c>
      <c r="E1053" t="s">
        <v>29</v>
      </c>
      <c r="F1053" t="s">
        <v>28</v>
      </c>
      <c r="G1053" t="s">
        <v>28</v>
      </c>
      <c r="H1053">
        <v>4</v>
      </c>
      <c r="I1053" t="s">
        <v>66</v>
      </c>
      <c r="J1053" t="s">
        <v>755</v>
      </c>
      <c r="K1053" t="s">
        <v>3043</v>
      </c>
      <c r="L1053" t="s">
        <v>757</v>
      </c>
      <c r="M1053" s="4" t="s">
        <v>94</v>
      </c>
      <c r="N1053" t="s">
        <v>162</v>
      </c>
      <c r="P1053" s="3" t="s">
        <v>36</v>
      </c>
      <c r="Q1053" s="3" t="s">
        <v>3044</v>
      </c>
      <c r="R1053">
        <v>1</v>
      </c>
      <c r="S1053" s="5">
        <v>45954</v>
      </c>
      <c r="T1053" t="s">
        <v>38</v>
      </c>
      <c r="U1053">
        <f t="shared" ca="1" si="96"/>
        <v>9</v>
      </c>
      <c r="V1053" s="6">
        <f t="shared" ca="1" si="97"/>
        <v>46011</v>
      </c>
      <c r="W1053" s="6">
        <f t="shared" ca="1" si="98"/>
        <v>46017</v>
      </c>
      <c r="X1053" t="str">
        <f t="shared" ca="1" si="99"/>
        <v>Dec 20 to Dec 26</v>
      </c>
      <c r="Y1053" t="str">
        <f t="shared" ca="1" si="100"/>
        <v>🔵 NEXT 2 WEEKS</v>
      </c>
      <c r="Z1053" t="str">
        <f t="shared" ca="1" si="101"/>
        <v>Send reminder SMS</v>
      </c>
    </row>
    <row r="1054" spans="1:26">
      <c r="A1054">
        <v>1067850519</v>
      </c>
      <c r="B1054" s="3" t="s">
        <v>3045</v>
      </c>
      <c r="C1054">
        <v>35</v>
      </c>
      <c r="D1054" t="s">
        <v>27</v>
      </c>
      <c r="E1054" t="s">
        <v>29</v>
      </c>
      <c r="F1054" t="s">
        <v>28</v>
      </c>
      <c r="G1054" t="s">
        <v>29</v>
      </c>
      <c r="H1054">
        <v>3</v>
      </c>
      <c r="I1054" t="s">
        <v>66</v>
      </c>
      <c r="J1054" t="s">
        <v>3046</v>
      </c>
      <c r="K1054" t="s">
        <v>3047</v>
      </c>
      <c r="M1054" s="4" t="s">
        <v>94</v>
      </c>
      <c r="N1054" t="s">
        <v>95</v>
      </c>
      <c r="P1054" s="3" t="s">
        <v>36</v>
      </c>
      <c r="Q1054" s="3" t="s">
        <v>45</v>
      </c>
      <c r="R1054">
        <v>2</v>
      </c>
      <c r="S1054" s="5">
        <v>45941</v>
      </c>
      <c r="T1054" t="s">
        <v>38</v>
      </c>
      <c r="U1054">
        <f t="shared" ca="1" si="96"/>
        <v>26</v>
      </c>
      <c r="V1054" s="6">
        <f t="shared" ca="1" si="97"/>
        <v>46028</v>
      </c>
      <c r="W1054" s="6">
        <f t="shared" ca="1" si="98"/>
        <v>46034</v>
      </c>
      <c r="X1054" t="str">
        <f t="shared" ca="1" si="99"/>
        <v>Jan 6 to Jan 12</v>
      </c>
      <c r="Y1054" t="str">
        <f t="shared" ca="1" si="100"/>
        <v>⚪ SCHEDULED</v>
      </c>
      <c r="Z1054" t="str">
        <f t="shared" ca="1" si="101"/>
        <v>No action needed yet</v>
      </c>
    </row>
    <row r="1055" spans="1:26">
      <c r="A1055">
        <v>1068206117</v>
      </c>
      <c r="B1055" s="3" t="s">
        <v>3048</v>
      </c>
      <c r="C1055">
        <v>59</v>
      </c>
      <c r="D1055" t="s">
        <v>27</v>
      </c>
      <c r="E1055" t="s">
        <v>29</v>
      </c>
      <c r="F1055" t="s">
        <v>29</v>
      </c>
      <c r="G1055" t="s">
        <v>29</v>
      </c>
      <c r="H1055">
        <v>5</v>
      </c>
      <c r="I1055" t="s">
        <v>30</v>
      </c>
      <c r="J1055" t="s">
        <v>3049</v>
      </c>
      <c r="K1055" t="s">
        <v>3050</v>
      </c>
      <c r="L1055" t="s">
        <v>100</v>
      </c>
      <c r="M1055" s="4" t="s">
        <v>43</v>
      </c>
      <c r="N1055" t="s">
        <v>76</v>
      </c>
      <c r="P1055" s="3" t="s">
        <v>36</v>
      </c>
      <c r="Q1055" s="3" t="s">
        <v>45</v>
      </c>
      <c r="R1055">
        <v>2</v>
      </c>
      <c r="S1055" s="5">
        <v>45864</v>
      </c>
      <c r="T1055" t="s">
        <v>38</v>
      </c>
      <c r="U1055">
        <f t="shared" ca="1" si="96"/>
        <v>9</v>
      </c>
      <c r="V1055" s="6">
        <f t="shared" ca="1" si="97"/>
        <v>46011</v>
      </c>
      <c r="W1055" s="6">
        <f t="shared" ca="1" si="98"/>
        <v>46017</v>
      </c>
      <c r="X1055" t="str">
        <f t="shared" ca="1" si="99"/>
        <v>Dec 20 to Dec 26</v>
      </c>
      <c r="Y1055" t="str">
        <f t="shared" ca="1" si="100"/>
        <v>🔵 NEXT 2 WEEKS</v>
      </c>
      <c r="Z1055" t="str">
        <f t="shared" ca="1" si="101"/>
        <v>Send reminder SMS</v>
      </c>
    </row>
    <row r="1056" spans="1:26">
      <c r="A1056">
        <v>1068405693</v>
      </c>
      <c r="B1056" s="3" t="s">
        <v>3051</v>
      </c>
      <c r="C1056">
        <v>58</v>
      </c>
      <c r="D1056" t="s">
        <v>27</v>
      </c>
      <c r="E1056" t="s">
        <v>29</v>
      </c>
      <c r="F1056" t="s">
        <v>28</v>
      </c>
      <c r="G1056" t="s">
        <v>29</v>
      </c>
      <c r="H1056">
        <v>5</v>
      </c>
      <c r="I1056" t="s">
        <v>30</v>
      </c>
      <c r="J1056" t="s">
        <v>3052</v>
      </c>
      <c r="K1056" t="s">
        <v>3053</v>
      </c>
      <c r="L1056" t="s">
        <v>155</v>
      </c>
      <c r="M1056" s="4" t="s">
        <v>34</v>
      </c>
      <c r="N1056" t="s">
        <v>51</v>
      </c>
      <c r="P1056" s="3" t="s">
        <v>36</v>
      </c>
      <c r="Q1056" s="3" t="s">
        <v>90</v>
      </c>
      <c r="R1056">
        <v>2</v>
      </c>
      <c r="S1056" s="5">
        <v>45821</v>
      </c>
      <c r="T1056" t="s">
        <v>38</v>
      </c>
      <c r="U1056">
        <f t="shared" ca="1" si="96"/>
        <v>26</v>
      </c>
      <c r="V1056" s="6">
        <f t="shared" ca="1" si="97"/>
        <v>46028</v>
      </c>
      <c r="W1056" s="6">
        <f t="shared" ca="1" si="98"/>
        <v>46034</v>
      </c>
      <c r="X1056" t="str">
        <f t="shared" ca="1" si="99"/>
        <v>Jan 6 to Jan 12</v>
      </c>
      <c r="Y1056" t="str">
        <f t="shared" ca="1" si="100"/>
        <v>⚪ SCHEDULED</v>
      </c>
      <c r="Z1056" t="str">
        <f t="shared" ca="1" si="101"/>
        <v>No action needed yet</v>
      </c>
    </row>
    <row r="1057" spans="1:26">
      <c r="A1057">
        <v>1068483724</v>
      </c>
      <c r="B1057" s="3" t="s">
        <v>3054</v>
      </c>
      <c r="C1057">
        <v>58</v>
      </c>
      <c r="D1057" t="s">
        <v>27</v>
      </c>
      <c r="E1057" t="s">
        <v>29</v>
      </c>
      <c r="F1057" t="s">
        <v>28</v>
      </c>
      <c r="G1057" t="s">
        <v>28</v>
      </c>
      <c r="H1057">
        <v>3</v>
      </c>
      <c r="I1057" t="s">
        <v>66</v>
      </c>
      <c r="J1057" t="s">
        <v>3055</v>
      </c>
      <c r="K1057" t="s">
        <v>3056</v>
      </c>
      <c r="L1057" t="s">
        <v>2441</v>
      </c>
      <c r="M1057" s="4" t="s">
        <v>34</v>
      </c>
      <c r="N1057" t="s">
        <v>162</v>
      </c>
      <c r="P1057" s="3" t="s">
        <v>36</v>
      </c>
      <c r="Q1057" s="3" t="s">
        <v>107</v>
      </c>
      <c r="R1057">
        <v>1</v>
      </c>
      <c r="S1057" s="5">
        <v>45730</v>
      </c>
      <c r="T1057" t="s">
        <v>38</v>
      </c>
      <c r="U1057">
        <f t="shared" ca="1" si="96"/>
        <v>25</v>
      </c>
      <c r="V1057" s="6">
        <f t="shared" ca="1" si="97"/>
        <v>46027</v>
      </c>
      <c r="W1057" s="6">
        <f t="shared" ca="1" si="98"/>
        <v>46033</v>
      </c>
      <c r="X1057" t="str">
        <f t="shared" ca="1" si="99"/>
        <v>Jan 5 to Jan 11</v>
      </c>
      <c r="Y1057" t="str">
        <f t="shared" ca="1" si="100"/>
        <v>⚪ SCHEDULED</v>
      </c>
      <c r="Z1057" t="str">
        <f t="shared" ca="1" si="101"/>
        <v>No action needed yet</v>
      </c>
    </row>
    <row r="1058" spans="1:26">
      <c r="A1058">
        <v>1068796679</v>
      </c>
      <c r="B1058" s="3" t="s">
        <v>3057</v>
      </c>
      <c r="C1058">
        <v>70</v>
      </c>
      <c r="D1058" t="s">
        <v>27</v>
      </c>
      <c r="E1058" t="s">
        <v>54</v>
      </c>
      <c r="F1058" t="s">
        <v>54</v>
      </c>
      <c r="G1058" t="s">
        <v>54</v>
      </c>
      <c r="H1058">
        <v>4</v>
      </c>
      <c r="I1058" t="s">
        <v>66</v>
      </c>
      <c r="J1058" t="s">
        <v>3058</v>
      </c>
      <c r="K1058" t="s">
        <v>3059</v>
      </c>
      <c r="L1058" t="s">
        <v>69</v>
      </c>
      <c r="M1058" s="4" t="s">
        <v>34</v>
      </c>
      <c r="N1058" t="s">
        <v>59</v>
      </c>
      <c r="P1058" s="3" t="s">
        <v>36</v>
      </c>
      <c r="Q1058" t="s">
        <v>54</v>
      </c>
      <c r="R1058">
        <v>1</v>
      </c>
      <c r="S1058" s="5">
        <v>45808</v>
      </c>
      <c r="T1058" t="s">
        <v>38</v>
      </c>
      <c r="U1058">
        <f t="shared" ca="1" si="96"/>
        <v>13</v>
      </c>
      <c r="V1058" s="6">
        <f t="shared" ca="1" si="97"/>
        <v>46015</v>
      </c>
      <c r="W1058" s="6">
        <f t="shared" ca="1" si="98"/>
        <v>46021</v>
      </c>
      <c r="X1058" t="str">
        <f t="shared" ca="1" si="99"/>
        <v>Dec 24 to Dec 30</v>
      </c>
      <c r="Y1058" t="str">
        <f t="shared" ca="1" si="100"/>
        <v>🔵 NEXT 2 WEEKS</v>
      </c>
      <c r="Z1058" t="str">
        <f t="shared" ca="1" si="101"/>
        <v>Send reminder SMS</v>
      </c>
    </row>
    <row r="1059" spans="1:26">
      <c r="A1059">
        <v>1068970795</v>
      </c>
      <c r="B1059" s="3" t="s">
        <v>3060</v>
      </c>
      <c r="C1059">
        <v>55</v>
      </c>
      <c r="D1059" t="s">
        <v>47</v>
      </c>
      <c r="E1059" t="s">
        <v>29</v>
      </c>
      <c r="F1059" t="s">
        <v>28</v>
      </c>
      <c r="G1059" t="s">
        <v>29</v>
      </c>
      <c r="H1059">
        <v>4</v>
      </c>
      <c r="I1059" t="s">
        <v>66</v>
      </c>
      <c r="J1059" t="s">
        <v>3061</v>
      </c>
      <c r="K1059" t="s">
        <v>3062</v>
      </c>
      <c r="L1059" t="s">
        <v>234</v>
      </c>
      <c r="M1059" s="4" t="s">
        <v>94</v>
      </c>
      <c r="N1059" t="s">
        <v>51</v>
      </c>
      <c r="P1059" s="3" t="s">
        <v>36</v>
      </c>
      <c r="Q1059" s="3" t="s">
        <v>45</v>
      </c>
      <c r="R1059">
        <v>2</v>
      </c>
      <c r="S1059" s="5">
        <v>45933</v>
      </c>
      <c r="T1059" t="s">
        <v>38</v>
      </c>
      <c r="U1059">
        <f t="shared" ca="1" si="96"/>
        <v>18</v>
      </c>
      <c r="V1059" s="6">
        <f t="shared" ca="1" si="97"/>
        <v>46020</v>
      </c>
      <c r="W1059" s="6">
        <f t="shared" ca="1" si="98"/>
        <v>46026</v>
      </c>
      <c r="X1059" t="str">
        <f t="shared" ca="1" si="99"/>
        <v>Dec 29 to Jan 4</v>
      </c>
      <c r="Y1059" t="str">
        <f t="shared" ca="1" si="100"/>
        <v>⚪ SCHEDULED</v>
      </c>
      <c r="Z1059" t="str">
        <f t="shared" ca="1" si="101"/>
        <v>No action needed yet</v>
      </c>
    </row>
    <row r="1060" spans="1:26">
      <c r="A1060">
        <v>1069111878</v>
      </c>
      <c r="B1060" s="3" t="s">
        <v>3063</v>
      </c>
      <c r="C1060">
        <v>36</v>
      </c>
      <c r="D1060" t="s">
        <v>27</v>
      </c>
      <c r="E1060" t="s">
        <v>29</v>
      </c>
      <c r="F1060" t="s">
        <v>28</v>
      </c>
      <c r="G1060" t="s">
        <v>28</v>
      </c>
      <c r="H1060">
        <v>2</v>
      </c>
      <c r="I1060" t="s">
        <v>55</v>
      </c>
      <c r="J1060" t="s">
        <v>3064</v>
      </c>
      <c r="K1060" t="s">
        <v>3065</v>
      </c>
      <c r="M1060" s="4" t="s">
        <v>43</v>
      </c>
      <c r="N1060" t="s">
        <v>148</v>
      </c>
      <c r="P1060" s="3" t="s">
        <v>36</v>
      </c>
      <c r="Q1060" s="3" t="s">
        <v>45</v>
      </c>
      <c r="R1060">
        <v>1</v>
      </c>
      <c r="S1060" s="5">
        <v>45928</v>
      </c>
      <c r="T1060" t="s">
        <v>60</v>
      </c>
      <c r="U1060">
        <f t="shared" ca="1" si="96"/>
        <v>43</v>
      </c>
      <c r="V1060" s="6">
        <f t="shared" ca="1" si="97"/>
        <v>46045</v>
      </c>
      <c r="W1060" s="6">
        <f t="shared" ca="1" si="98"/>
        <v>46051</v>
      </c>
      <c r="X1060" t="str">
        <f t="shared" ca="1" si="99"/>
        <v>Jan 23 to Jan 29</v>
      </c>
      <c r="Y1060" t="str">
        <f t="shared" ca="1" si="100"/>
        <v>⚪ SCHEDULED</v>
      </c>
      <c r="Z1060" t="str">
        <f t="shared" ca="1" si="101"/>
        <v>No action needed yet</v>
      </c>
    </row>
    <row r="1061" spans="1:26">
      <c r="A1061">
        <v>1069201844</v>
      </c>
      <c r="B1061" s="3" t="s">
        <v>3066</v>
      </c>
      <c r="C1061">
        <v>40</v>
      </c>
      <c r="D1061" t="s">
        <v>47</v>
      </c>
      <c r="E1061" t="s">
        <v>29</v>
      </c>
      <c r="F1061" t="s">
        <v>28</v>
      </c>
      <c r="G1061" t="s">
        <v>28</v>
      </c>
      <c r="H1061">
        <v>2</v>
      </c>
      <c r="I1061" t="s">
        <v>55</v>
      </c>
      <c r="J1061" t="s">
        <v>168</v>
      </c>
      <c r="K1061" t="s">
        <v>3067</v>
      </c>
      <c r="L1061" t="s">
        <v>170</v>
      </c>
      <c r="M1061" s="4" t="s">
        <v>34</v>
      </c>
      <c r="N1061" t="s">
        <v>162</v>
      </c>
      <c r="P1061" s="3" t="s">
        <v>36</v>
      </c>
      <c r="Q1061" s="3" t="s">
        <v>3068</v>
      </c>
      <c r="R1061">
        <v>2</v>
      </c>
      <c r="S1061" s="5">
        <v>45794</v>
      </c>
      <c r="T1061" t="s">
        <v>60</v>
      </c>
      <c r="U1061">
        <f t="shared" ca="1" si="96"/>
        <v>29</v>
      </c>
      <c r="V1061" s="6">
        <f t="shared" ca="1" si="97"/>
        <v>46031</v>
      </c>
      <c r="W1061" s="6">
        <f t="shared" ca="1" si="98"/>
        <v>46037</v>
      </c>
      <c r="X1061" t="str">
        <f t="shared" ca="1" si="99"/>
        <v>Jan 9 to Jan 15</v>
      </c>
      <c r="Y1061" t="str">
        <f t="shared" ca="1" si="100"/>
        <v>⚪ SCHEDULED</v>
      </c>
      <c r="Z1061" t="str">
        <f t="shared" ca="1" si="101"/>
        <v>No action needed yet</v>
      </c>
    </row>
    <row r="1062" spans="1:26">
      <c r="A1062">
        <v>1069868915</v>
      </c>
      <c r="B1062" s="3" t="s">
        <v>3069</v>
      </c>
      <c r="C1062">
        <v>59</v>
      </c>
      <c r="D1062" t="s">
        <v>27</v>
      </c>
      <c r="E1062" t="s">
        <v>29</v>
      </c>
      <c r="F1062" t="s">
        <v>28</v>
      </c>
      <c r="G1062" t="s">
        <v>28</v>
      </c>
      <c r="H1062">
        <v>3</v>
      </c>
      <c r="I1062" t="s">
        <v>66</v>
      </c>
      <c r="J1062" t="s">
        <v>3070</v>
      </c>
      <c r="K1062" t="s">
        <v>3071</v>
      </c>
      <c r="L1062" t="s">
        <v>105</v>
      </c>
      <c r="M1062" s="4" t="s">
        <v>34</v>
      </c>
      <c r="N1062" t="s">
        <v>162</v>
      </c>
      <c r="P1062" s="3" t="s">
        <v>36</v>
      </c>
      <c r="Q1062" s="3" t="s">
        <v>52</v>
      </c>
      <c r="R1062">
        <v>2</v>
      </c>
      <c r="S1062" s="5">
        <v>45791</v>
      </c>
      <c r="T1062" t="s">
        <v>38</v>
      </c>
      <c r="U1062">
        <f t="shared" ca="1" si="96"/>
        <v>26</v>
      </c>
      <c r="V1062" s="6">
        <f t="shared" ca="1" si="97"/>
        <v>46028</v>
      </c>
      <c r="W1062" s="6">
        <f t="shared" ca="1" si="98"/>
        <v>46034</v>
      </c>
      <c r="X1062" t="str">
        <f t="shared" ca="1" si="99"/>
        <v>Jan 6 to Jan 12</v>
      </c>
      <c r="Y1062" t="str">
        <f t="shared" ca="1" si="100"/>
        <v>⚪ SCHEDULED</v>
      </c>
      <c r="Z1062" t="str">
        <f t="shared" ca="1" si="101"/>
        <v>No action needed yet</v>
      </c>
    </row>
    <row r="1063" spans="1:26">
      <c r="A1063">
        <v>1070208580</v>
      </c>
      <c r="B1063" s="3" t="s">
        <v>3072</v>
      </c>
      <c r="C1063">
        <v>35</v>
      </c>
      <c r="D1063" t="s">
        <v>47</v>
      </c>
      <c r="E1063" t="s">
        <v>54</v>
      </c>
      <c r="F1063" t="s">
        <v>54</v>
      </c>
      <c r="G1063" t="s">
        <v>54</v>
      </c>
      <c r="H1063">
        <v>0</v>
      </c>
      <c r="I1063" t="s">
        <v>55</v>
      </c>
      <c r="J1063" t="s">
        <v>253</v>
      </c>
      <c r="K1063" t="s">
        <v>3073</v>
      </c>
      <c r="L1063" t="s">
        <v>33</v>
      </c>
      <c r="M1063" s="4" t="s">
        <v>43</v>
      </c>
      <c r="N1063" t="s">
        <v>59</v>
      </c>
      <c r="P1063" s="3" t="s">
        <v>36</v>
      </c>
      <c r="Q1063" s="3" t="s">
        <v>96</v>
      </c>
      <c r="R1063">
        <v>1</v>
      </c>
      <c r="S1063" s="5">
        <v>45917</v>
      </c>
      <c r="T1063" t="s">
        <v>393</v>
      </c>
      <c r="U1063">
        <f t="shared" ca="1" si="96"/>
        <v>2</v>
      </c>
      <c r="V1063" s="6">
        <f t="shared" ca="1" si="97"/>
        <v>46004</v>
      </c>
      <c r="W1063" s="6">
        <f t="shared" ca="1" si="98"/>
        <v>46010</v>
      </c>
      <c r="X1063" t="str">
        <f t="shared" ca="1" si="99"/>
        <v>Dec 13 to Dec 19</v>
      </c>
      <c r="Y1063" t="str">
        <f t="shared" ca="1" si="100"/>
        <v>🟡 IMMINENT (within 3 days)</v>
      </c>
      <c r="Z1063" t="str">
        <f t="shared" ca="1" si="101"/>
        <v>Prepare medications TODAY</v>
      </c>
    </row>
    <row r="1064" spans="1:26">
      <c r="A1064">
        <v>1070356306</v>
      </c>
      <c r="B1064" s="3" t="s">
        <v>3074</v>
      </c>
      <c r="C1064">
        <v>61</v>
      </c>
      <c r="D1064" t="s">
        <v>27</v>
      </c>
      <c r="E1064" t="s">
        <v>28</v>
      </c>
      <c r="F1064" t="s">
        <v>29</v>
      </c>
      <c r="G1064" t="s">
        <v>29</v>
      </c>
      <c r="H1064">
        <v>6</v>
      </c>
      <c r="I1064" t="s">
        <v>30</v>
      </c>
      <c r="J1064" t="s">
        <v>3075</v>
      </c>
      <c r="K1064" t="s">
        <v>3076</v>
      </c>
      <c r="L1064" t="s">
        <v>75</v>
      </c>
      <c r="M1064" s="4" t="s">
        <v>94</v>
      </c>
      <c r="N1064" t="s">
        <v>333</v>
      </c>
      <c r="P1064" s="3" t="s">
        <v>36</v>
      </c>
      <c r="Q1064" s="3" t="s">
        <v>45</v>
      </c>
      <c r="R1064">
        <v>1</v>
      </c>
      <c r="S1064" s="5">
        <v>45937</v>
      </c>
      <c r="T1064" t="s">
        <v>38</v>
      </c>
      <c r="U1064">
        <f t="shared" ca="1" si="96"/>
        <v>22</v>
      </c>
      <c r="V1064" s="6">
        <f t="shared" ca="1" si="97"/>
        <v>46024</v>
      </c>
      <c r="W1064" s="6">
        <f t="shared" ca="1" si="98"/>
        <v>46030</v>
      </c>
      <c r="X1064" t="str">
        <f t="shared" ca="1" si="99"/>
        <v>Jan 2 to Jan 8</v>
      </c>
      <c r="Y1064" t="str">
        <f t="shared" ca="1" si="100"/>
        <v>⚪ SCHEDULED</v>
      </c>
      <c r="Z1064" t="str">
        <f t="shared" ca="1" si="101"/>
        <v>No action needed yet</v>
      </c>
    </row>
    <row r="1065" spans="1:26">
      <c r="A1065">
        <v>1071039513</v>
      </c>
      <c r="B1065" s="3" t="s">
        <v>3077</v>
      </c>
      <c r="C1065">
        <v>34</v>
      </c>
      <c r="D1065" t="s">
        <v>27</v>
      </c>
      <c r="E1065" t="s">
        <v>28</v>
      </c>
      <c r="F1065" t="s">
        <v>29</v>
      </c>
      <c r="G1065" t="s">
        <v>28</v>
      </c>
      <c r="H1065">
        <v>1</v>
      </c>
      <c r="I1065" t="s">
        <v>55</v>
      </c>
      <c r="J1065" t="s">
        <v>3078</v>
      </c>
      <c r="K1065" t="s">
        <v>3079</v>
      </c>
      <c r="M1065" s="4" t="s">
        <v>34</v>
      </c>
      <c r="N1065" t="s">
        <v>64</v>
      </c>
      <c r="P1065" s="3" t="s">
        <v>36</v>
      </c>
      <c r="Q1065" s="3" t="s">
        <v>107</v>
      </c>
      <c r="R1065">
        <v>1</v>
      </c>
      <c r="S1065" s="5">
        <v>45432</v>
      </c>
      <c r="T1065" t="s">
        <v>393</v>
      </c>
      <c r="U1065">
        <f t="shared" ca="1" si="96"/>
        <v>57</v>
      </c>
      <c r="V1065" s="6">
        <f t="shared" ca="1" si="97"/>
        <v>46059</v>
      </c>
      <c r="W1065" s="6">
        <f t="shared" ca="1" si="98"/>
        <v>46065</v>
      </c>
      <c r="X1065" t="str">
        <f t="shared" ca="1" si="99"/>
        <v>Feb 6 to Feb 12</v>
      </c>
      <c r="Y1065" t="str">
        <f t="shared" ca="1" si="100"/>
        <v>⚪ SCHEDULED</v>
      </c>
      <c r="Z1065" t="str">
        <f t="shared" ca="1" si="101"/>
        <v>No action needed yet</v>
      </c>
    </row>
    <row r="1066" spans="1:26">
      <c r="A1066">
        <v>1071045460</v>
      </c>
      <c r="B1066" s="3" t="s">
        <v>3080</v>
      </c>
      <c r="C1066">
        <v>51</v>
      </c>
      <c r="D1066" t="s">
        <v>27</v>
      </c>
      <c r="E1066" t="s">
        <v>29</v>
      </c>
      <c r="F1066" t="s">
        <v>29</v>
      </c>
      <c r="G1066" t="s">
        <v>29</v>
      </c>
      <c r="H1066">
        <v>6</v>
      </c>
      <c r="I1066" t="s">
        <v>30</v>
      </c>
      <c r="J1066" t="s">
        <v>3081</v>
      </c>
      <c r="K1066" t="s">
        <v>3082</v>
      </c>
      <c r="L1066" t="s">
        <v>75</v>
      </c>
      <c r="M1066" s="4" t="s">
        <v>94</v>
      </c>
      <c r="N1066" t="s">
        <v>76</v>
      </c>
      <c r="P1066" s="3" t="s">
        <v>36</v>
      </c>
      <c r="Q1066" s="3" t="s">
        <v>90</v>
      </c>
      <c r="R1066">
        <v>1</v>
      </c>
      <c r="S1066" s="5">
        <v>45952</v>
      </c>
      <c r="T1066" t="s">
        <v>38</v>
      </c>
      <c r="U1066">
        <f t="shared" ca="1" si="96"/>
        <v>7</v>
      </c>
      <c r="V1066" s="6">
        <f t="shared" ca="1" si="97"/>
        <v>46009</v>
      </c>
      <c r="W1066" s="6">
        <f t="shared" ca="1" si="98"/>
        <v>46015</v>
      </c>
      <c r="X1066" t="str">
        <f t="shared" ca="1" si="99"/>
        <v>Dec 18 to Dec 24</v>
      </c>
      <c r="Y1066" t="str">
        <f t="shared" ca="1" si="100"/>
        <v>🟢 THIS WEEK</v>
      </c>
      <c r="Z1066" t="str">
        <f t="shared" ca="1" si="101"/>
        <v>Confirm appointment</v>
      </c>
    </row>
    <row r="1067" spans="1:26">
      <c r="A1067">
        <v>1071336430</v>
      </c>
      <c r="B1067" s="3" t="s">
        <v>3083</v>
      </c>
      <c r="C1067">
        <v>34</v>
      </c>
      <c r="D1067" t="s">
        <v>47</v>
      </c>
      <c r="E1067" t="s">
        <v>54</v>
      </c>
      <c r="F1067" t="s">
        <v>54</v>
      </c>
      <c r="G1067" t="s">
        <v>54</v>
      </c>
      <c r="H1067">
        <v>0</v>
      </c>
      <c r="I1067" t="s">
        <v>55</v>
      </c>
      <c r="J1067" t="s">
        <v>388</v>
      </c>
      <c r="K1067" t="s">
        <v>2625</v>
      </c>
      <c r="L1067" t="s">
        <v>33</v>
      </c>
      <c r="M1067" s="4" t="s">
        <v>34</v>
      </c>
      <c r="N1067" t="s">
        <v>59</v>
      </c>
      <c r="P1067" s="3" t="s">
        <v>36</v>
      </c>
      <c r="Q1067" s="3" t="s">
        <v>107</v>
      </c>
      <c r="R1067">
        <v>2</v>
      </c>
      <c r="S1067" s="5">
        <v>45874</v>
      </c>
      <c r="T1067" t="s">
        <v>393</v>
      </c>
      <c r="U1067">
        <f t="shared" ca="1" si="96"/>
        <v>49</v>
      </c>
      <c r="V1067" s="6">
        <f t="shared" ca="1" si="97"/>
        <v>46051</v>
      </c>
      <c r="W1067" s="6">
        <f t="shared" ca="1" si="98"/>
        <v>46057</v>
      </c>
      <c r="X1067" t="str">
        <f t="shared" ca="1" si="99"/>
        <v>Jan 29 to Feb 4</v>
      </c>
      <c r="Y1067" t="str">
        <f t="shared" ca="1" si="100"/>
        <v>⚪ SCHEDULED</v>
      </c>
      <c r="Z1067" t="str">
        <f t="shared" ca="1" si="101"/>
        <v>No action needed yet</v>
      </c>
    </row>
    <row r="1068" spans="1:26">
      <c r="A1068">
        <v>1071361065</v>
      </c>
      <c r="B1068" s="3" t="s">
        <v>3084</v>
      </c>
      <c r="C1068">
        <v>38</v>
      </c>
      <c r="D1068" t="s">
        <v>27</v>
      </c>
      <c r="E1068" t="s">
        <v>54</v>
      </c>
      <c r="F1068" t="s">
        <v>54</v>
      </c>
      <c r="G1068" t="s">
        <v>54</v>
      </c>
      <c r="H1068">
        <v>0</v>
      </c>
      <c r="I1068" t="s">
        <v>55</v>
      </c>
      <c r="J1068" t="s">
        <v>3085</v>
      </c>
      <c r="K1068" t="s">
        <v>3086</v>
      </c>
      <c r="L1068" t="s">
        <v>258</v>
      </c>
      <c r="M1068" s="4" t="s">
        <v>43</v>
      </c>
      <c r="N1068" t="s">
        <v>59</v>
      </c>
      <c r="P1068" s="3" t="s">
        <v>36</v>
      </c>
      <c r="Q1068" s="3" t="s">
        <v>107</v>
      </c>
      <c r="R1068">
        <v>1</v>
      </c>
      <c r="S1068" s="5">
        <v>45983</v>
      </c>
      <c r="T1068" t="s">
        <v>393</v>
      </c>
      <c r="U1068">
        <f t="shared" ca="1" si="96"/>
        <v>68</v>
      </c>
      <c r="V1068" s="6">
        <f t="shared" ca="1" si="97"/>
        <v>46070</v>
      </c>
      <c r="W1068" s="6">
        <f t="shared" ca="1" si="98"/>
        <v>46076</v>
      </c>
      <c r="X1068" t="str">
        <f t="shared" ca="1" si="99"/>
        <v>Feb 17 to Feb 23</v>
      </c>
      <c r="Y1068" t="str">
        <f t="shared" ca="1" si="100"/>
        <v>⚪ SCHEDULED</v>
      </c>
      <c r="Z1068" t="str">
        <f t="shared" ca="1" si="101"/>
        <v>No action needed yet</v>
      </c>
    </row>
    <row r="1069" spans="1:26">
      <c r="A1069">
        <v>1071432601</v>
      </c>
      <c r="B1069" s="3" t="s">
        <v>3087</v>
      </c>
      <c r="C1069">
        <v>49</v>
      </c>
      <c r="D1069" t="s">
        <v>47</v>
      </c>
      <c r="E1069" t="s">
        <v>29</v>
      </c>
      <c r="F1069" t="s">
        <v>29</v>
      </c>
      <c r="G1069" t="s">
        <v>29</v>
      </c>
      <c r="H1069">
        <v>5</v>
      </c>
      <c r="I1069" t="s">
        <v>30</v>
      </c>
      <c r="J1069" t="s">
        <v>3088</v>
      </c>
      <c r="K1069" t="s">
        <v>3089</v>
      </c>
      <c r="L1069" t="s">
        <v>105</v>
      </c>
      <c r="M1069" s="4" t="s">
        <v>43</v>
      </c>
      <c r="N1069" t="s">
        <v>171</v>
      </c>
      <c r="P1069" s="3" t="s">
        <v>36</v>
      </c>
      <c r="Q1069" s="3" t="s">
        <v>107</v>
      </c>
      <c r="R1069">
        <v>1</v>
      </c>
      <c r="S1069" s="5">
        <v>45864</v>
      </c>
      <c r="T1069" t="s">
        <v>38</v>
      </c>
      <c r="U1069">
        <f t="shared" ca="1" si="96"/>
        <v>9</v>
      </c>
      <c r="V1069" s="6">
        <f t="shared" ca="1" si="97"/>
        <v>46011</v>
      </c>
      <c r="W1069" s="6">
        <f t="shared" ca="1" si="98"/>
        <v>46017</v>
      </c>
      <c r="X1069" t="str">
        <f t="shared" ca="1" si="99"/>
        <v>Dec 20 to Dec 26</v>
      </c>
      <c r="Y1069" t="str">
        <f t="shared" ca="1" si="100"/>
        <v>🔵 NEXT 2 WEEKS</v>
      </c>
      <c r="Z1069" t="str">
        <f t="shared" ca="1" si="101"/>
        <v>Send reminder SMS</v>
      </c>
    </row>
    <row r="1070" spans="1:26">
      <c r="A1070">
        <v>1071436008</v>
      </c>
      <c r="B1070" s="3" t="s">
        <v>3090</v>
      </c>
      <c r="C1070">
        <v>43</v>
      </c>
      <c r="D1070" t="s">
        <v>47</v>
      </c>
      <c r="E1070" t="s">
        <v>28</v>
      </c>
      <c r="F1070" t="s">
        <v>29</v>
      </c>
      <c r="G1070" t="s">
        <v>29</v>
      </c>
      <c r="H1070">
        <v>4</v>
      </c>
      <c r="I1070" t="s">
        <v>66</v>
      </c>
      <c r="J1070" t="s">
        <v>3091</v>
      </c>
      <c r="K1070" t="s">
        <v>3092</v>
      </c>
      <c r="L1070" t="s">
        <v>166</v>
      </c>
      <c r="M1070" s="4" t="s">
        <v>34</v>
      </c>
      <c r="N1070" t="s">
        <v>333</v>
      </c>
      <c r="P1070" s="3" t="s">
        <v>36</v>
      </c>
      <c r="Q1070" s="3" t="s">
        <v>90</v>
      </c>
      <c r="R1070">
        <v>1</v>
      </c>
      <c r="S1070" s="5">
        <v>45792</v>
      </c>
      <c r="T1070" t="s">
        <v>38</v>
      </c>
      <c r="U1070">
        <f t="shared" ca="1" si="96"/>
        <v>27</v>
      </c>
      <c r="V1070" s="6">
        <f t="shared" ca="1" si="97"/>
        <v>46029</v>
      </c>
      <c r="W1070" s="6">
        <f t="shared" ca="1" si="98"/>
        <v>46035</v>
      </c>
      <c r="X1070" t="str">
        <f t="shared" ca="1" si="99"/>
        <v>Jan 7 to Jan 13</v>
      </c>
      <c r="Y1070" t="str">
        <f t="shared" ca="1" si="100"/>
        <v>⚪ SCHEDULED</v>
      </c>
      <c r="Z1070" t="str">
        <f t="shared" ca="1" si="101"/>
        <v>No action needed yet</v>
      </c>
    </row>
    <row r="1071" spans="1:26">
      <c r="A1071">
        <v>1071525420</v>
      </c>
      <c r="B1071" s="3" t="s">
        <v>3093</v>
      </c>
      <c r="C1071">
        <v>60</v>
      </c>
      <c r="D1071" t="s">
        <v>27</v>
      </c>
      <c r="E1071" t="s">
        <v>28</v>
      </c>
      <c r="F1071" t="s">
        <v>28</v>
      </c>
      <c r="G1071" t="s">
        <v>29</v>
      </c>
      <c r="H1071">
        <v>5</v>
      </c>
      <c r="I1071" t="s">
        <v>30</v>
      </c>
      <c r="J1071" t="s">
        <v>3094</v>
      </c>
      <c r="K1071" t="s">
        <v>3095</v>
      </c>
      <c r="L1071" t="s">
        <v>114</v>
      </c>
      <c r="M1071" s="4" t="s">
        <v>34</v>
      </c>
      <c r="N1071" t="s">
        <v>140</v>
      </c>
      <c r="P1071" s="3" t="s">
        <v>36</v>
      </c>
      <c r="Q1071" s="3" t="s">
        <v>230</v>
      </c>
      <c r="R1071">
        <v>2</v>
      </c>
      <c r="S1071" s="5">
        <v>45787</v>
      </c>
      <c r="T1071" t="s">
        <v>38</v>
      </c>
      <c r="U1071">
        <f t="shared" ca="1" si="96"/>
        <v>22</v>
      </c>
      <c r="V1071" s="6">
        <f t="shared" ca="1" si="97"/>
        <v>46024</v>
      </c>
      <c r="W1071" s="6">
        <f t="shared" ca="1" si="98"/>
        <v>46030</v>
      </c>
      <c r="X1071" t="str">
        <f t="shared" ca="1" si="99"/>
        <v>Jan 2 to Jan 8</v>
      </c>
      <c r="Y1071" t="str">
        <f t="shared" ca="1" si="100"/>
        <v>⚪ SCHEDULED</v>
      </c>
      <c r="Z1071" t="str">
        <f t="shared" ca="1" si="101"/>
        <v>No action needed yet</v>
      </c>
    </row>
    <row r="1072" spans="1:26">
      <c r="A1072">
        <v>1071589459</v>
      </c>
      <c r="B1072" s="3" t="s">
        <v>3096</v>
      </c>
      <c r="C1072">
        <v>63</v>
      </c>
      <c r="D1072" t="s">
        <v>27</v>
      </c>
      <c r="E1072" t="s">
        <v>29</v>
      </c>
      <c r="F1072" t="s">
        <v>28</v>
      </c>
      <c r="G1072" t="s">
        <v>29</v>
      </c>
      <c r="H1072">
        <v>6</v>
      </c>
      <c r="I1072" t="s">
        <v>30</v>
      </c>
      <c r="J1072" t="s">
        <v>3097</v>
      </c>
      <c r="K1072" t="s">
        <v>3098</v>
      </c>
      <c r="M1072" s="4" t="s">
        <v>43</v>
      </c>
      <c r="N1072" t="s">
        <v>95</v>
      </c>
      <c r="P1072" s="3" t="s">
        <v>36</v>
      </c>
      <c r="Q1072" s="3" t="s">
        <v>45</v>
      </c>
      <c r="R1072">
        <v>1</v>
      </c>
      <c r="S1072" s="5">
        <v>45862</v>
      </c>
      <c r="T1072" t="s">
        <v>38</v>
      </c>
      <c r="U1072">
        <f t="shared" ca="1" si="96"/>
        <v>7</v>
      </c>
      <c r="V1072" s="6">
        <f t="shared" ca="1" si="97"/>
        <v>46009</v>
      </c>
      <c r="W1072" s="6">
        <f t="shared" ca="1" si="98"/>
        <v>46015</v>
      </c>
      <c r="X1072" t="str">
        <f t="shared" ca="1" si="99"/>
        <v>Dec 18 to Dec 24</v>
      </c>
      <c r="Y1072" t="str">
        <f t="shared" ca="1" si="100"/>
        <v>🟢 THIS WEEK</v>
      </c>
      <c r="Z1072" t="str">
        <f t="shared" ca="1" si="101"/>
        <v>Confirm appointment</v>
      </c>
    </row>
    <row r="1073" spans="1:26">
      <c r="A1073">
        <v>1072393182</v>
      </c>
      <c r="B1073" s="3" t="s">
        <v>3099</v>
      </c>
      <c r="C1073">
        <v>34</v>
      </c>
      <c r="D1073" t="s">
        <v>47</v>
      </c>
      <c r="E1073" t="s">
        <v>28</v>
      </c>
      <c r="F1073" t="s">
        <v>29</v>
      </c>
      <c r="G1073" t="s">
        <v>29</v>
      </c>
      <c r="H1073">
        <v>3</v>
      </c>
      <c r="I1073" t="s">
        <v>66</v>
      </c>
      <c r="J1073" t="s">
        <v>775</v>
      </c>
      <c r="K1073" t="s">
        <v>3100</v>
      </c>
      <c r="L1073" t="s">
        <v>139</v>
      </c>
      <c r="M1073" s="4" t="s">
        <v>34</v>
      </c>
      <c r="N1073" t="s">
        <v>209</v>
      </c>
      <c r="P1073" s="3" t="s">
        <v>36</v>
      </c>
      <c r="Q1073" s="3" t="s">
        <v>84</v>
      </c>
      <c r="R1073">
        <v>1</v>
      </c>
      <c r="S1073" s="5">
        <v>45793</v>
      </c>
      <c r="T1073" t="s">
        <v>38</v>
      </c>
      <c r="U1073">
        <f t="shared" ca="1" si="96"/>
        <v>28</v>
      </c>
      <c r="V1073" s="6">
        <f t="shared" ca="1" si="97"/>
        <v>46030</v>
      </c>
      <c r="W1073" s="6">
        <f t="shared" ca="1" si="98"/>
        <v>46036</v>
      </c>
      <c r="X1073" t="str">
        <f t="shared" ca="1" si="99"/>
        <v>Jan 8 to Jan 14</v>
      </c>
      <c r="Y1073" t="str">
        <f t="shared" ca="1" si="100"/>
        <v>⚪ SCHEDULED</v>
      </c>
      <c r="Z1073" t="str">
        <f t="shared" ca="1" si="101"/>
        <v>No action needed yet</v>
      </c>
    </row>
    <row r="1074" spans="1:26">
      <c r="A1074">
        <v>1072451477</v>
      </c>
      <c r="B1074" s="3" t="s">
        <v>3101</v>
      </c>
      <c r="C1074">
        <v>55</v>
      </c>
      <c r="D1074" t="s">
        <v>27</v>
      </c>
      <c r="E1074" t="s">
        <v>29</v>
      </c>
      <c r="F1074" t="s">
        <v>28</v>
      </c>
      <c r="G1074" t="s">
        <v>28</v>
      </c>
      <c r="H1074">
        <v>4</v>
      </c>
      <c r="I1074" t="s">
        <v>66</v>
      </c>
      <c r="J1074" t="s">
        <v>388</v>
      </c>
      <c r="K1074" t="s">
        <v>2759</v>
      </c>
      <c r="L1074" t="s">
        <v>33</v>
      </c>
      <c r="M1074" s="4" t="s">
        <v>34</v>
      </c>
      <c r="N1074" t="s">
        <v>148</v>
      </c>
      <c r="P1074" s="3" t="s">
        <v>36</v>
      </c>
      <c r="Q1074" s="3" t="s">
        <v>313</v>
      </c>
      <c r="R1074">
        <v>2</v>
      </c>
      <c r="S1074" s="5">
        <v>45622</v>
      </c>
      <c r="T1074" t="s">
        <v>38</v>
      </c>
      <c r="U1074">
        <f t="shared" ca="1" si="96"/>
        <v>7</v>
      </c>
      <c r="V1074" s="6">
        <f t="shared" ca="1" si="97"/>
        <v>46009</v>
      </c>
      <c r="W1074" s="6">
        <f t="shared" ca="1" si="98"/>
        <v>46015</v>
      </c>
      <c r="X1074" t="str">
        <f t="shared" ca="1" si="99"/>
        <v>Dec 18 to Dec 24</v>
      </c>
      <c r="Y1074" t="str">
        <f t="shared" ca="1" si="100"/>
        <v>🟢 THIS WEEK</v>
      </c>
      <c r="Z1074" t="str">
        <f t="shared" ca="1" si="101"/>
        <v>Confirm appointment</v>
      </c>
    </row>
    <row r="1075" spans="1:26">
      <c r="A1075">
        <v>1072582172</v>
      </c>
      <c r="B1075" s="3" t="s">
        <v>3102</v>
      </c>
      <c r="C1075">
        <v>52</v>
      </c>
      <c r="D1075" t="s">
        <v>27</v>
      </c>
      <c r="E1075" t="s">
        <v>29</v>
      </c>
      <c r="F1075" t="s">
        <v>29</v>
      </c>
      <c r="G1075" t="s">
        <v>28</v>
      </c>
      <c r="H1075">
        <v>4</v>
      </c>
      <c r="I1075" t="s">
        <v>66</v>
      </c>
      <c r="J1075" t="s">
        <v>1097</v>
      </c>
      <c r="K1075" t="s">
        <v>3103</v>
      </c>
      <c r="M1075" s="4" t="s">
        <v>43</v>
      </c>
      <c r="N1075" t="s">
        <v>144</v>
      </c>
      <c r="P1075" s="3" t="s">
        <v>36</v>
      </c>
      <c r="Q1075" s="3" t="s">
        <v>45</v>
      </c>
      <c r="R1075">
        <v>2</v>
      </c>
      <c r="S1075" s="5">
        <v>45922</v>
      </c>
      <c r="T1075" t="s">
        <v>38</v>
      </c>
      <c r="U1075">
        <f t="shared" ca="1" si="96"/>
        <v>7</v>
      </c>
      <c r="V1075" s="6">
        <f t="shared" ca="1" si="97"/>
        <v>46009</v>
      </c>
      <c r="W1075" s="6">
        <f t="shared" ca="1" si="98"/>
        <v>46015</v>
      </c>
      <c r="X1075" t="str">
        <f t="shared" ca="1" si="99"/>
        <v>Dec 18 to Dec 24</v>
      </c>
      <c r="Y1075" t="str">
        <f t="shared" ca="1" si="100"/>
        <v>🟢 THIS WEEK</v>
      </c>
      <c r="Z1075" t="str">
        <f t="shared" ca="1" si="101"/>
        <v>Confirm appointment</v>
      </c>
    </row>
    <row r="1076" spans="1:26">
      <c r="A1076">
        <v>1072711581</v>
      </c>
      <c r="B1076" s="3" t="s">
        <v>3104</v>
      </c>
      <c r="C1076">
        <v>87</v>
      </c>
      <c r="D1076" t="s">
        <v>27</v>
      </c>
      <c r="E1076" t="s">
        <v>29</v>
      </c>
      <c r="F1076" t="s">
        <v>29</v>
      </c>
      <c r="G1076" t="s">
        <v>28</v>
      </c>
      <c r="H1076">
        <v>7</v>
      </c>
      <c r="I1076" t="s">
        <v>30</v>
      </c>
      <c r="J1076" t="s">
        <v>3105</v>
      </c>
      <c r="K1076" t="s">
        <v>3106</v>
      </c>
      <c r="L1076" t="s">
        <v>2418</v>
      </c>
      <c r="M1076" s="4" t="s">
        <v>34</v>
      </c>
      <c r="N1076" t="s">
        <v>119</v>
      </c>
      <c r="P1076" s="3" t="s">
        <v>36</v>
      </c>
      <c r="Q1076" s="3" t="s">
        <v>969</v>
      </c>
      <c r="R1076">
        <v>2</v>
      </c>
      <c r="S1076" s="5">
        <v>45443</v>
      </c>
      <c r="T1076" t="s">
        <v>38</v>
      </c>
      <c r="U1076">
        <f t="shared" ca="1" si="96"/>
        <v>8</v>
      </c>
      <c r="V1076" s="6">
        <f t="shared" ca="1" si="97"/>
        <v>46010</v>
      </c>
      <c r="W1076" s="6">
        <f t="shared" ca="1" si="98"/>
        <v>46016</v>
      </c>
      <c r="X1076" t="str">
        <f t="shared" ca="1" si="99"/>
        <v>Dec 19 to Dec 25</v>
      </c>
      <c r="Y1076" t="str">
        <f t="shared" ca="1" si="100"/>
        <v>🔵 NEXT 2 WEEKS</v>
      </c>
      <c r="Z1076" t="str">
        <f t="shared" ca="1" si="101"/>
        <v>Send reminder SMS</v>
      </c>
    </row>
    <row r="1077" spans="1:26">
      <c r="A1077">
        <v>1073317966</v>
      </c>
      <c r="B1077" s="3" t="s">
        <v>3107</v>
      </c>
      <c r="C1077">
        <v>35</v>
      </c>
      <c r="D1077" t="s">
        <v>27</v>
      </c>
      <c r="E1077" t="s">
        <v>28</v>
      </c>
      <c r="F1077" t="s">
        <v>28</v>
      </c>
      <c r="G1077" t="s">
        <v>28</v>
      </c>
      <c r="H1077">
        <v>0</v>
      </c>
      <c r="I1077" t="s">
        <v>55</v>
      </c>
      <c r="J1077" t="s">
        <v>3108</v>
      </c>
      <c r="K1077" t="s">
        <v>3109</v>
      </c>
      <c r="M1077" s="4" t="s">
        <v>43</v>
      </c>
      <c r="N1077" t="s">
        <v>59</v>
      </c>
      <c r="P1077" s="3" t="s">
        <v>36</v>
      </c>
      <c r="Q1077" s="3" t="s">
        <v>3110</v>
      </c>
      <c r="R1077">
        <v>2</v>
      </c>
      <c r="S1077" s="5">
        <v>45954</v>
      </c>
      <c r="T1077" t="s">
        <v>393</v>
      </c>
      <c r="U1077">
        <f t="shared" ca="1" si="96"/>
        <v>39</v>
      </c>
      <c r="V1077" s="6">
        <f t="shared" ca="1" si="97"/>
        <v>46041</v>
      </c>
      <c r="W1077" s="6">
        <f t="shared" ca="1" si="98"/>
        <v>46047</v>
      </c>
      <c r="X1077" t="str">
        <f t="shared" ca="1" si="99"/>
        <v>Jan 19 to Jan 25</v>
      </c>
      <c r="Y1077" t="str">
        <f t="shared" ca="1" si="100"/>
        <v>⚪ SCHEDULED</v>
      </c>
      <c r="Z1077" t="str">
        <f t="shared" ca="1" si="101"/>
        <v>No action needed yet</v>
      </c>
    </row>
    <row r="1078" spans="1:26">
      <c r="A1078">
        <v>1073477661</v>
      </c>
      <c r="B1078" s="3" t="s">
        <v>3111</v>
      </c>
      <c r="C1078">
        <v>43</v>
      </c>
      <c r="D1078" t="s">
        <v>47</v>
      </c>
      <c r="E1078" t="s">
        <v>28</v>
      </c>
      <c r="F1078" t="s">
        <v>29</v>
      </c>
      <c r="G1078" t="s">
        <v>29</v>
      </c>
      <c r="H1078">
        <v>3</v>
      </c>
      <c r="I1078" t="s">
        <v>66</v>
      </c>
      <c r="J1078" t="s">
        <v>3112</v>
      </c>
      <c r="K1078" t="s">
        <v>3113</v>
      </c>
      <c r="L1078" t="s">
        <v>69</v>
      </c>
      <c r="M1078" s="4" t="s">
        <v>43</v>
      </c>
      <c r="N1078" t="s">
        <v>1126</v>
      </c>
      <c r="P1078" s="3" t="s">
        <v>36</v>
      </c>
      <c r="Q1078" s="3" t="s">
        <v>365</v>
      </c>
      <c r="R1078">
        <v>2</v>
      </c>
      <c r="S1078" s="5">
        <v>45881</v>
      </c>
      <c r="T1078" t="s">
        <v>38</v>
      </c>
      <c r="U1078">
        <f t="shared" ca="1" si="96"/>
        <v>26</v>
      </c>
      <c r="V1078" s="6">
        <f t="shared" ca="1" si="97"/>
        <v>46028</v>
      </c>
      <c r="W1078" s="6">
        <f t="shared" ca="1" si="98"/>
        <v>46034</v>
      </c>
      <c r="X1078" t="str">
        <f t="shared" ca="1" si="99"/>
        <v>Jan 6 to Jan 12</v>
      </c>
      <c r="Y1078" t="str">
        <f t="shared" ca="1" si="100"/>
        <v>⚪ SCHEDULED</v>
      </c>
      <c r="Z1078" t="str">
        <f t="shared" ca="1" si="101"/>
        <v>No action needed yet</v>
      </c>
    </row>
    <row r="1079" spans="1:26">
      <c r="A1079">
        <v>1074162023</v>
      </c>
      <c r="B1079" s="3" t="s">
        <v>3114</v>
      </c>
      <c r="C1079">
        <v>55</v>
      </c>
      <c r="D1079" t="s">
        <v>27</v>
      </c>
      <c r="E1079" t="s">
        <v>29</v>
      </c>
      <c r="F1079" t="s">
        <v>28</v>
      </c>
      <c r="G1079" t="s">
        <v>29</v>
      </c>
      <c r="H1079">
        <v>5</v>
      </c>
      <c r="I1079" t="s">
        <v>30</v>
      </c>
      <c r="J1079" t="s">
        <v>3115</v>
      </c>
      <c r="K1079" t="s">
        <v>3116</v>
      </c>
      <c r="L1079" t="s">
        <v>105</v>
      </c>
      <c r="M1079" s="4" t="s">
        <v>43</v>
      </c>
      <c r="N1079" t="s">
        <v>182</v>
      </c>
      <c r="P1079" s="3" t="s">
        <v>36</v>
      </c>
      <c r="Q1079" s="3" t="s">
        <v>230</v>
      </c>
      <c r="R1079">
        <v>1</v>
      </c>
      <c r="S1079" s="5">
        <v>45869</v>
      </c>
      <c r="T1079" t="s">
        <v>38</v>
      </c>
      <c r="U1079">
        <f t="shared" ca="1" si="96"/>
        <v>14</v>
      </c>
      <c r="V1079" s="6">
        <f t="shared" ca="1" si="97"/>
        <v>46016</v>
      </c>
      <c r="W1079" s="6">
        <f t="shared" ca="1" si="98"/>
        <v>46022</v>
      </c>
      <c r="X1079" t="str">
        <f t="shared" ca="1" si="99"/>
        <v>Dec 25 to Dec 31</v>
      </c>
      <c r="Y1079" t="str">
        <f t="shared" ca="1" si="100"/>
        <v>🔵 NEXT 2 WEEKS</v>
      </c>
      <c r="Z1079" t="str">
        <f t="shared" ca="1" si="101"/>
        <v>Send reminder SMS</v>
      </c>
    </row>
    <row r="1080" spans="1:26">
      <c r="A1080">
        <v>1074235142</v>
      </c>
      <c r="B1080" s="3" t="s">
        <v>3117</v>
      </c>
      <c r="C1080">
        <v>56</v>
      </c>
      <c r="D1080" t="s">
        <v>27</v>
      </c>
      <c r="E1080" t="s">
        <v>29</v>
      </c>
      <c r="F1080" t="s">
        <v>28</v>
      </c>
      <c r="G1080" t="s">
        <v>29</v>
      </c>
      <c r="H1080">
        <v>5</v>
      </c>
      <c r="I1080" t="s">
        <v>30</v>
      </c>
      <c r="J1080" t="s">
        <v>1300</v>
      </c>
      <c r="K1080" t="s">
        <v>3118</v>
      </c>
      <c r="M1080" s="4" t="s">
        <v>34</v>
      </c>
      <c r="N1080" t="s">
        <v>95</v>
      </c>
      <c r="P1080" s="3" t="s">
        <v>36</v>
      </c>
      <c r="Q1080" s="3" t="s">
        <v>45</v>
      </c>
      <c r="R1080">
        <v>2</v>
      </c>
      <c r="S1080" s="5">
        <v>45829</v>
      </c>
      <c r="T1080" t="s">
        <v>38</v>
      </c>
      <c r="U1080">
        <f t="shared" ca="1" si="96"/>
        <v>4</v>
      </c>
      <c r="V1080" s="6">
        <f t="shared" ca="1" si="97"/>
        <v>46006</v>
      </c>
      <c r="W1080" s="6">
        <f t="shared" ca="1" si="98"/>
        <v>46012</v>
      </c>
      <c r="X1080" t="str">
        <f t="shared" ca="1" si="99"/>
        <v>Dec 15 to Dec 21</v>
      </c>
      <c r="Y1080" t="str">
        <f t="shared" ca="1" si="100"/>
        <v>🟢 THIS WEEK</v>
      </c>
      <c r="Z1080" t="str">
        <f t="shared" ca="1" si="101"/>
        <v>Confirm appointment</v>
      </c>
    </row>
    <row r="1081" spans="1:26">
      <c r="A1081">
        <v>1074255363</v>
      </c>
      <c r="B1081" s="3" t="s">
        <v>3119</v>
      </c>
      <c r="C1081">
        <v>62</v>
      </c>
      <c r="D1081" t="s">
        <v>27</v>
      </c>
      <c r="E1081" t="s">
        <v>29</v>
      </c>
      <c r="F1081" t="s">
        <v>29</v>
      </c>
      <c r="G1081" t="s">
        <v>28</v>
      </c>
      <c r="H1081">
        <v>5</v>
      </c>
      <c r="I1081" t="s">
        <v>30</v>
      </c>
      <c r="J1081" t="s">
        <v>3120</v>
      </c>
      <c r="K1081" t="s">
        <v>3121</v>
      </c>
      <c r="L1081" t="s">
        <v>88</v>
      </c>
      <c r="M1081" s="4" t="s">
        <v>43</v>
      </c>
      <c r="N1081" t="s">
        <v>119</v>
      </c>
      <c r="P1081" s="3" t="s">
        <v>36</v>
      </c>
      <c r="Q1081" s="3" t="s">
        <v>45</v>
      </c>
      <c r="R1081">
        <v>1</v>
      </c>
      <c r="S1081" s="5">
        <v>45923</v>
      </c>
      <c r="T1081" t="s">
        <v>38</v>
      </c>
      <c r="U1081">
        <f t="shared" ca="1" si="96"/>
        <v>8</v>
      </c>
      <c r="V1081" s="6">
        <f t="shared" ca="1" si="97"/>
        <v>46010</v>
      </c>
      <c r="W1081" s="6">
        <f t="shared" ca="1" si="98"/>
        <v>46016</v>
      </c>
      <c r="X1081" t="str">
        <f t="shared" ca="1" si="99"/>
        <v>Dec 19 to Dec 25</v>
      </c>
      <c r="Y1081" t="str">
        <f t="shared" ca="1" si="100"/>
        <v>🔵 NEXT 2 WEEKS</v>
      </c>
      <c r="Z1081" t="str">
        <f t="shared" ca="1" si="101"/>
        <v>Send reminder SMS</v>
      </c>
    </row>
    <row r="1082" spans="1:26">
      <c r="A1082">
        <v>1074485440</v>
      </c>
      <c r="B1082" s="3" t="s">
        <v>3122</v>
      </c>
      <c r="C1082">
        <v>53</v>
      </c>
      <c r="D1082" t="s">
        <v>27</v>
      </c>
      <c r="E1082" t="s">
        <v>29</v>
      </c>
      <c r="F1082" t="s">
        <v>29</v>
      </c>
      <c r="G1082" t="s">
        <v>29</v>
      </c>
      <c r="H1082">
        <v>6</v>
      </c>
      <c r="I1082" t="s">
        <v>30</v>
      </c>
      <c r="J1082" t="s">
        <v>3123</v>
      </c>
      <c r="K1082" t="s">
        <v>3124</v>
      </c>
      <c r="L1082" t="s">
        <v>1226</v>
      </c>
      <c r="M1082" s="4" t="s">
        <v>34</v>
      </c>
      <c r="N1082" t="s">
        <v>201</v>
      </c>
      <c r="P1082" s="3" t="s">
        <v>36</v>
      </c>
      <c r="Q1082" s="3" t="s">
        <v>77</v>
      </c>
      <c r="R1082">
        <v>2</v>
      </c>
      <c r="S1082" s="5">
        <v>45827</v>
      </c>
      <c r="T1082" t="s">
        <v>38</v>
      </c>
      <c r="U1082">
        <f t="shared" ca="1" si="96"/>
        <v>2</v>
      </c>
      <c r="V1082" s="6">
        <f t="shared" ca="1" si="97"/>
        <v>46004</v>
      </c>
      <c r="W1082" s="6">
        <f t="shared" ca="1" si="98"/>
        <v>46010</v>
      </c>
      <c r="X1082" t="str">
        <f t="shared" ca="1" si="99"/>
        <v>Dec 13 to Dec 19</v>
      </c>
      <c r="Y1082" t="str">
        <f t="shared" ca="1" si="100"/>
        <v>🟡 IMMINENT (within 3 days)</v>
      </c>
      <c r="Z1082" t="str">
        <f t="shared" ca="1" si="101"/>
        <v>Prepare medications TODAY</v>
      </c>
    </row>
    <row r="1083" spans="1:26">
      <c r="A1083">
        <v>1075268670</v>
      </c>
      <c r="B1083" s="3" t="s">
        <v>3125</v>
      </c>
      <c r="C1083">
        <v>73</v>
      </c>
      <c r="D1083" t="s">
        <v>27</v>
      </c>
      <c r="E1083" t="s">
        <v>29</v>
      </c>
      <c r="F1083" t="s">
        <v>29</v>
      </c>
      <c r="G1083" t="s">
        <v>28</v>
      </c>
      <c r="H1083">
        <v>7</v>
      </c>
      <c r="I1083" t="s">
        <v>30</v>
      </c>
      <c r="J1083" t="s">
        <v>3126</v>
      </c>
      <c r="K1083" t="s">
        <v>3127</v>
      </c>
      <c r="L1083" t="s">
        <v>244</v>
      </c>
      <c r="M1083" s="4" t="s">
        <v>43</v>
      </c>
      <c r="N1083" t="s">
        <v>106</v>
      </c>
      <c r="P1083" s="3" t="s">
        <v>36</v>
      </c>
      <c r="Q1083" s="3" t="s">
        <v>90</v>
      </c>
      <c r="R1083">
        <v>1</v>
      </c>
      <c r="S1083" s="5">
        <v>45871</v>
      </c>
      <c r="T1083" t="s">
        <v>38</v>
      </c>
      <c r="U1083">
        <f t="shared" ca="1" si="96"/>
        <v>16</v>
      </c>
      <c r="V1083" s="6">
        <f t="shared" ca="1" si="97"/>
        <v>46018</v>
      </c>
      <c r="W1083" s="6">
        <f t="shared" ca="1" si="98"/>
        <v>46024</v>
      </c>
      <c r="X1083" t="str">
        <f t="shared" ca="1" si="99"/>
        <v>Dec 27 to Jan 2</v>
      </c>
      <c r="Y1083" t="str">
        <f t="shared" ca="1" si="100"/>
        <v>⚪ SCHEDULED</v>
      </c>
      <c r="Z1083" t="str">
        <f t="shared" ca="1" si="101"/>
        <v>No action needed yet</v>
      </c>
    </row>
    <row r="1084" spans="1:26">
      <c r="A1084">
        <v>1075271526</v>
      </c>
      <c r="B1084" s="3" t="s">
        <v>3128</v>
      </c>
      <c r="C1084">
        <v>67</v>
      </c>
      <c r="D1084" t="s">
        <v>27</v>
      </c>
      <c r="E1084" t="s">
        <v>29</v>
      </c>
      <c r="F1084" t="s">
        <v>28</v>
      </c>
      <c r="G1084" t="s">
        <v>28</v>
      </c>
      <c r="H1084">
        <v>5</v>
      </c>
      <c r="I1084" t="s">
        <v>30</v>
      </c>
      <c r="J1084" t="s">
        <v>157</v>
      </c>
      <c r="K1084" t="s">
        <v>3129</v>
      </c>
      <c r="L1084" t="s">
        <v>33</v>
      </c>
      <c r="M1084" s="4" t="s">
        <v>43</v>
      </c>
      <c r="N1084" t="s">
        <v>148</v>
      </c>
      <c r="P1084" s="3" t="s">
        <v>36</v>
      </c>
      <c r="Q1084" s="3" t="s">
        <v>1636</v>
      </c>
      <c r="R1084">
        <v>2</v>
      </c>
      <c r="S1084" s="5">
        <v>45882</v>
      </c>
      <c r="T1084" t="s">
        <v>38</v>
      </c>
      <c r="U1084">
        <f t="shared" ca="1" si="96"/>
        <v>27</v>
      </c>
      <c r="V1084" s="6">
        <f t="shared" ca="1" si="97"/>
        <v>46029</v>
      </c>
      <c r="W1084" s="6">
        <f t="shared" ca="1" si="98"/>
        <v>46035</v>
      </c>
      <c r="X1084" t="str">
        <f t="shared" ca="1" si="99"/>
        <v>Jan 7 to Jan 13</v>
      </c>
      <c r="Y1084" t="str">
        <f t="shared" ca="1" si="100"/>
        <v>⚪ SCHEDULED</v>
      </c>
      <c r="Z1084" t="str">
        <f t="shared" ca="1" si="101"/>
        <v>No action needed yet</v>
      </c>
    </row>
    <row r="1085" spans="1:26">
      <c r="A1085">
        <v>1075327740</v>
      </c>
      <c r="B1085" s="3" t="s">
        <v>3130</v>
      </c>
      <c r="C1085">
        <v>35</v>
      </c>
      <c r="D1085" t="s">
        <v>27</v>
      </c>
      <c r="E1085" t="s">
        <v>28</v>
      </c>
      <c r="F1085" t="s">
        <v>28</v>
      </c>
      <c r="G1085" t="s">
        <v>28</v>
      </c>
      <c r="H1085">
        <v>1</v>
      </c>
      <c r="I1085" t="s">
        <v>55</v>
      </c>
      <c r="J1085" t="s">
        <v>168</v>
      </c>
      <c r="K1085" t="s">
        <v>1381</v>
      </c>
      <c r="L1085" t="s">
        <v>170</v>
      </c>
      <c r="M1085" s="4" t="s">
        <v>34</v>
      </c>
      <c r="N1085" t="s">
        <v>59</v>
      </c>
      <c r="P1085" s="3" t="s">
        <v>36</v>
      </c>
      <c r="Q1085" s="3" t="s">
        <v>123</v>
      </c>
      <c r="R1085">
        <v>2</v>
      </c>
      <c r="S1085" s="5">
        <v>45405</v>
      </c>
      <c r="T1085" t="s">
        <v>393</v>
      </c>
      <c r="U1085">
        <f t="shared" ca="1" si="96"/>
        <v>30</v>
      </c>
      <c r="V1085" s="6">
        <f t="shared" ca="1" si="97"/>
        <v>46032</v>
      </c>
      <c r="W1085" s="6">
        <f t="shared" ca="1" si="98"/>
        <v>46038</v>
      </c>
      <c r="X1085" t="str">
        <f t="shared" ca="1" si="99"/>
        <v>Jan 10 to Jan 16</v>
      </c>
      <c r="Y1085" t="str">
        <f t="shared" ca="1" si="100"/>
        <v>⚪ SCHEDULED</v>
      </c>
      <c r="Z1085" t="str">
        <f t="shared" ca="1" si="101"/>
        <v>No action needed yet</v>
      </c>
    </row>
    <row r="1086" spans="1:26">
      <c r="A1086">
        <v>1075362317</v>
      </c>
      <c r="B1086" s="3" t="s">
        <v>3131</v>
      </c>
      <c r="C1086">
        <v>43</v>
      </c>
      <c r="D1086" t="s">
        <v>47</v>
      </c>
      <c r="E1086" t="s">
        <v>29</v>
      </c>
      <c r="F1086" t="s">
        <v>29</v>
      </c>
      <c r="G1086" t="s">
        <v>28</v>
      </c>
      <c r="H1086">
        <v>4</v>
      </c>
      <c r="I1086" t="s">
        <v>66</v>
      </c>
      <c r="J1086" t="s">
        <v>458</v>
      </c>
      <c r="K1086" t="s">
        <v>3132</v>
      </c>
      <c r="M1086" s="4" t="s">
        <v>43</v>
      </c>
      <c r="N1086" t="s">
        <v>144</v>
      </c>
      <c r="P1086" s="3" t="s">
        <v>36</v>
      </c>
      <c r="Q1086" s="3" t="s">
        <v>3133</v>
      </c>
      <c r="R1086">
        <v>1</v>
      </c>
      <c r="S1086" s="5">
        <v>45919</v>
      </c>
      <c r="T1086" t="s">
        <v>38</v>
      </c>
      <c r="U1086">
        <f t="shared" ca="1" si="96"/>
        <v>4</v>
      </c>
      <c r="V1086" s="6">
        <f t="shared" ca="1" si="97"/>
        <v>46006</v>
      </c>
      <c r="W1086" s="6">
        <f t="shared" ca="1" si="98"/>
        <v>46012</v>
      </c>
      <c r="X1086" t="str">
        <f t="shared" ca="1" si="99"/>
        <v>Dec 15 to Dec 21</v>
      </c>
      <c r="Y1086" t="str">
        <f t="shared" ca="1" si="100"/>
        <v>🟢 THIS WEEK</v>
      </c>
      <c r="Z1086" t="str">
        <f t="shared" ca="1" si="101"/>
        <v>Confirm appointment</v>
      </c>
    </row>
    <row r="1087" spans="1:26">
      <c r="A1087">
        <v>1075440220</v>
      </c>
      <c r="B1087" s="3" t="s">
        <v>3134</v>
      </c>
      <c r="C1087">
        <v>82</v>
      </c>
      <c r="D1087" t="s">
        <v>27</v>
      </c>
      <c r="E1087" t="s">
        <v>29</v>
      </c>
      <c r="F1087" t="s">
        <v>29</v>
      </c>
      <c r="G1087" t="s">
        <v>28</v>
      </c>
      <c r="H1087">
        <v>6</v>
      </c>
      <c r="I1087" t="s">
        <v>30</v>
      </c>
      <c r="J1087" t="s">
        <v>184</v>
      </c>
      <c r="K1087" t="s">
        <v>424</v>
      </c>
      <c r="L1087" t="s">
        <v>186</v>
      </c>
      <c r="M1087" s="4" t="s">
        <v>43</v>
      </c>
      <c r="N1087" t="s">
        <v>144</v>
      </c>
      <c r="P1087" s="3" t="s">
        <v>36</v>
      </c>
      <c r="Q1087" s="3" t="s">
        <v>90</v>
      </c>
      <c r="R1087">
        <v>2</v>
      </c>
      <c r="S1087" s="5">
        <v>45924</v>
      </c>
      <c r="T1087" t="s">
        <v>38</v>
      </c>
      <c r="U1087">
        <f t="shared" ca="1" si="96"/>
        <v>9</v>
      </c>
      <c r="V1087" s="6">
        <f t="shared" ca="1" si="97"/>
        <v>46011</v>
      </c>
      <c r="W1087" s="6">
        <f t="shared" ca="1" si="98"/>
        <v>46017</v>
      </c>
      <c r="X1087" t="str">
        <f t="shared" ca="1" si="99"/>
        <v>Dec 20 to Dec 26</v>
      </c>
      <c r="Y1087" t="str">
        <f t="shared" ca="1" si="100"/>
        <v>🔵 NEXT 2 WEEKS</v>
      </c>
      <c r="Z1087" t="str">
        <f t="shared" ca="1" si="101"/>
        <v>Send reminder SMS</v>
      </c>
    </row>
    <row r="1088" spans="1:26">
      <c r="A1088">
        <v>1075458750</v>
      </c>
      <c r="B1088" s="3" t="s">
        <v>3135</v>
      </c>
      <c r="C1088">
        <v>65</v>
      </c>
      <c r="D1088" t="s">
        <v>27</v>
      </c>
      <c r="E1088" t="s">
        <v>29</v>
      </c>
      <c r="F1088" t="s">
        <v>29</v>
      </c>
      <c r="G1088" t="s">
        <v>29</v>
      </c>
      <c r="H1088">
        <v>7</v>
      </c>
      <c r="I1088" t="s">
        <v>30</v>
      </c>
      <c r="J1088" t="s">
        <v>3136</v>
      </c>
      <c r="K1088" t="s">
        <v>3137</v>
      </c>
      <c r="L1088" t="s">
        <v>509</v>
      </c>
      <c r="M1088" s="4" t="s">
        <v>34</v>
      </c>
      <c r="N1088" t="s">
        <v>201</v>
      </c>
      <c r="P1088" s="3" t="s">
        <v>36</v>
      </c>
      <c r="Q1088" s="3" t="s">
        <v>3138</v>
      </c>
      <c r="R1088">
        <v>2</v>
      </c>
      <c r="S1088" s="5">
        <v>45687</v>
      </c>
      <c r="T1088" t="s">
        <v>38</v>
      </c>
      <c r="U1088">
        <f t="shared" ca="1" si="96"/>
        <v>12</v>
      </c>
      <c r="V1088" s="6">
        <f t="shared" ca="1" si="97"/>
        <v>46014</v>
      </c>
      <c r="W1088" s="6">
        <f t="shared" ca="1" si="98"/>
        <v>46020</v>
      </c>
      <c r="X1088" t="str">
        <f t="shared" ca="1" si="99"/>
        <v>Dec 23 to Dec 29</v>
      </c>
      <c r="Y1088" t="str">
        <f t="shared" ca="1" si="100"/>
        <v>🔵 NEXT 2 WEEKS</v>
      </c>
      <c r="Z1088" t="str">
        <f t="shared" ca="1" si="101"/>
        <v>Send reminder SMS</v>
      </c>
    </row>
    <row r="1089" spans="1:26">
      <c r="A1089">
        <v>1076190923</v>
      </c>
      <c r="B1089" s="3" t="s">
        <v>3139</v>
      </c>
      <c r="C1089">
        <v>42</v>
      </c>
      <c r="D1089" t="s">
        <v>47</v>
      </c>
      <c r="E1089" t="s">
        <v>28</v>
      </c>
      <c r="F1089" t="s">
        <v>28</v>
      </c>
      <c r="G1089" t="s">
        <v>29</v>
      </c>
      <c r="H1089">
        <v>2</v>
      </c>
      <c r="I1089" t="s">
        <v>55</v>
      </c>
      <c r="J1089" t="s">
        <v>2307</v>
      </c>
      <c r="K1089" t="s">
        <v>3140</v>
      </c>
      <c r="M1089" s="4" t="s">
        <v>94</v>
      </c>
      <c r="N1089" t="s">
        <v>794</v>
      </c>
      <c r="P1089" s="3" t="s">
        <v>36</v>
      </c>
      <c r="Q1089" s="3" t="s">
        <v>45</v>
      </c>
      <c r="R1089">
        <v>1</v>
      </c>
      <c r="S1089" s="5">
        <v>45962</v>
      </c>
      <c r="T1089" t="s">
        <v>60</v>
      </c>
      <c r="U1089">
        <f t="shared" ca="1" si="96"/>
        <v>17</v>
      </c>
      <c r="V1089" s="6">
        <f t="shared" ca="1" si="97"/>
        <v>46019</v>
      </c>
      <c r="W1089" s="6">
        <f t="shared" ca="1" si="98"/>
        <v>46025</v>
      </c>
      <c r="X1089" t="str">
        <f t="shared" ca="1" si="99"/>
        <v>Dec 28 to Jan 3</v>
      </c>
      <c r="Y1089" t="str">
        <f t="shared" ca="1" si="100"/>
        <v>⚪ SCHEDULED</v>
      </c>
      <c r="Z1089" t="str">
        <f t="shared" ca="1" si="101"/>
        <v>No action needed yet</v>
      </c>
    </row>
    <row r="1090" spans="1:26">
      <c r="A1090">
        <v>1077054276</v>
      </c>
      <c r="B1090" s="3" t="s">
        <v>3141</v>
      </c>
      <c r="C1090">
        <v>38</v>
      </c>
      <c r="D1090" t="s">
        <v>47</v>
      </c>
      <c r="E1090" t="s">
        <v>28</v>
      </c>
      <c r="F1090" t="s">
        <v>29</v>
      </c>
      <c r="G1090" t="s">
        <v>28</v>
      </c>
      <c r="H1090">
        <v>2</v>
      </c>
      <c r="I1090" t="s">
        <v>55</v>
      </c>
      <c r="J1090" t="s">
        <v>125</v>
      </c>
      <c r="K1090" t="s">
        <v>383</v>
      </c>
      <c r="L1090" t="s">
        <v>69</v>
      </c>
      <c r="M1090" s="4" t="s">
        <v>34</v>
      </c>
      <c r="N1090" t="s">
        <v>70</v>
      </c>
      <c r="P1090" s="3" t="s">
        <v>36</v>
      </c>
      <c r="Q1090" s="3" t="s">
        <v>84</v>
      </c>
      <c r="R1090">
        <v>2</v>
      </c>
      <c r="S1090" s="5">
        <v>45495</v>
      </c>
      <c r="T1090" t="s">
        <v>60</v>
      </c>
      <c r="U1090">
        <f t="shared" ref="U1090:U1153" ca="1" si="102">IF(S1090&gt;=TODAY(),S1090,S1090+CEILING((TODAY()-S1090)/IF(T1090="Monthly",30,IF(T1090="Bi-Monthly",60,90)),1)*IF(T1090="Monthly",30,IF(T1090="Bi-Monthly",60,90)))-TODAY()</f>
        <v>30</v>
      </c>
      <c r="V1090" s="6">
        <f t="shared" ref="V1090:V1153" ca="1" si="103">IF(S1090&gt;=TODAY(),S1090,S1090+CEILING((TODAY()-S1090)/IF(T1090="Monthly",30,IF(T1090="Bi-Monthly",60,90)),1)*IF(T1090="Monthly",30,IF(T1090="Bi-Monthly",60,90)))-3</f>
        <v>46032</v>
      </c>
      <c r="W1090" s="6">
        <f t="shared" ref="W1090:W1153" ca="1" si="104">IF(S1090&gt;=TODAY(),S1090,S1090+CEILING((TODAY()-S1090)/IF(T1090="Monthly",30,IF(T1090="Bi-Monthly",60,90)),1)*IF(T1090="Monthly",30,IF(T1090="Bi-Monthly",60,90)))+3</f>
        <v>46038</v>
      </c>
      <c r="X1090" t="str">
        <f t="shared" ref="X1090:X1153" ca="1" si="105">TEXT(V1090,"MMM D")&amp;" to "&amp;TEXT(W1090,"MMM D")</f>
        <v>Jan 10 to Jan 16</v>
      </c>
      <c r="Y1090" t="str">
        <f t="shared" ref="Y1090:Y1153" ca="1" si="106">IF(U1090&lt;=3,"🟡 IMMINENT (within 3 days)",IF(U1090&lt;=7,"🟢 THIS WEEK",IF(U1090&lt;=14,"🔵 NEXT 2 WEEKS","⚪ SCHEDULED")))</f>
        <v>⚪ SCHEDULED</v>
      </c>
      <c r="Z1090" t="str">
        <f t="shared" ref="Z1090:Z1153" ca="1" si="107">IF(U1090&lt;=3,"Prepare medications TODAY",IF(U1090&lt;=7,"Confirm appointment",IF(U1090&lt;=14,"Send reminder SMS","No action needed yet")))</f>
        <v>No action needed yet</v>
      </c>
    </row>
    <row r="1091" spans="1:26">
      <c r="A1091">
        <v>1077171971</v>
      </c>
      <c r="B1091" s="3" t="s">
        <v>3142</v>
      </c>
      <c r="C1091">
        <v>59</v>
      </c>
      <c r="D1091" t="s">
        <v>27</v>
      </c>
      <c r="E1091" t="s">
        <v>29</v>
      </c>
      <c r="F1091" t="s">
        <v>29</v>
      </c>
      <c r="G1091" t="s">
        <v>29</v>
      </c>
      <c r="H1091">
        <v>5</v>
      </c>
      <c r="I1091" t="s">
        <v>30</v>
      </c>
      <c r="J1091" t="s">
        <v>3143</v>
      </c>
      <c r="K1091" t="s">
        <v>3144</v>
      </c>
      <c r="L1091" t="s">
        <v>208</v>
      </c>
      <c r="M1091" s="4" t="s">
        <v>34</v>
      </c>
      <c r="N1091" t="s">
        <v>201</v>
      </c>
      <c r="P1091" s="3" t="s">
        <v>36</v>
      </c>
      <c r="Q1091" s="3" t="s">
        <v>2540</v>
      </c>
      <c r="R1091">
        <v>2</v>
      </c>
      <c r="S1091" s="5">
        <v>45295</v>
      </c>
      <c r="T1091" t="s">
        <v>38</v>
      </c>
      <c r="U1091">
        <f t="shared" ca="1" si="102"/>
        <v>10</v>
      </c>
      <c r="V1091" s="6">
        <f t="shared" ca="1" si="103"/>
        <v>46012</v>
      </c>
      <c r="W1091" s="6">
        <f t="shared" ca="1" si="104"/>
        <v>46018</v>
      </c>
      <c r="X1091" t="str">
        <f t="shared" ca="1" si="105"/>
        <v>Dec 21 to Dec 27</v>
      </c>
      <c r="Y1091" t="str">
        <f t="shared" ca="1" si="106"/>
        <v>🔵 NEXT 2 WEEKS</v>
      </c>
      <c r="Z1091" t="str">
        <f t="shared" ca="1" si="107"/>
        <v>Send reminder SMS</v>
      </c>
    </row>
    <row r="1092" spans="1:26">
      <c r="A1092">
        <v>1077219929</v>
      </c>
      <c r="B1092" s="3" t="s">
        <v>3145</v>
      </c>
      <c r="C1092">
        <v>47</v>
      </c>
      <c r="D1092" t="s">
        <v>47</v>
      </c>
      <c r="E1092" t="s">
        <v>29</v>
      </c>
      <c r="F1092" t="s">
        <v>28</v>
      </c>
      <c r="G1092" t="s">
        <v>28</v>
      </c>
      <c r="H1092">
        <v>2</v>
      </c>
      <c r="I1092" t="s">
        <v>55</v>
      </c>
      <c r="J1092" t="s">
        <v>3146</v>
      </c>
      <c r="K1092" t="s">
        <v>3147</v>
      </c>
      <c r="L1092" t="s">
        <v>105</v>
      </c>
      <c r="M1092" s="4" t="s">
        <v>43</v>
      </c>
      <c r="N1092" t="s">
        <v>162</v>
      </c>
      <c r="P1092" s="3" t="s">
        <v>36</v>
      </c>
      <c r="Q1092" s="3" t="s">
        <v>84</v>
      </c>
      <c r="R1092">
        <v>1</v>
      </c>
      <c r="S1092" s="5">
        <v>45927</v>
      </c>
      <c r="T1092" t="s">
        <v>60</v>
      </c>
      <c r="U1092">
        <f t="shared" ca="1" si="102"/>
        <v>42</v>
      </c>
      <c r="V1092" s="6">
        <f t="shared" ca="1" si="103"/>
        <v>46044</v>
      </c>
      <c r="W1092" s="6">
        <f t="shared" ca="1" si="104"/>
        <v>46050</v>
      </c>
      <c r="X1092" t="str">
        <f t="shared" ca="1" si="105"/>
        <v>Jan 22 to Jan 28</v>
      </c>
      <c r="Y1092" t="str">
        <f t="shared" ca="1" si="106"/>
        <v>⚪ SCHEDULED</v>
      </c>
      <c r="Z1092" t="str">
        <f t="shared" ca="1" si="107"/>
        <v>No action needed yet</v>
      </c>
    </row>
    <row r="1093" spans="1:26">
      <c r="A1093">
        <v>1077293502</v>
      </c>
      <c r="B1093" s="3" t="s">
        <v>3148</v>
      </c>
      <c r="C1093">
        <v>33</v>
      </c>
      <c r="D1093" t="s">
        <v>27</v>
      </c>
      <c r="E1093" t="s">
        <v>29</v>
      </c>
      <c r="F1093" t="s">
        <v>28</v>
      </c>
      <c r="G1093" t="s">
        <v>28</v>
      </c>
      <c r="H1093">
        <v>2</v>
      </c>
      <c r="I1093" t="s">
        <v>55</v>
      </c>
      <c r="J1093" t="s">
        <v>445</v>
      </c>
      <c r="K1093" t="s">
        <v>3149</v>
      </c>
      <c r="L1093" t="s">
        <v>170</v>
      </c>
      <c r="M1093" s="4" t="s">
        <v>34</v>
      </c>
      <c r="N1093" t="s">
        <v>162</v>
      </c>
      <c r="P1093" s="3" t="s">
        <v>36</v>
      </c>
      <c r="Q1093" s="3" t="s">
        <v>90</v>
      </c>
      <c r="R1093">
        <v>2</v>
      </c>
      <c r="S1093" s="5">
        <v>45381</v>
      </c>
      <c r="T1093" t="s">
        <v>60</v>
      </c>
      <c r="U1093">
        <f t="shared" ca="1" si="102"/>
        <v>36</v>
      </c>
      <c r="V1093" s="6">
        <f t="shared" ca="1" si="103"/>
        <v>46038</v>
      </c>
      <c r="W1093" s="6">
        <f t="shared" ca="1" si="104"/>
        <v>46044</v>
      </c>
      <c r="X1093" t="str">
        <f t="shared" ca="1" si="105"/>
        <v>Jan 16 to Jan 22</v>
      </c>
      <c r="Y1093" t="str">
        <f t="shared" ca="1" si="106"/>
        <v>⚪ SCHEDULED</v>
      </c>
      <c r="Z1093" t="str">
        <f t="shared" ca="1" si="107"/>
        <v>No action needed yet</v>
      </c>
    </row>
    <row r="1094" spans="1:26">
      <c r="A1094">
        <v>1077557864</v>
      </c>
      <c r="B1094" s="3" t="s">
        <v>3150</v>
      </c>
      <c r="C1094">
        <v>33</v>
      </c>
      <c r="D1094" t="s">
        <v>27</v>
      </c>
      <c r="E1094" t="s">
        <v>28</v>
      </c>
      <c r="F1094" t="s">
        <v>28</v>
      </c>
      <c r="G1094" t="s">
        <v>28</v>
      </c>
      <c r="H1094">
        <v>1</v>
      </c>
      <c r="I1094" t="s">
        <v>55</v>
      </c>
      <c r="J1094" t="s">
        <v>253</v>
      </c>
      <c r="K1094" t="s">
        <v>627</v>
      </c>
      <c r="L1094" t="s">
        <v>33</v>
      </c>
      <c r="M1094" s="4" t="s">
        <v>34</v>
      </c>
      <c r="N1094" t="s">
        <v>59</v>
      </c>
      <c r="P1094" s="3" t="s">
        <v>36</v>
      </c>
      <c r="Q1094" t="s">
        <v>54</v>
      </c>
      <c r="R1094">
        <v>2</v>
      </c>
      <c r="S1094" s="5">
        <v>45797</v>
      </c>
      <c r="T1094" t="s">
        <v>393</v>
      </c>
      <c r="U1094">
        <f t="shared" ca="1" si="102"/>
        <v>62</v>
      </c>
      <c r="V1094" s="6">
        <f t="shared" ca="1" si="103"/>
        <v>46064</v>
      </c>
      <c r="W1094" s="6">
        <f t="shared" ca="1" si="104"/>
        <v>46070</v>
      </c>
      <c r="X1094" t="str">
        <f t="shared" ca="1" si="105"/>
        <v>Feb 11 to Feb 17</v>
      </c>
      <c r="Y1094" t="str">
        <f t="shared" ca="1" si="106"/>
        <v>⚪ SCHEDULED</v>
      </c>
      <c r="Z1094" t="str">
        <f t="shared" ca="1" si="107"/>
        <v>No action needed yet</v>
      </c>
    </row>
    <row r="1095" spans="1:26">
      <c r="A1095">
        <v>1077717385</v>
      </c>
      <c r="B1095" s="3" t="s">
        <v>3151</v>
      </c>
      <c r="C1095">
        <v>36</v>
      </c>
      <c r="D1095" t="s">
        <v>47</v>
      </c>
      <c r="E1095" t="s">
        <v>28</v>
      </c>
      <c r="F1095" t="s">
        <v>28</v>
      </c>
      <c r="G1095" t="s">
        <v>28</v>
      </c>
      <c r="H1095">
        <v>0</v>
      </c>
      <c r="I1095" t="s">
        <v>55</v>
      </c>
      <c r="J1095" t="s">
        <v>3152</v>
      </c>
      <c r="K1095" t="s">
        <v>3153</v>
      </c>
      <c r="L1095" t="s">
        <v>105</v>
      </c>
      <c r="M1095" s="4" t="s">
        <v>34</v>
      </c>
      <c r="N1095" t="s">
        <v>59</v>
      </c>
      <c r="P1095" s="3" t="s">
        <v>36</v>
      </c>
      <c r="Q1095" s="3" t="s">
        <v>107</v>
      </c>
      <c r="R1095">
        <v>1</v>
      </c>
      <c r="S1095" s="5">
        <v>45741</v>
      </c>
      <c r="T1095" t="s">
        <v>393</v>
      </c>
      <c r="U1095">
        <f t="shared" ca="1" si="102"/>
        <v>6</v>
      </c>
      <c r="V1095" s="6">
        <f t="shared" ca="1" si="103"/>
        <v>46008</v>
      </c>
      <c r="W1095" s="6">
        <f t="shared" ca="1" si="104"/>
        <v>46014</v>
      </c>
      <c r="X1095" t="str">
        <f t="shared" ca="1" si="105"/>
        <v>Dec 17 to Dec 23</v>
      </c>
      <c r="Y1095" t="str">
        <f t="shared" ca="1" si="106"/>
        <v>🟢 THIS WEEK</v>
      </c>
      <c r="Z1095" t="str">
        <f t="shared" ca="1" si="107"/>
        <v>Confirm appointment</v>
      </c>
    </row>
    <row r="1096" spans="1:26">
      <c r="A1096">
        <v>1077801304</v>
      </c>
      <c r="B1096" s="3" t="s">
        <v>3154</v>
      </c>
      <c r="C1096">
        <v>57</v>
      </c>
      <c r="D1096" t="s">
        <v>27</v>
      </c>
      <c r="E1096" t="s">
        <v>28</v>
      </c>
      <c r="F1096" t="s">
        <v>28</v>
      </c>
      <c r="G1096" t="s">
        <v>29</v>
      </c>
      <c r="H1096">
        <v>3</v>
      </c>
      <c r="I1096" t="s">
        <v>66</v>
      </c>
      <c r="J1096" t="s">
        <v>3155</v>
      </c>
      <c r="K1096" t="s">
        <v>3156</v>
      </c>
      <c r="L1096" t="s">
        <v>3157</v>
      </c>
      <c r="M1096" s="4" t="s">
        <v>94</v>
      </c>
      <c r="N1096" t="s">
        <v>140</v>
      </c>
      <c r="P1096" s="3" t="s">
        <v>36</v>
      </c>
      <c r="Q1096" s="3" t="s">
        <v>45</v>
      </c>
      <c r="R1096">
        <v>1</v>
      </c>
      <c r="S1096" s="5">
        <v>45933</v>
      </c>
      <c r="T1096" t="s">
        <v>38</v>
      </c>
      <c r="U1096">
        <f t="shared" ca="1" si="102"/>
        <v>18</v>
      </c>
      <c r="V1096" s="6">
        <f t="shared" ca="1" si="103"/>
        <v>46020</v>
      </c>
      <c r="W1096" s="6">
        <f t="shared" ca="1" si="104"/>
        <v>46026</v>
      </c>
      <c r="X1096" t="str">
        <f t="shared" ca="1" si="105"/>
        <v>Dec 29 to Jan 4</v>
      </c>
      <c r="Y1096" t="str">
        <f t="shared" ca="1" si="106"/>
        <v>⚪ SCHEDULED</v>
      </c>
      <c r="Z1096" t="str">
        <f t="shared" ca="1" si="107"/>
        <v>No action needed yet</v>
      </c>
    </row>
    <row r="1097" spans="1:26">
      <c r="A1097">
        <v>1077818746</v>
      </c>
      <c r="B1097" s="3" t="s">
        <v>3158</v>
      </c>
      <c r="C1097">
        <v>60</v>
      </c>
      <c r="D1097" t="s">
        <v>27</v>
      </c>
      <c r="E1097" t="s">
        <v>29</v>
      </c>
      <c r="F1097" t="s">
        <v>28</v>
      </c>
      <c r="G1097" t="s">
        <v>29</v>
      </c>
      <c r="H1097">
        <v>6</v>
      </c>
      <c r="I1097" t="s">
        <v>30</v>
      </c>
      <c r="J1097" t="s">
        <v>3159</v>
      </c>
      <c r="K1097" t="s">
        <v>3160</v>
      </c>
      <c r="M1097" s="4" t="s">
        <v>94</v>
      </c>
      <c r="N1097" t="s">
        <v>95</v>
      </c>
      <c r="P1097" s="3" t="s">
        <v>36</v>
      </c>
      <c r="Q1097" s="3" t="s">
        <v>760</v>
      </c>
      <c r="R1097">
        <v>2</v>
      </c>
      <c r="S1097" s="5">
        <v>45933</v>
      </c>
      <c r="T1097" t="s">
        <v>38</v>
      </c>
      <c r="U1097">
        <f t="shared" ca="1" si="102"/>
        <v>18</v>
      </c>
      <c r="V1097" s="6">
        <f t="shared" ca="1" si="103"/>
        <v>46020</v>
      </c>
      <c r="W1097" s="6">
        <f t="shared" ca="1" si="104"/>
        <v>46026</v>
      </c>
      <c r="X1097" t="str">
        <f t="shared" ca="1" si="105"/>
        <v>Dec 29 to Jan 4</v>
      </c>
      <c r="Y1097" t="str">
        <f t="shared" ca="1" si="106"/>
        <v>⚪ SCHEDULED</v>
      </c>
      <c r="Z1097" t="str">
        <f t="shared" ca="1" si="107"/>
        <v>No action needed yet</v>
      </c>
    </row>
    <row r="1098" spans="1:26">
      <c r="A1098">
        <v>1078106364</v>
      </c>
      <c r="B1098" s="3" t="s">
        <v>3161</v>
      </c>
      <c r="C1098">
        <v>39</v>
      </c>
      <c r="D1098" t="s">
        <v>47</v>
      </c>
      <c r="E1098" t="s">
        <v>28</v>
      </c>
      <c r="F1098" t="s">
        <v>28</v>
      </c>
      <c r="G1098" t="s">
        <v>28</v>
      </c>
      <c r="H1098">
        <v>0</v>
      </c>
      <c r="I1098" t="s">
        <v>55</v>
      </c>
      <c r="J1098" t="s">
        <v>109</v>
      </c>
      <c r="K1098" t="s">
        <v>3162</v>
      </c>
      <c r="M1098" s="4" t="s">
        <v>34</v>
      </c>
      <c r="N1098" t="s">
        <v>59</v>
      </c>
      <c r="P1098" s="3" t="s">
        <v>36</v>
      </c>
      <c r="Q1098" s="3" t="s">
        <v>313</v>
      </c>
      <c r="R1098">
        <v>2</v>
      </c>
      <c r="S1098" s="5">
        <v>45664</v>
      </c>
      <c r="T1098" t="s">
        <v>393</v>
      </c>
      <c r="U1098">
        <f t="shared" ca="1" si="102"/>
        <v>19</v>
      </c>
      <c r="V1098" s="6">
        <f t="shared" ca="1" si="103"/>
        <v>46021</v>
      </c>
      <c r="W1098" s="6">
        <f t="shared" ca="1" si="104"/>
        <v>46027</v>
      </c>
      <c r="X1098" t="str">
        <f t="shared" ca="1" si="105"/>
        <v>Dec 30 to Jan 5</v>
      </c>
      <c r="Y1098" t="str">
        <f t="shared" ca="1" si="106"/>
        <v>⚪ SCHEDULED</v>
      </c>
      <c r="Z1098" t="str">
        <f t="shared" ca="1" si="107"/>
        <v>No action needed yet</v>
      </c>
    </row>
    <row r="1099" spans="1:26">
      <c r="A1099">
        <v>1078494067</v>
      </c>
      <c r="B1099" s="3" t="s">
        <v>3163</v>
      </c>
      <c r="C1099">
        <v>39</v>
      </c>
      <c r="D1099" t="s">
        <v>47</v>
      </c>
      <c r="E1099" t="s">
        <v>29</v>
      </c>
      <c r="F1099" t="s">
        <v>28</v>
      </c>
      <c r="G1099" t="s">
        <v>28</v>
      </c>
      <c r="H1099">
        <v>2</v>
      </c>
      <c r="I1099" t="s">
        <v>55</v>
      </c>
      <c r="J1099" t="s">
        <v>3164</v>
      </c>
      <c r="K1099" t="s">
        <v>3165</v>
      </c>
      <c r="L1099" t="s">
        <v>208</v>
      </c>
      <c r="M1099" s="4" t="s">
        <v>34</v>
      </c>
      <c r="N1099" t="s">
        <v>162</v>
      </c>
      <c r="P1099" s="3" t="s">
        <v>36</v>
      </c>
      <c r="Q1099" s="3" t="s">
        <v>3166</v>
      </c>
      <c r="R1099">
        <v>2</v>
      </c>
      <c r="S1099" s="5">
        <v>45773</v>
      </c>
      <c r="T1099" t="s">
        <v>60</v>
      </c>
      <c r="U1099">
        <f t="shared" ca="1" si="102"/>
        <v>8</v>
      </c>
      <c r="V1099" s="6">
        <f t="shared" ca="1" si="103"/>
        <v>46010</v>
      </c>
      <c r="W1099" s="6">
        <f t="shared" ca="1" si="104"/>
        <v>46016</v>
      </c>
      <c r="X1099" t="str">
        <f t="shared" ca="1" si="105"/>
        <v>Dec 19 to Dec 25</v>
      </c>
      <c r="Y1099" t="str">
        <f t="shared" ca="1" si="106"/>
        <v>🔵 NEXT 2 WEEKS</v>
      </c>
      <c r="Z1099" t="str">
        <f t="shared" ca="1" si="107"/>
        <v>Send reminder SMS</v>
      </c>
    </row>
    <row r="1100" spans="1:26">
      <c r="A1100">
        <v>1079292239</v>
      </c>
      <c r="B1100" s="3" t="s">
        <v>3167</v>
      </c>
      <c r="C1100">
        <v>34</v>
      </c>
      <c r="D1100" t="s">
        <v>27</v>
      </c>
      <c r="E1100" t="s">
        <v>28</v>
      </c>
      <c r="F1100" t="s">
        <v>28</v>
      </c>
      <c r="G1100" t="s">
        <v>29</v>
      </c>
      <c r="H1100">
        <v>1</v>
      </c>
      <c r="I1100" t="s">
        <v>55</v>
      </c>
      <c r="J1100" t="s">
        <v>519</v>
      </c>
      <c r="K1100" t="s">
        <v>3168</v>
      </c>
      <c r="L1100" t="s">
        <v>114</v>
      </c>
      <c r="M1100" s="4" t="s">
        <v>34</v>
      </c>
      <c r="N1100" t="s">
        <v>140</v>
      </c>
      <c r="P1100" s="3" t="s">
        <v>36</v>
      </c>
      <c r="Q1100" s="3" t="s">
        <v>107</v>
      </c>
      <c r="R1100">
        <v>2</v>
      </c>
      <c r="S1100" s="5">
        <v>45881</v>
      </c>
      <c r="T1100" t="s">
        <v>393</v>
      </c>
      <c r="U1100">
        <f t="shared" ca="1" si="102"/>
        <v>56</v>
      </c>
      <c r="V1100" s="6">
        <f t="shared" ca="1" si="103"/>
        <v>46058</v>
      </c>
      <c r="W1100" s="6">
        <f t="shared" ca="1" si="104"/>
        <v>46064</v>
      </c>
      <c r="X1100" t="str">
        <f t="shared" ca="1" si="105"/>
        <v>Feb 5 to Feb 11</v>
      </c>
      <c r="Y1100" t="str">
        <f t="shared" ca="1" si="106"/>
        <v>⚪ SCHEDULED</v>
      </c>
      <c r="Z1100" t="str">
        <f t="shared" ca="1" si="107"/>
        <v>No action needed yet</v>
      </c>
    </row>
    <row r="1101" spans="1:26">
      <c r="A1101">
        <v>1079383509</v>
      </c>
      <c r="B1101" s="3" t="s">
        <v>3169</v>
      </c>
      <c r="C1101">
        <v>39</v>
      </c>
      <c r="D1101" t="s">
        <v>47</v>
      </c>
      <c r="E1101" t="s">
        <v>29</v>
      </c>
      <c r="F1101" t="s">
        <v>28</v>
      </c>
      <c r="G1101" t="s">
        <v>28</v>
      </c>
      <c r="H1101">
        <v>1</v>
      </c>
      <c r="I1101" t="s">
        <v>55</v>
      </c>
      <c r="J1101" t="s">
        <v>3170</v>
      </c>
      <c r="K1101" t="s">
        <v>3171</v>
      </c>
      <c r="L1101" t="s">
        <v>105</v>
      </c>
      <c r="M1101" s="4" t="s">
        <v>34</v>
      </c>
      <c r="N1101" t="s">
        <v>162</v>
      </c>
      <c r="P1101" s="3" t="s">
        <v>36</v>
      </c>
      <c r="Q1101" s="3" t="s">
        <v>84</v>
      </c>
      <c r="R1101">
        <v>2</v>
      </c>
      <c r="S1101" s="5">
        <v>45636</v>
      </c>
      <c r="T1101" t="s">
        <v>393</v>
      </c>
      <c r="U1101">
        <f t="shared" ca="1" si="102"/>
        <v>81</v>
      </c>
      <c r="V1101" s="6">
        <f t="shared" ca="1" si="103"/>
        <v>46083</v>
      </c>
      <c r="W1101" s="6">
        <f t="shared" ca="1" si="104"/>
        <v>46089</v>
      </c>
      <c r="X1101" t="str">
        <f t="shared" ca="1" si="105"/>
        <v>Mar 2 to Mar 8</v>
      </c>
      <c r="Y1101" t="str">
        <f t="shared" ca="1" si="106"/>
        <v>⚪ SCHEDULED</v>
      </c>
      <c r="Z1101" t="str">
        <f t="shared" ca="1" si="107"/>
        <v>No action needed yet</v>
      </c>
    </row>
    <row r="1102" spans="1:26">
      <c r="A1102">
        <v>1079716369</v>
      </c>
      <c r="B1102" s="3" t="s">
        <v>3172</v>
      </c>
      <c r="C1102">
        <v>33</v>
      </c>
      <c r="D1102" t="s">
        <v>47</v>
      </c>
      <c r="E1102" t="s">
        <v>28</v>
      </c>
      <c r="F1102" t="s">
        <v>28</v>
      </c>
      <c r="G1102" t="s">
        <v>28</v>
      </c>
      <c r="H1102">
        <v>0</v>
      </c>
      <c r="I1102" t="s">
        <v>55</v>
      </c>
      <c r="J1102" t="s">
        <v>3173</v>
      </c>
      <c r="K1102" t="s">
        <v>3174</v>
      </c>
      <c r="L1102" t="s">
        <v>105</v>
      </c>
      <c r="M1102" s="4" t="s">
        <v>94</v>
      </c>
      <c r="N1102" t="s">
        <v>59</v>
      </c>
      <c r="P1102" s="3" t="s">
        <v>36</v>
      </c>
      <c r="Q1102" s="3" t="s">
        <v>107</v>
      </c>
      <c r="R1102">
        <v>2</v>
      </c>
      <c r="S1102" s="5">
        <v>45998</v>
      </c>
      <c r="T1102" t="s">
        <v>393</v>
      </c>
      <c r="U1102">
        <f t="shared" ca="1" si="102"/>
        <v>83</v>
      </c>
      <c r="V1102" s="6">
        <f t="shared" ca="1" si="103"/>
        <v>46085</v>
      </c>
      <c r="W1102" s="6">
        <f t="shared" ca="1" si="104"/>
        <v>46091</v>
      </c>
      <c r="X1102" t="str">
        <f t="shared" ca="1" si="105"/>
        <v>Mar 4 to Mar 10</v>
      </c>
      <c r="Y1102" t="str">
        <f t="shared" ca="1" si="106"/>
        <v>⚪ SCHEDULED</v>
      </c>
      <c r="Z1102" t="str">
        <f t="shared" ca="1" si="107"/>
        <v>No action needed yet</v>
      </c>
    </row>
    <row r="1103" spans="1:26">
      <c r="A1103">
        <v>1080075979</v>
      </c>
      <c r="B1103" s="3" t="s">
        <v>3175</v>
      </c>
      <c r="C1103">
        <v>62</v>
      </c>
      <c r="D1103" t="s">
        <v>27</v>
      </c>
      <c r="E1103" t="s">
        <v>29</v>
      </c>
      <c r="F1103" t="s">
        <v>29</v>
      </c>
      <c r="G1103" t="s">
        <v>28</v>
      </c>
      <c r="H1103">
        <v>6</v>
      </c>
      <c r="I1103" t="s">
        <v>30</v>
      </c>
      <c r="J1103" t="s">
        <v>398</v>
      </c>
      <c r="K1103" t="s">
        <v>802</v>
      </c>
      <c r="L1103" t="s">
        <v>69</v>
      </c>
      <c r="M1103" s="4" t="s">
        <v>34</v>
      </c>
      <c r="N1103" t="s">
        <v>131</v>
      </c>
      <c r="P1103" s="3" t="s">
        <v>36</v>
      </c>
      <c r="Q1103" s="3" t="s">
        <v>230</v>
      </c>
      <c r="R1103">
        <v>2</v>
      </c>
      <c r="S1103" s="5">
        <v>45664</v>
      </c>
      <c r="T1103" t="s">
        <v>38</v>
      </c>
      <c r="U1103">
        <f t="shared" ca="1" si="102"/>
        <v>19</v>
      </c>
      <c r="V1103" s="6">
        <f t="shared" ca="1" si="103"/>
        <v>46021</v>
      </c>
      <c r="W1103" s="6">
        <f t="shared" ca="1" si="104"/>
        <v>46027</v>
      </c>
      <c r="X1103" t="str">
        <f t="shared" ca="1" si="105"/>
        <v>Dec 30 to Jan 5</v>
      </c>
      <c r="Y1103" t="str">
        <f t="shared" ca="1" si="106"/>
        <v>⚪ SCHEDULED</v>
      </c>
      <c r="Z1103" t="str">
        <f t="shared" ca="1" si="107"/>
        <v>No action needed yet</v>
      </c>
    </row>
    <row r="1104" spans="1:26">
      <c r="A1104">
        <v>1080361650</v>
      </c>
      <c r="B1104" s="3" t="s">
        <v>3176</v>
      </c>
      <c r="C1104">
        <v>89</v>
      </c>
      <c r="D1104" t="s">
        <v>27</v>
      </c>
      <c r="E1104" t="s">
        <v>54</v>
      </c>
      <c r="F1104" t="s">
        <v>54</v>
      </c>
      <c r="G1104" t="s">
        <v>54</v>
      </c>
      <c r="H1104">
        <v>4</v>
      </c>
      <c r="I1104" t="s">
        <v>66</v>
      </c>
      <c r="J1104" t="s">
        <v>3177</v>
      </c>
      <c r="K1104" t="s">
        <v>3178</v>
      </c>
      <c r="L1104" t="s">
        <v>869</v>
      </c>
      <c r="M1104" s="4" t="s">
        <v>94</v>
      </c>
      <c r="N1104" t="s">
        <v>59</v>
      </c>
      <c r="P1104" s="3" t="s">
        <v>36</v>
      </c>
      <c r="Q1104" s="3" t="s">
        <v>123</v>
      </c>
      <c r="R1104">
        <v>2</v>
      </c>
      <c r="S1104" s="5">
        <v>45946</v>
      </c>
      <c r="T1104" t="s">
        <v>38</v>
      </c>
      <c r="U1104">
        <f t="shared" ca="1" si="102"/>
        <v>1</v>
      </c>
      <c r="V1104" s="6">
        <f t="shared" ca="1" si="103"/>
        <v>46003</v>
      </c>
      <c r="W1104" s="6">
        <f t="shared" ca="1" si="104"/>
        <v>46009</v>
      </c>
      <c r="X1104" t="str">
        <f t="shared" ca="1" si="105"/>
        <v>Dec 12 to Dec 18</v>
      </c>
      <c r="Y1104" t="str">
        <f t="shared" ca="1" si="106"/>
        <v>🟡 IMMINENT (within 3 days)</v>
      </c>
      <c r="Z1104" t="str">
        <f t="shared" ca="1" si="107"/>
        <v>Prepare medications TODAY</v>
      </c>
    </row>
    <row r="1105" spans="1:26">
      <c r="A1105">
        <v>1080511940</v>
      </c>
      <c r="B1105" s="3" t="s">
        <v>3179</v>
      </c>
      <c r="C1105">
        <v>60</v>
      </c>
      <c r="D1105" t="s">
        <v>27</v>
      </c>
      <c r="E1105" t="s">
        <v>29</v>
      </c>
      <c r="F1105" t="s">
        <v>29</v>
      </c>
      <c r="G1105" t="s">
        <v>29</v>
      </c>
      <c r="H1105">
        <v>7</v>
      </c>
      <c r="I1105" t="s">
        <v>30</v>
      </c>
      <c r="J1105" t="s">
        <v>3180</v>
      </c>
      <c r="K1105" t="s">
        <v>3181</v>
      </c>
      <c r="L1105" t="s">
        <v>549</v>
      </c>
      <c r="M1105" s="4" t="s">
        <v>34</v>
      </c>
      <c r="N1105" t="s">
        <v>76</v>
      </c>
      <c r="P1105" s="3" t="s">
        <v>36</v>
      </c>
      <c r="Q1105" s="3" t="s">
        <v>45</v>
      </c>
      <c r="R1105">
        <v>2</v>
      </c>
      <c r="S1105" s="5">
        <v>45769</v>
      </c>
      <c r="T1105" t="s">
        <v>38</v>
      </c>
      <c r="U1105">
        <f t="shared" ca="1" si="102"/>
        <v>4</v>
      </c>
      <c r="V1105" s="6">
        <f t="shared" ca="1" si="103"/>
        <v>46006</v>
      </c>
      <c r="W1105" s="6">
        <f t="shared" ca="1" si="104"/>
        <v>46012</v>
      </c>
      <c r="X1105" t="str">
        <f t="shared" ca="1" si="105"/>
        <v>Dec 15 to Dec 21</v>
      </c>
      <c r="Y1105" t="str">
        <f t="shared" ca="1" si="106"/>
        <v>🟢 THIS WEEK</v>
      </c>
      <c r="Z1105" t="str">
        <f t="shared" ca="1" si="107"/>
        <v>Confirm appointment</v>
      </c>
    </row>
    <row r="1106" spans="1:26">
      <c r="A1106">
        <v>1081269555</v>
      </c>
      <c r="B1106" s="3" t="s">
        <v>3182</v>
      </c>
      <c r="C1106">
        <v>52</v>
      </c>
      <c r="D1106" t="s">
        <v>27</v>
      </c>
      <c r="E1106" t="s">
        <v>29</v>
      </c>
      <c r="F1106" t="s">
        <v>29</v>
      </c>
      <c r="G1106" t="s">
        <v>29</v>
      </c>
      <c r="H1106">
        <v>5</v>
      </c>
      <c r="I1106" t="s">
        <v>30</v>
      </c>
      <c r="J1106" t="s">
        <v>2970</v>
      </c>
      <c r="K1106" t="s">
        <v>3183</v>
      </c>
      <c r="L1106" t="s">
        <v>170</v>
      </c>
      <c r="M1106" s="4" t="s">
        <v>34</v>
      </c>
      <c r="N1106" t="s">
        <v>171</v>
      </c>
      <c r="P1106" s="3" t="s">
        <v>36</v>
      </c>
      <c r="Q1106" s="3" t="s">
        <v>90</v>
      </c>
      <c r="R1106">
        <v>2</v>
      </c>
      <c r="S1106" s="5">
        <v>45833</v>
      </c>
      <c r="T1106" t="s">
        <v>38</v>
      </c>
      <c r="U1106">
        <f t="shared" ca="1" si="102"/>
        <v>8</v>
      </c>
      <c r="V1106" s="6">
        <f t="shared" ca="1" si="103"/>
        <v>46010</v>
      </c>
      <c r="W1106" s="6">
        <f t="shared" ca="1" si="104"/>
        <v>46016</v>
      </c>
      <c r="X1106" t="str">
        <f t="shared" ca="1" si="105"/>
        <v>Dec 19 to Dec 25</v>
      </c>
      <c r="Y1106" t="str">
        <f t="shared" ca="1" si="106"/>
        <v>🔵 NEXT 2 WEEKS</v>
      </c>
      <c r="Z1106" t="str">
        <f t="shared" ca="1" si="107"/>
        <v>Send reminder SMS</v>
      </c>
    </row>
    <row r="1107" spans="1:26">
      <c r="A1107">
        <v>1081294439</v>
      </c>
      <c r="B1107" s="3" t="s">
        <v>3184</v>
      </c>
      <c r="C1107">
        <v>48</v>
      </c>
      <c r="D1107" t="s">
        <v>47</v>
      </c>
      <c r="E1107" t="s">
        <v>29</v>
      </c>
      <c r="F1107" t="s">
        <v>28</v>
      </c>
      <c r="G1107" t="s">
        <v>28</v>
      </c>
      <c r="H1107">
        <v>2</v>
      </c>
      <c r="I1107" t="s">
        <v>55</v>
      </c>
      <c r="J1107" t="s">
        <v>3185</v>
      </c>
      <c r="K1107" t="s">
        <v>3186</v>
      </c>
      <c r="L1107" t="s">
        <v>170</v>
      </c>
      <c r="M1107" s="4" t="s">
        <v>43</v>
      </c>
      <c r="N1107" t="s">
        <v>162</v>
      </c>
      <c r="P1107" s="3" t="s">
        <v>36</v>
      </c>
      <c r="Q1107" s="3" t="s">
        <v>96</v>
      </c>
      <c r="R1107">
        <v>1</v>
      </c>
      <c r="S1107" s="5">
        <v>45891</v>
      </c>
      <c r="T1107" t="s">
        <v>60</v>
      </c>
      <c r="U1107">
        <f t="shared" ca="1" si="102"/>
        <v>6</v>
      </c>
      <c r="V1107" s="6">
        <f t="shared" ca="1" si="103"/>
        <v>46008</v>
      </c>
      <c r="W1107" s="6">
        <f t="shared" ca="1" si="104"/>
        <v>46014</v>
      </c>
      <c r="X1107" t="str">
        <f t="shared" ca="1" si="105"/>
        <v>Dec 17 to Dec 23</v>
      </c>
      <c r="Y1107" t="str">
        <f t="shared" ca="1" si="106"/>
        <v>🟢 THIS WEEK</v>
      </c>
      <c r="Z1107" t="str">
        <f t="shared" ca="1" si="107"/>
        <v>Confirm appointment</v>
      </c>
    </row>
    <row r="1108" spans="1:26">
      <c r="A1108">
        <v>1081428813</v>
      </c>
      <c r="B1108" s="3" t="s">
        <v>3187</v>
      </c>
      <c r="C1108">
        <v>35</v>
      </c>
      <c r="D1108" t="s">
        <v>47</v>
      </c>
      <c r="E1108" t="s">
        <v>28</v>
      </c>
      <c r="F1108" t="s">
        <v>28</v>
      </c>
      <c r="G1108" t="s">
        <v>29</v>
      </c>
      <c r="H1108">
        <v>2</v>
      </c>
      <c r="I1108" t="s">
        <v>55</v>
      </c>
      <c r="J1108" t="s">
        <v>3188</v>
      </c>
      <c r="K1108" t="s">
        <v>3189</v>
      </c>
      <c r="L1108" t="s">
        <v>114</v>
      </c>
      <c r="M1108" s="4" t="s">
        <v>34</v>
      </c>
      <c r="N1108" t="s">
        <v>140</v>
      </c>
      <c r="P1108" s="3" t="s">
        <v>36</v>
      </c>
      <c r="Q1108" s="3" t="s">
        <v>45</v>
      </c>
      <c r="R1108">
        <v>2</v>
      </c>
      <c r="S1108" s="5">
        <v>45603</v>
      </c>
      <c r="T1108" t="s">
        <v>60</v>
      </c>
      <c r="U1108">
        <f t="shared" ca="1" si="102"/>
        <v>18</v>
      </c>
      <c r="V1108" s="6">
        <f t="shared" ca="1" si="103"/>
        <v>46020</v>
      </c>
      <c r="W1108" s="6">
        <f t="shared" ca="1" si="104"/>
        <v>46026</v>
      </c>
      <c r="X1108" t="str">
        <f t="shared" ca="1" si="105"/>
        <v>Dec 29 to Jan 4</v>
      </c>
      <c r="Y1108" t="str">
        <f t="shared" ca="1" si="106"/>
        <v>⚪ SCHEDULED</v>
      </c>
      <c r="Z1108" t="str">
        <f t="shared" ca="1" si="107"/>
        <v>No action needed yet</v>
      </c>
    </row>
    <row r="1109" spans="1:26">
      <c r="A1109">
        <v>1081501379</v>
      </c>
      <c r="B1109" s="3" t="s">
        <v>3190</v>
      </c>
      <c r="C1109">
        <v>35</v>
      </c>
      <c r="D1109" t="s">
        <v>27</v>
      </c>
      <c r="E1109" t="s">
        <v>28</v>
      </c>
      <c r="F1109" t="s">
        <v>28</v>
      </c>
      <c r="G1109" t="s">
        <v>28</v>
      </c>
      <c r="H1109">
        <v>0</v>
      </c>
      <c r="I1109" t="s">
        <v>55</v>
      </c>
      <c r="J1109" t="s">
        <v>3191</v>
      </c>
      <c r="K1109" t="s">
        <v>3192</v>
      </c>
      <c r="L1109" t="s">
        <v>428</v>
      </c>
      <c r="M1109" s="4" t="s">
        <v>34</v>
      </c>
      <c r="N1109" t="s">
        <v>59</v>
      </c>
      <c r="P1109" s="3" t="s">
        <v>36</v>
      </c>
      <c r="Q1109" s="3" t="s">
        <v>90</v>
      </c>
      <c r="R1109">
        <v>1</v>
      </c>
      <c r="S1109" s="5">
        <v>45784</v>
      </c>
      <c r="T1109" t="s">
        <v>393</v>
      </c>
      <c r="U1109">
        <f t="shared" ca="1" si="102"/>
        <v>49</v>
      </c>
      <c r="V1109" s="6">
        <f t="shared" ca="1" si="103"/>
        <v>46051</v>
      </c>
      <c r="W1109" s="6">
        <f t="shared" ca="1" si="104"/>
        <v>46057</v>
      </c>
      <c r="X1109" t="str">
        <f t="shared" ca="1" si="105"/>
        <v>Jan 29 to Feb 4</v>
      </c>
      <c r="Y1109" t="str">
        <f t="shared" ca="1" si="106"/>
        <v>⚪ SCHEDULED</v>
      </c>
      <c r="Z1109" t="str">
        <f t="shared" ca="1" si="107"/>
        <v>No action needed yet</v>
      </c>
    </row>
    <row r="1110" spans="1:26">
      <c r="A1110">
        <v>1081836825</v>
      </c>
      <c r="B1110" s="3" t="s">
        <v>3193</v>
      </c>
      <c r="C1110">
        <v>47</v>
      </c>
      <c r="D1110" t="s">
        <v>27</v>
      </c>
      <c r="E1110" t="s">
        <v>28</v>
      </c>
      <c r="F1110" t="s">
        <v>29</v>
      </c>
      <c r="G1110" t="s">
        <v>28</v>
      </c>
      <c r="H1110">
        <v>3</v>
      </c>
      <c r="I1110" t="s">
        <v>66</v>
      </c>
      <c r="J1110" t="s">
        <v>3194</v>
      </c>
      <c r="K1110" t="s">
        <v>3195</v>
      </c>
      <c r="M1110" s="4" t="s">
        <v>94</v>
      </c>
      <c r="N1110" t="s">
        <v>64</v>
      </c>
      <c r="P1110" s="3" t="s">
        <v>36</v>
      </c>
      <c r="Q1110" s="3" t="s">
        <v>107</v>
      </c>
      <c r="R1110">
        <v>1</v>
      </c>
      <c r="S1110" s="5">
        <v>45959</v>
      </c>
      <c r="T1110" t="s">
        <v>38</v>
      </c>
      <c r="U1110">
        <f t="shared" ca="1" si="102"/>
        <v>14</v>
      </c>
      <c r="V1110" s="6">
        <f t="shared" ca="1" si="103"/>
        <v>46016</v>
      </c>
      <c r="W1110" s="6">
        <f t="shared" ca="1" si="104"/>
        <v>46022</v>
      </c>
      <c r="X1110" t="str">
        <f t="shared" ca="1" si="105"/>
        <v>Dec 25 to Dec 31</v>
      </c>
      <c r="Y1110" t="str">
        <f t="shared" ca="1" si="106"/>
        <v>🔵 NEXT 2 WEEKS</v>
      </c>
      <c r="Z1110" t="str">
        <f t="shared" ca="1" si="107"/>
        <v>Send reminder SMS</v>
      </c>
    </row>
    <row r="1111" spans="1:26">
      <c r="A1111">
        <v>1082295245</v>
      </c>
      <c r="B1111" s="3" t="s">
        <v>3196</v>
      </c>
      <c r="C1111">
        <v>80</v>
      </c>
      <c r="D1111" t="s">
        <v>27</v>
      </c>
      <c r="E1111" t="s">
        <v>29</v>
      </c>
      <c r="F1111" t="s">
        <v>29</v>
      </c>
      <c r="G1111" t="s">
        <v>29</v>
      </c>
      <c r="H1111">
        <v>8</v>
      </c>
      <c r="I1111" t="s">
        <v>30</v>
      </c>
      <c r="J1111" t="s">
        <v>3197</v>
      </c>
      <c r="K1111" t="s">
        <v>3198</v>
      </c>
      <c r="M1111" s="4" t="s">
        <v>94</v>
      </c>
      <c r="N1111" t="s">
        <v>44</v>
      </c>
      <c r="P1111" s="3" t="s">
        <v>36</v>
      </c>
      <c r="Q1111" s="3" t="s">
        <v>3026</v>
      </c>
      <c r="R1111">
        <v>1</v>
      </c>
      <c r="S1111" s="5">
        <v>45940</v>
      </c>
      <c r="T1111" t="s">
        <v>38</v>
      </c>
      <c r="U1111">
        <f t="shared" ca="1" si="102"/>
        <v>25</v>
      </c>
      <c r="V1111" s="6">
        <f t="shared" ca="1" si="103"/>
        <v>46027</v>
      </c>
      <c r="W1111" s="6">
        <f t="shared" ca="1" si="104"/>
        <v>46033</v>
      </c>
      <c r="X1111" t="str">
        <f t="shared" ca="1" si="105"/>
        <v>Jan 5 to Jan 11</v>
      </c>
      <c r="Y1111" t="str">
        <f t="shared" ca="1" si="106"/>
        <v>⚪ SCHEDULED</v>
      </c>
      <c r="Z1111" t="str">
        <f t="shared" ca="1" si="107"/>
        <v>No action needed yet</v>
      </c>
    </row>
    <row r="1112" spans="1:26">
      <c r="A1112">
        <v>1082325489</v>
      </c>
      <c r="B1112" s="3" t="s">
        <v>3199</v>
      </c>
      <c r="C1112">
        <v>52</v>
      </c>
      <c r="D1112" t="s">
        <v>27</v>
      </c>
      <c r="E1112" t="s">
        <v>28</v>
      </c>
      <c r="F1112" t="s">
        <v>28</v>
      </c>
      <c r="G1112" t="s">
        <v>29</v>
      </c>
      <c r="H1112">
        <v>3</v>
      </c>
      <c r="I1112" t="s">
        <v>66</v>
      </c>
      <c r="J1112" t="s">
        <v>112</v>
      </c>
      <c r="K1112" t="s">
        <v>3200</v>
      </c>
      <c r="L1112" t="s">
        <v>114</v>
      </c>
      <c r="M1112" s="4" t="s">
        <v>34</v>
      </c>
      <c r="N1112" t="s">
        <v>140</v>
      </c>
      <c r="P1112" s="3" t="s">
        <v>36</v>
      </c>
      <c r="Q1112" s="3" t="s">
        <v>52</v>
      </c>
      <c r="R1112">
        <v>1</v>
      </c>
      <c r="S1112" s="5">
        <v>45819</v>
      </c>
      <c r="T1112" t="s">
        <v>38</v>
      </c>
      <c r="U1112">
        <f t="shared" ca="1" si="102"/>
        <v>24</v>
      </c>
      <c r="V1112" s="6">
        <f t="shared" ca="1" si="103"/>
        <v>46026</v>
      </c>
      <c r="W1112" s="6">
        <f t="shared" ca="1" si="104"/>
        <v>46032</v>
      </c>
      <c r="X1112" t="str">
        <f t="shared" ca="1" si="105"/>
        <v>Jan 4 to Jan 10</v>
      </c>
      <c r="Y1112" t="str">
        <f t="shared" ca="1" si="106"/>
        <v>⚪ SCHEDULED</v>
      </c>
      <c r="Z1112" t="str">
        <f t="shared" ca="1" si="107"/>
        <v>No action needed yet</v>
      </c>
    </row>
    <row r="1113" spans="1:26">
      <c r="A1113">
        <v>1082614478</v>
      </c>
      <c r="B1113" s="3" t="s">
        <v>3201</v>
      </c>
      <c r="C1113">
        <v>54</v>
      </c>
      <c r="D1113" t="s">
        <v>27</v>
      </c>
      <c r="E1113" t="s">
        <v>29</v>
      </c>
      <c r="F1113" t="s">
        <v>28</v>
      </c>
      <c r="G1113" t="s">
        <v>29</v>
      </c>
      <c r="H1113">
        <v>4</v>
      </c>
      <c r="I1113" t="s">
        <v>66</v>
      </c>
      <c r="J1113" t="s">
        <v>3202</v>
      </c>
      <c r="K1113" t="s">
        <v>3203</v>
      </c>
      <c r="L1113" t="s">
        <v>200</v>
      </c>
      <c r="M1113" s="4" t="s">
        <v>43</v>
      </c>
      <c r="N1113" t="s">
        <v>51</v>
      </c>
      <c r="P1113" s="3" t="s">
        <v>36</v>
      </c>
      <c r="Q1113" s="3" t="s">
        <v>77</v>
      </c>
      <c r="R1113">
        <v>2</v>
      </c>
      <c r="S1113" s="5">
        <v>45876</v>
      </c>
      <c r="T1113" t="s">
        <v>38</v>
      </c>
      <c r="U1113">
        <f t="shared" ca="1" si="102"/>
        <v>21</v>
      </c>
      <c r="V1113" s="6">
        <f t="shared" ca="1" si="103"/>
        <v>46023</v>
      </c>
      <c r="W1113" s="6">
        <f t="shared" ca="1" si="104"/>
        <v>46029</v>
      </c>
      <c r="X1113" t="str">
        <f t="shared" ca="1" si="105"/>
        <v>Jan 1 to Jan 7</v>
      </c>
      <c r="Y1113" t="str">
        <f t="shared" ca="1" si="106"/>
        <v>⚪ SCHEDULED</v>
      </c>
      <c r="Z1113" t="str">
        <f t="shared" ca="1" si="107"/>
        <v>No action needed yet</v>
      </c>
    </row>
    <row r="1114" spans="1:26">
      <c r="A1114">
        <v>1082844968</v>
      </c>
      <c r="B1114" s="3" t="s">
        <v>3204</v>
      </c>
      <c r="C1114">
        <v>31</v>
      </c>
      <c r="D1114" t="s">
        <v>27</v>
      </c>
      <c r="E1114" t="s">
        <v>28</v>
      </c>
      <c r="F1114" t="s">
        <v>28</v>
      </c>
      <c r="G1114" t="s">
        <v>28</v>
      </c>
      <c r="H1114">
        <v>0</v>
      </c>
      <c r="I1114" t="s">
        <v>55</v>
      </c>
      <c r="J1114" t="s">
        <v>2475</v>
      </c>
      <c r="K1114" t="s">
        <v>3205</v>
      </c>
      <c r="L1114" t="s">
        <v>2477</v>
      </c>
      <c r="M1114" s="4" t="s">
        <v>94</v>
      </c>
      <c r="N1114" t="s">
        <v>59</v>
      </c>
      <c r="P1114" s="3" t="s">
        <v>36</v>
      </c>
      <c r="Q1114" s="3" t="s">
        <v>96</v>
      </c>
      <c r="R1114">
        <v>2</v>
      </c>
      <c r="S1114" s="5">
        <v>45998</v>
      </c>
      <c r="T1114" t="s">
        <v>393</v>
      </c>
      <c r="U1114">
        <f t="shared" ca="1" si="102"/>
        <v>83</v>
      </c>
      <c r="V1114" s="6">
        <f t="shared" ca="1" si="103"/>
        <v>46085</v>
      </c>
      <c r="W1114" s="6">
        <f t="shared" ca="1" si="104"/>
        <v>46091</v>
      </c>
      <c r="X1114" t="str">
        <f t="shared" ca="1" si="105"/>
        <v>Mar 4 to Mar 10</v>
      </c>
      <c r="Y1114" t="str">
        <f t="shared" ca="1" si="106"/>
        <v>⚪ SCHEDULED</v>
      </c>
      <c r="Z1114" t="str">
        <f t="shared" ca="1" si="107"/>
        <v>No action needed yet</v>
      </c>
    </row>
    <row r="1115" spans="1:26">
      <c r="A1115">
        <v>1083208494</v>
      </c>
      <c r="B1115" s="3" t="s">
        <v>3206</v>
      </c>
      <c r="C1115">
        <v>44</v>
      </c>
      <c r="D1115" t="s">
        <v>27</v>
      </c>
      <c r="E1115" t="s">
        <v>29</v>
      </c>
      <c r="F1115" t="s">
        <v>28</v>
      </c>
      <c r="G1115" t="s">
        <v>29</v>
      </c>
      <c r="H1115">
        <v>4</v>
      </c>
      <c r="I1115" t="s">
        <v>66</v>
      </c>
      <c r="J1115" t="s">
        <v>2578</v>
      </c>
      <c r="K1115" t="s">
        <v>3207</v>
      </c>
      <c r="M1115" s="4" t="s">
        <v>43</v>
      </c>
      <c r="N1115" t="s">
        <v>95</v>
      </c>
      <c r="P1115" s="3" t="s">
        <v>36</v>
      </c>
      <c r="Q1115" s="3" t="s">
        <v>77</v>
      </c>
      <c r="R1115">
        <v>1</v>
      </c>
      <c r="S1115" s="5">
        <v>45910</v>
      </c>
      <c r="T1115" t="s">
        <v>38</v>
      </c>
      <c r="U1115">
        <f t="shared" ca="1" si="102"/>
        <v>25</v>
      </c>
      <c r="V1115" s="6">
        <f t="shared" ca="1" si="103"/>
        <v>46027</v>
      </c>
      <c r="W1115" s="6">
        <f t="shared" ca="1" si="104"/>
        <v>46033</v>
      </c>
      <c r="X1115" t="str">
        <f t="shared" ca="1" si="105"/>
        <v>Jan 5 to Jan 11</v>
      </c>
      <c r="Y1115" t="str">
        <f t="shared" ca="1" si="106"/>
        <v>⚪ SCHEDULED</v>
      </c>
      <c r="Z1115" t="str">
        <f t="shared" ca="1" si="107"/>
        <v>No action needed yet</v>
      </c>
    </row>
    <row r="1116" spans="1:26">
      <c r="A1116">
        <v>1083317576</v>
      </c>
      <c r="B1116" s="3" t="s">
        <v>3208</v>
      </c>
      <c r="C1116">
        <v>37</v>
      </c>
      <c r="D1116" t="s">
        <v>47</v>
      </c>
      <c r="E1116" t="s">
        <v>28</v>
      </c>
      <c r="F1116" t="s">
        <v>28</v>
      </c>
      <c r="G1116" t="s">
        <v>29</v>
      </c>
      <c r="H1116">
        <v>2</v>
      </c>
      <c r="I1116" t="s">
        <v>55</v>
      </c>
      <c r="J1116" t="s">
        <v>137</v>
      </c>
      <c r="K1116" t="s">
        <v>3209</v>
      </c>
      <c r="L1116" t="s">
        <v>139</v>
      </c>
      <c r="M1116" s="4" t="s">
        <v>34</v>
      </c>
      <c r="N1116" t="s">
        <v>140</v>
      </c>
      <c r="P1116" s="3" t="s">
        <v>36</v>
      </c>
      <c r="Q1116" s="3" t="s">
        <v>90</v>
      </c>
      <c r="R1116">
        <v>2</v>
      </c>
      <c r="S1116" s="5">
        <v>45821</v>
      </c>
      <c r="T1116" t="s">
        <v>60</v>
      </c>
      <c r="U1116">
        <f t="shared" ca="1" si="102"/>
        <v>56</v>
      </c>
      <c r="V1116" s="6">
        <f t="shared" ca="1" si="103"/>
        <v>46058</v>
      </c>
      <c r="W1116" s="6">
        <f t="shared" ca="1" si="104"/>
        <v>46064</v>
      </c>
      <c r="X1116" t="str">
        <f t="shared" ca="1" si="105"/>
        <v>Feb 5 to Feb 11</v>
      </c>
      <c r="Y1116" t="str">
        <f t="shared" ca="1" si="106"/>
        <v>⚪ SCHEDULED</v>
      </c>
      <c r="Z1116" t="str">
        <f t="shared" ca="1" si="107"/>
        <v>No action needed yet</v>
      </c>
    </row>
    <row r="1117" spans="1:26">
      <c r="A1117">
        <v>1083441152</v>
      </c>
      <c r="B1117" s="3" t="s">
        <v>3210</v>
      </c>
      <c r="C1117">
        <v>79</v>
      </c>
      <c r="D1117" t="s">
        <v>27</v>
      </c>
      <c r="E1117" t="s">
        <v>29</v>
      </c>
      <c r="F1117" t="s">
        <v>29</v>
      </c>
      <c r="G1117" t="s">
        <v>28</v>
      </c>
      <c r="H1117">
        <v>6</v>
      </c>
      <c r="I1117" t="s">
        <v>30</v>
      </c>
      <c r="J1117" t="s">
        <v>3211</v>
      </c>
      <c r="K1117" t="s">
        <v>3212</v>
      </c>
      <c r="M1117" s="4" t="s">
        <v>94</v>
      </c>
      <c r="N1117" t="s">
        <v>144</v>
      </c>
      <c r="P1117" s="3" t="s">
        <v>36</v>
      </c>
      <c r="Q1117" t="s">
        <v>54</v>
      </c>
      <c r="R1117">
        <v>2</v>
      </c>
      <c r="S1117" s="5">
        <v>45956</v>
      </c>
      <c r="T1117" t="s">
        <v>38</v>
      </c>
      <c r="U1117">
        <f t="shared" ca="1" si="102"/>
        <v>11</v>
      </c>
      <c r="V1117" s="6">
        <f t="shared" ca="1" si="103"/>
        <v>46013</v>
      </c>
      <c r="W1117" s="6">
        <f t="shared" ca="1" si="104"/>
        <v>46019</v>
      </c>
      <c r="X1117" t="str">
        <f t="shared" ca="1" si="105"/>
        <v>Dec 22 to Dec 28</v>
      </c>
      <c r="Y1117" t="str">
        <f t="shared" ca="1" si="106"/>
        <v>🔵 NEXT 2 WEEKS</v>
      </c>
      <c r="Z1117" t="str">
        <f t="shared" ca="1" si="107"/>
        <v>Send reminder SMS</v>
      </c>
    </row>
    <row r="1118" spans="1:26">
      <c r="A1118">
        <v>1084376688</v>
      </c>
      <c r="B1118" s="3" t="s">
        <v>3213</v>
      </c>
      <c r="C1118">
        <v>52</v>
      </c>
      <c r="D1118" t="s">
        <v>27</v>
      </c>
      <c r="E1118" t="s">
        <v>28</v>
      </c>
      <c r="F1118" t="s">
        <v>28</v>
      </c>
      <c r="G1118" t="s">
        <v>29</v>
      </c>
      <c r="H1118">
        <v>3</v>
      </c>
      <c r="I1118" t="s">
        <v>66</v>
      </c>
      <c r="J1118" t="s">
        <v>3214</v>
      </c>
      <c r="K1118" t="s">
        <v>3215</v>
      </c>
      <c r="L1118" t="s">
        <v>33</v>
      </c>
      <c r="M1118" s="4" t="s">
        <v>94</v>
      </c>
      <c r="N1118" t="s">
        <v>794</v>
      </c>
      <c r="P1118" s="3" t="s">
        <v>36</v>
      </c>
      <c r="Q1118" s="3" t="s">
        <v>90</v>
      </c>
      <c r="R1118">
        <v>1</v>
      </c>
      <c r="S1118" s="5">
        <v>45931</v>
      </c>
      <c r="T1118" t="s">
        <v>38</v>
      </c>
      <c r="U1118">
        <f t="shared" ca="1" si="102"/>
        <v>16</v>
      </c>
      <c r="V1118" s="6">
        <f t="shared" ca="1" si="103"/>
        <v>46018</v>
      </c>
      <c r="W1118" s="6">
        <f t="shared" ca="1" si="104"/>
        <v>46024</v>
      </c>
      <c r="X1118" t="str">
        <f t="shared" ca="1" si="105"/>
        <v>Dec 27 to Jan 2</v>
      </c>
      <c r="Y1118" t="str">
        <f t="shared" ca="1" si="106"/>
        <v>⚪ SCHEDULED</v>
      </c>
      <c r="Z1118" t="str">
        <f t="shared" ca="1" si="107"/>
        <v>No action needed yet</v>
      </c>
    </row>
    <row r="1119" spans="1:26">
      <c r="A1119">
        <v>1084779196</v>
      </c>
      <c r="B1119" s="3" t="s">
        <v>3216</v>
      </c>
      <c r="C1119">
        <v>40</v>
      </c>
      <c r="D1119" t="s">
        <v>47</v>
      </c>
      <c r="E1119" t="s">
        <v>29</v>
      </c>
      <c r="F1119" t="s">
        <v>28</v>
      </c>
      <c r="G1119" t="s">
        <v>29</v>
      </c>
      <c r="H1119">
        <v>4</v>
      </c>
      <c r="I1119" t="s">
        <v>66</v>
      </c>
      <c r="J1119" t="s">
        <v>3217</v>
      </c>
      <c r="K1119" t="s">
        <v>3218</v>
      </c>
      <c r="L1119" t="s">
        <v>234</v>
      </c>
      <c r="M1119" s="4" t="s">
        <v>43</v>
      </c>
      <c r="N1119" t="s">
        <v>51</v>
      </c>
      <c r="P1119" s="3" t="s">
        <v>36</v>
      </c>
      <c r="Q1119" s="3" t="s">
        <v>107</v>
      </c>
      <c r="R1119">
        <v>2</v>
      </c>
      <c r="S1119" s="5">
        <v>45909</v>
      </c>
      <c r="T1119" t="s">
        <v>38</v>
      </c>
      <c r="U1119">
        <f t="shared" ca="1" si="102"/>
        <v>24</v>
      </c>
      <c r="V1119" s="6">
        <f t="shared" ca="1" si="103"/>
        <v>46026</v>
      </c>
      <c r="W1119" s="6">
        <f t="shared" ca="1" si="104"/>
        <v>46032</v>
      </c>
      <c r="X1119" t="str">
        <f t="shared" ca="1" si="105"/>
        <v>Jan 4 to Jan 10</v>
      </c>
      <c r="Y1119" t="str">
        <f t="shared" ca="1" si="106"/>
        <v>⚪ SCHEDULED</v>
      </c>
      <c r="Z1119" t="str">
        <f t="shared" ca="1" si="107"/>
        <v>No action needed yet</v>
      </c>
    </row>
    <row r="1120" spans="1:26">
      <c r="A1120">
        <v>1085674677</v>
      </c>
      <c r="B1120" s="3" t="s">
        <v>3219</v>
      </c>
      <c r="C1120">
        <v>37</v>
      </c>
      <c r="D1120" t="s">
        <v>47</v>
      </c>
      <c r="E1120" t="s">
        <v>28</v>
      </c>
      <c r="F1120" t="s">
        <v>29</v>
      </c>
      <c r="G1120" t="s">
        <v>28</v>
      </c>
      <c r="H1120">
        <v>2</v>
      </c>
      <c r="I1120" t="s">
        <v>55</v>
      </c>
      <c r="J1120" t="s">
        <v>458</v>
      </c>
      <c r="K1120" t="s">
        <v>2984</v>
      </c>
      <c r="M1120" s="4" t="s">
        <v>34</v>
      </c>
      <c r="N1120" t="s">
        <v>64</v>
      </c>
      <c r="P1120" s="3" t="s">
        <v>36</v>
      </c>
      <c r="Q1120" s="3" t="s">
        <v>1494</v>
      </c>
      <c r="R1120">
        <v>1</v>
      </c>
      <c r="S1120" s="5">
        <v>45726</v>
      </c>
      <c r="T1120" t="s">
        <v>60</v>
      </c>
      <c r="U1120">
        <f t="shared" ca="1" si="102"/>
        <v>21</v>
      </c>
      <c r="V1120" s="6">
        <f t="shared" ca="1" si="103"/>
        <v>46023</v>
      </c>
      <c r="W1120" s="6">
        <f t="shared" ca="1" si="104"/>
        <v>46029</v>
      </c>
      <c r="X1120" t="str">
        <f t="shared" ca="1" si="105"/>
        <v>Jan 1 to Jan 7</v>
      </c>
      <c r="Y1120" t="str">
        <f t="shared" ca="1" si="106"/>
        <v>⚪ SCHEDULED</v>
      </c>
      <c r="Z1120" t="str">
        <f t="shared" ca="1" si="107"/>
        <v>No action needed yet</v>
      </c>
    </row>
    <row r="1121" spans="1:26">
      <c r="A1121">
        <v>1085872297</v>
      </c>
      <c r="B1121" s="3" t="s">
        <v>3220</v>
      </c>
      <c r="C1121">
        <v>55</v>
      </c>
      <c r="D1121" t="s">
        <v>27</v>
      </c>
      <c r="E1121" t="s">
        <v>29</v>
      </c>
      <c r="F1121" t="s">
        <v>28</v>
      </c>
      <c r="G1121" t="s">
        <v>28</v>
      </c>
      <c r="H1121">
        <v>4</v>
      </c>
      <c r="I1121" t="s">
        <v>66</v>
      </c>
      <c r="J1121" t="s">
        <v>3221</v>
      </c>
      <c r="K1121" t="s">
        <v>3222</v>
      </c>
      <c r="M1121" s="4" t="s">
        <v>34</v>
      </c>
      <c r="N1121" t="s">
        <v>148</v>
      </c>
      <c r="P1121" s="3" t="s">
        <v>36</v>
      </c>
      <c r="Q1121" s="3" t="s">
        <v>230</v>
      </c>
      <c r="R1121">
        <v>1</v>
      </c>
      <c r="S1121" s="5">
        <v>45651</v>
      </c>
      <c r="T1121" t="s">
        <v>38</v>
      </c>
      <c r="U1121">
        <f t="shared" ca="1" si="102"/>
        <v>6</v>
      </c>
      <c r="V1121" s="6">
        <f t="shared" ca="1" si="103"/>
        <v>46008</v>
      </c>
      <c r="W1121" s="6">
        <f t="shared" ca="1" si="104"/>
        <v>46014</v>
      </c>
      <c r="X1121" t="str">
        <f t="shared" ca="1" si="105"/>
        <v>Dec 17 to Dec 23</v>
      </c>
      <c r="Y1121" t="str">
        <f t="shared" ca="1" si="106"/>
        <v>🟢 THIS WEEK</v>
      </c>
      <c r="Z1121" t="str">
        <f t="shared" ca="1" si="107"/>
        <v>Confirm appointment</v>
      </c>
    </row>
    <row r="1122" spans="1:26">
      <c r="A1122">
        <v>1085941217</v>
      </c>
      <c r="B1122" s="3" t="s">
        <v>3223</v>
      </c>
      <c r="C1122">
        <v>81</v>
      </c>
      <c r="D1122" t="s">
        <v>27</v>
      </c>
      <c r="E1122" t="s">
        <v>29</v>
      </c>
      <c r="F1122" t="s">
        <v>28</v>
      </c>
      <c r="G1122" t="s">
        <v>28</v>
      </c>
      <c r="H1122">
        <v>6</v>
      </c>
      <c r="I1122" t="s">
        <v>30</v>
      </c>
      <c r="J1122" t="s">
        <v>3224</v>
      </c>
      <c r="K1122" t="s">
        <v>3225</v>
      </c>
      <c r="M1122" s="4" t="s">
        <v>34</v>
      </c>
      <c r="N1122" t="s">
        <v>148</v>
      </c>
      <c r="P1122" s="3" t="s">
        <v>36</v>
      </c>
      <c r="Q1122" s="3" t="s">
        <v>1566</v>
      </c>
      <c r="R1122">
        <v>1</v>
      </c>
      <c r="S1122" s="5">
        <v>45728</v>
      </c>
      <c r="T1122" t="s">
        <v>38</v>
      </c>
      <c r="U1122">
        <f t="shared" ca="1" si="102"/>
        <v>23</v>
      </c>
      <c r="V1122" s="6">
        <f t="shared" ca="1" si="103"/>
        <v>46025</v>
      </c>
      <c r="W1122" s="6">
        <f t="shared" ca="1" si="104"/>
        <v>46031</v>
      </c>
      <c r="X1122" t="str">
        <f t="shared" ca="1" si="105"/>
        <v>Jan 3 to Jan 9</v>
      </c>
      <c r="Y1122" t="str">
        <f t="shared" ca="1" si="106"/>
        <v>⚪ SCHEDULED</v>
      </c>
      <c r="Z1122" t="str">
        <f t="shared" ca="1" si="107"/>
        <v>No action needed yet</v>
      </c>
    </row>
    <row r="1123" spans="1:26">
      <c r="A1123">
        <v>1086052964</v>
      </c>
      <c r="B1123" s="3" t="s">
        <v>3226</v>
      </c>
      <c r="C1123">
        <v>48</v>
      </c>
      <c r="D1123" t="s">
        <v>27</v>
      </c>
      <c r="E1123" t="s">
        <v>28</v>
      </c>
      <c r="F1123" t="s">
        <v>29</v>
      </c>
      <c r="G1123" t="s">
        <v>28</v>
      </c>
      <c r="H1123">
        <v>3</v>
      </c>
      <c r="I1123" t="s">
        <v>66</v>
      </c>
      <c r="J1123" t="s">
        <v>125</v>
      </c>
      <c r="K1123" t="s">
        <v>3227</v>
      </c>
      <c r="L1123" t="s">
        <v>69</v>
      </c>
      <c r="M1123" s="4" t="s">
        <v>94</v>
      </c>
      <c r="N1123" t="s">
        <v>70</v>
      </c>
      <c r="P1123" s="3" t="s">
        <v>36</v>
      </c>
      <c r="Q1123" s="3" t="s">
        <v>365</v>
      </c>
      <c r="R1123">
        <v>2</v>
      </c>
      <c r="S1123" s="5">
        <v>45933</v>
      </c>
      <c r="T1123" t="s">
        <v>38</v>
      </c>
      <c r="U1123">
        <f t="shared" ca="1" si="102"/>
        <v>18</v>
      </c>
      <c r="V1123" s="6">
        <f t="shared" ca="1" si="103"/>
        <v>46020</v>
      </c>
      <c r="W1123" s="6">
        <f t="shared" ca="1" si="104"/>
        <v>46026</v>
      </c>
      <c r="X1123" t="str">
        <f t="shared" ca="1" si="105"/>
        <v>Dec 29 to Jan 4</v>
      </c>
      <c r="Y1123" t="str">
        <f t="shared" ca="1" si="106"/>
        <v>⚪ SCHEDULED</v>
      </c>
      <c r="Z1123" t="str">
        <f t="shared" ca="1" si="107"/>
        <v>No action needed yet</v>
      </c>
    </row>
    <row r="1124" spans="1:26">
      <c r="A1124">
        <v>1087585798</v>
      </c>
      <c r="B1124" s="3" t="s">
        <v>3228</v>
      </c>
      <c r="C1124">
        <v>31</v>
      </c>
      <c r="D1124" t="s">
        <v>27</v>
      </c>
      <c r="E1124" t="s">
        <v>28</v>
      </c>
      <c r="F1124" t="s">
        <v>29</v>
      </c>
      <c r="G1124" t="s">
        <v>28</v>
      </c>
      <c r="H1124">
        <v>2</v>
      </c>
      <c r="I1124" t="s">
        <v>55</v>
      </c>
      <c r="J1124" t="s">
        <v>253</v>
      </c>
      <c r="K1124" t="s">
        <v>3073</v>
      </c>
      <c r="L1124" t="s">
        <v>33</v>
      </c>
      <c r="M1124" s="4" t="s">
        <v>43</v>
      </c>
      <c r="N1124" t="s">
        <v>64</v>
      </c>
      <c r="P1124" s="3" t="s">
        <v>36</v>
      </c>
      <c r="Q1124" s="3" t="s">
        <v>77</v>
      </c>
      <c r="R1124">
        <v>2</v>
      </c>
      <c r="S1124" s="5">
        <v>45918</v>
      </c>
      <c r="T1124" t="s">
        <v>60</v>
      </c>
      <c r="U1124">
        <f t="shared" ca="1" si="102"/>
        <v>33</v>
      </c>
      <c r="V1124" s="6">
        <f t="shared" ca="1" si="103"/>
        <v>46035</v>
      </c>
      <c r="W1124" s="6">
        <f t="shared" ca="1" si="104"/>
        <v>46041</v>
      </c>
      <c r="X1124" t="str">
        <f t="shared" ca="1" si="105"/>
        <v>Jan 13 to Jan 19</v>
      </c>
      <c r="Y1124" t="str">
        <f t="shared" ca="1" si="106"/>
        <v>⚪ SCHEDULED</v>
      </c>
      <c r="Z1124" t="str">
        <f t="shared" ca="1" si="107"/>
        <v>No action needed yet</v>
      </c>
    </row>
    <row r="1125" spans="1:26">
      <c r="A1125">
        <v>1087960546</v>
      </c>
      <c r="B1125" s="3" t="s">
        <v>3229</v>
      </c>
      <c r="C1125">
        <v>66</v>
      </c>
      <c r="D1125" t="s">
        <v>27</v>
      </c>
      <c r="E1125" t="s">
        <v>29</v>
      </c>
      <c r="F1125" t="s">
        <v>29</v>
      </c>
      <c r="G1125" t="s">
        <v>29</v>
      </c>
      <c r="H1125">
        <v>7</v>
      </c>
      <c r="I1125" t="s">
        <v>30</v>
      </c>
      <c r="J1125" t="s">
        <v>319</v>
      </c>
      <c r="K1125" t="s">
        <v>3230</v>
      </c>
      <c r="M1125" s="4" t="s">
        <v>94</v>
      </c>
      <c r="N1125" t="s">
        <v>44</v>
      </c>
      <c r="P1125" s="3" t="s">
        <v>36</v>
      </c>
      <c r="Q1125" s="3" t="s">
        <v>90</v>
      </c>
      <c r="R1125">
        <v>2</v>
      </c>
      <c r="S1125" s="5">
        <v>45945</v>
      </c>
      <c r="T1125" t="s">
        <v>38</v>
      </c>
      <c r="U1125">
        <f t="shared" ca="1" si="102"/>
        <v>0</v>
      </c>
      <c r="V1125" s="6">
        <f t="shared" ca="1" si="103"/>
        <v>46002</v>
      </c>
      <c r="W1125" s="6">
        <f t="shared" ca="1" si="104"/>
        <v>46008</v>
      </c>
      <c r="X1125" t="str">
        <f t="shared" ca="1" si="105"/>
        <v>Dec 11 to Dec 17</v>
      </c>
      <c r="Y1125" t="str">
        <f t="shared" ca="1" si="106"/>
        <v>🟡 IMMINENT (within 3 days)</v>
      </c>
      <c r="Z1125" t="str">
        <f t="shared" ca="1" si="107"/>
        <v>Prepare medications TODAY</v>
      </c>
    </row>
    <row r="1126" spans="1:26">
      <c r="A1126">
        <v>1088365364</v>
      </c>
      <c r="B1126" s="3" t="s">
        <v>3231</v>
      </c>
      <c r="C1126">
        <v>35</v>
      </c>
      <c r="D1126" t="s">
        <v>47</v>
      </c>
      <c r="E1126" t="s">
        <v>28</v>
      </c>
      <c r="F1126" t="s">
        <v>29</v>
      </c>
      <c r="G1126" t="s">
        <v>28</v>
      </c>
      <c r="H1126">
        <v>2</v>
      </c>
      <c r="I1126" t="s">
        <v>55</v>
      </c>
      <c r="J1126" t="s">
        <v>3232</v>
      </c>
      <c r="K1126" t="s">
        <v>3233</v>
      </c>
      <c r="M1126" s="4" t="s">
        <v>34</v>
      </c>
      <c r="N1126" t="s">
        <v>64</v>
      </c>
      <c r="P1126" s="3" t="s">
        <v>36</v>
      </c>
      <c r="Q1126" t="s">
        <v>54</v>
      </c>
      <c r="R1126">
        <v>2</v>
      </c>
      <c r="S1126" s="5">
        <v>45823</v>
      </c>
      <c r="T1126" t="s">
        <v>60</v>
      </c>
      <c r="U1126">
        <f t="shared" ca="1" si="102"/>
        <v>58</v>
      </c>
      <c r="V1126" s="6">
        <f t="shared" ca="1" si="103"/>
        <v>46060</v>
      </c>
      <c r="W1126" s="6">
        <f t="shared" ca="1" si="104"/>
        <v>46066</v>
      </c>
      <c r="X1126" t="str">
        <f t="shared" ca="1" si="105"/>
        <v>Feb 7 to Feb 13</v>
      </c>
      <c r="Y1126" t="str">
        <f t="shared" ca="1" si="106"/>
        <v>⚪ SCHEDULED</v>
      </c>
      <c r="Z1126" t="str">
        <f t="shared" ca="1" si="107"/>
        <v>No action needed yet</v>
      </c>
    </row>
    <row r="1127" spans="1:26">
      <c r="A1127">
        <v>1089011835</v>
      </c>
      <c r="B1127" s="3" t="s">
        <v>3234</v>
      </c>
      <c r="C1127">
        <v>30</v>
      </c>
      <c r="D1127" t="s">
        <v>47</v>
      </c>
      <c r="E1127" t="s">
        <v>29</v>
      </c>
      <c r="F1127" t="s">
        <v>28</v>
      </c>
      <c r="G1127" t="s">
        <v>28</v>
      </c>
      <c r="H1127">
        <v>1</v>
      </c>
      <c r="I1127" t="s">
        <v>55</v>
      </c>
      <c r="J1127" t="s">
        <v>3235</v>
      </c>
      <c r="K1127" t="s">
        <v>3236</v>
      </c>
      <c r="M1127" s="4" t="s">
        <v>34</v>
      </c>
      <c r="N1127" t="s">
        <v>148</v>
      </c>
      <c r="P1127" s="3" t="s">
        <v>36</v>
      </c>
      <c r="Q1127" s="3" t="s">
        <v>107</v>
      </c>
      <c r="R1127">
        <v>1</v>
      </c>
      <c r="S1127" s="5">
        <v>45693</v>
      </c>
      <c r="T1127" t="s">
        <v>393</v>
      </c>
      <c r="U1127">
        <f t="shared" ca="1" si="102"/>
        <v>48</v>
      </c>
      <c r="V1127" s="6">
        <f t="shared" ca="1" si="103"/>
        <v>46050</v>
      </c>
      <c r="W1127" s="6">
        <f t="shared" ca="1" si="104"/>
        <v>46056</v>
      </c>
      <c r="X1127" t="str">
        <f t="shared" ca="1" si="105"/>
        <v>Jan 28 to Feb 3</v>
      </c>
      <c r="Y1127" t="str">
        <f t="shared" ca="1" si="106"/>
        <v>⚪ SCHEDULED</v>
      </c>
      <c r="Z1127" t="str">
        <f t="shared" ca="1" si="107"/>
        <v>No action needed yet</v>
      </c>
    </row>
    <row r="1128" spans="1:26">
      <c r="A1128">
        <v>1089574725</v>
      </c>
      <c r="B1128" s="3" t="s">
        <v>3237</v>
      </c>
      <c r="C1128">
        <v>35</v>
      </c>
      <c r="D1128" t="s">
        <v>27</v>
      </c>
      <c r="E1128" t="s">
        <v>29</v>
      </c>
      <c r="F1128" t="s">
        <v>28</v>
      </c>
      <c r="G1128" t="s">
        <v>28</v>
      </c>
      <c r="H1128">
        <v>2</v>
      </c>
      <c r="I1128" t="s">
        <v>55</v>
      </c>
      <c r="J1128" t="s">
        <v>2351</v>
      </c>
      <c r="K1128" t="s">
        <v>3238</v>
      </c>
      <c r="M1128" s="4" t="s">
        <v>94</v>
      </c>
      <c r="N1128" t="s">
        <v>148</v>
      </c>
      <c r="P1128" s="3" t="s">
        <v>36</v>
      </c>
      <c r="Q1128" s="3" t="s">
        <v>858</v>
      </c>
      <c r="R1128">
        <v>1</v>
      </c>
      <c r="S1128" s="5">
        <v>45968</v>
      </c>
      <c r="T1128" t="s">
        <v>60</v>
      </c>
      <c r="U1128">
        <f t="shared" ca="1" si="102"/>
        <v>23</v>
      </c>
      <c r="V1128" s="6">
        <f t="shared" ca="1" si="103"/>
        <v>46025</v>
      </c>
      <c r="W1128" s="6">
        <f t="shared" ca="1" si="104"/>
        <v>46031</v>
      </c>
      <c r="X1128" t="str">
        <f t="shared" ca="1" si="105"/>
        <v>Jan 3 to Jan 9</v>
      </c>
      <c r="Y1128" t="str">
        <f t="shared" ca="1" si="106"/>
        <v>⚪ SCHEDULED</v>
      </c>
      <c r="Z1128" t="str">
        <f t="shared" ca="1" si="107"/>
        <v>No action needed yet</v>
      </c>
    </row>
    <row r="1129" spans="1:26">
      <c r="A1129">
        <v>1089893257</v>
      </c>
      <c r="B1129" s="3" t="s">
        <v>3239</v>
      </c>
      <c r="C1129">
        <v>31</v>
      </c>
      <c r="D1129" t="s">
        <v>27</v>
      </c>
      <c r="E1129" t="s">
        <v>28</v>
      </c>
      <c r="F1129" t="s">
        <v>29</v>
      </c>
      <c r="G1129" t="s">
        <v>28</v>
      </c>
      <c r="H1129">
        <v>2</v>
      </c>
      <c r="I1129" t="s">
        <v>55</v>
      </c>
      <c r="J1129" t="s">
        <v>125</v>
      </c>
      <c r="K1129" t="s">
        <v>3240</v>
      </c>
      <c r="L1129" t="s">
        <v>69</v>
      </c>
      <c r="M1129" s="4" t="s">
        <v>34</v>
      </c>
      <c r="N1129" t="s">
        <v>70</v>
      </c>
      <c r="P1129" s="3" t="s">
        <v>36</v>
      </c>
      <c r="Q1129" s="3" t="s">
        <v>45</v>
      </c>
      <c r="R1129">
        <v>2</v>
      </c>
      <c r="S1129" s="5">
        <v>45789</v>
      </c>
      <c r="T1129" t="s">
        <v>60</v>
      </c>
      <c r="U1129">
        <f t="shared" ca="1" si="102"/>
        <v>24</v>
      </c>
      <c r="V1129" s="6">
        <f t="shared" ca="1" si="103"/>
        <v>46026</v>
      </c>
      <c r="W1129" s="6">
        <f t="shared" ca="1" si="104"/>
        <v>46032</v>
      </c>
      <c r="X1129" t="str">
        <f t="shared" ca="1" si="105"/>
        <v>Jan 4 to Jan 10</v>
      </c>
      <c r="Y1129" t="str">
        <f t="shared" ca="1" si="106"/>
        <v>⚪ SCHEDULED</v>
      </c>
      <c r="Z1129" t="str">
        <f t="shared" ca="1" si="107"/>
        <v>No action needed yet</v>
      </c>
    </row>
    <row r="1130" spans="1:26">
      <c r="A1130">
        <v>1090071083</v>
      </c>
      <c r="B1130" s="3" t="s">
        <v>3241</v>
      </c>
      <c r="C1130">
        <v>35</v>
      </c>
      <c r="D1130" t="s">
        <v>47</v>
      </c>
      <c r="E1130" t="s">
        <v>29</v>
      </c>
      <c r="F1130" t="s">
        <v>28</v>
      </c>
      <c r="G1130" t="s">
        <v>28</v>
      </c>
      <c r="H1130">
        <v>1</v>
      </c>
      <c r="I1130" t="s">
        <v>55</v>
      </c>
      <c r="J1130" t="s">
        <v>3242</v>
      </c>
      <c r="K1130" t="s">
        <v>3243</v>
      </c>
      <c r="L1130" t="s">
        <v>105</v>
      </c>
      <c r="M1130" s="4" t="s">
        <v>34</v>
      </c>
      <c r="N1130" t="s">
        <v>162</v>
      </c>
      <c r="P1130" s="3" t="s">
        <v>36</v>
      </c>
      <c r="Q1130" s="3" t="s">
        <v>45</v>
      </c>
      <c r="R1130">
        <v>2</v>
      </c>
      <c r="S1130" s="5">
        <v>45852</v>
      </c>
      <c r="T1130" t="s">
        <v>393</v>
      </c>
      <c r="U1130">
        <f t="shared" ca="1" si="102"/>
        <v>27</v>
      </c>
      <c r="V1130" s="6">
        <f t="shared" ca="1" si="103"/>
        <v>46029</v>
      </c>
      <c r="W1130" s="6">
        <f t="shared" ca="1" si="104"/>
        <v>46035</v>
      </c>
      <c r="X1130" t="str">
        <f t="shared" ca="1" si="105"/>
        <v>Jan 7 to Jan 13</v>
      </c>
      <c r="Y1130" t="str">
        <f t="shared" ca="1" si="106"/>
        <v>⚪ SCHEDULED</v>
      </c>
      <c r="Z1130" t="str">
        <f t="shared" ca="1" si="107"/>
        <v>No action needed yet</v>
      </c>
    </row>
    <row r="1131" spans="1:26">
      <c r="A1131">
        <v>1090527670</v>
      </c>
      <c r="B1131" s="3" t="s">
        <v>3244</v>
      </c>
      <c r="C1131">
        <v>39</v>
      </c>
      <c r="D1131" t="s">
        <v>47</v>
      </c>
      <c r="E1131" t="s">
        <v>29</v>
      </c>
      <c r="F1131" t="s">
        <v>28</v>
      </c>
      <c r="G1131" t="s">
        <v>29</v>
      </c>
      <c r="H1131">
        <v>2</v>
      </c>
      <c r="I1131" t="s">
        <v>55</v>
      </c>
      <c r="J1131" t="s">
        <v>3235</v>
      </c>
      <c r="K1131" t="s">
        <v>3245</v>
      </c>
      <c r="M1131" s="4" t="s">
        <v>94</v>
      </c>
      <c r="N1131" t="s">
        <v>95</v>
      </c>
      <c r="P1131" s="3" t="s">
        <v>36</v>
      </c>
      <c r="Q1131" s="3" t="s">
        <v>96</v>
      </c>
      <c r="R1131">
        <v>2</v>
      </c>
      <c r="S1131" s="5">
        <v>45974</v>
      </c>
      <c r="T1131" t="s">
        <v>60</v>
      </c>
      <c r="U1131">
        <f t="shared" ca="1" si="102"/>
        <v>29</v>
      </c>
      <c r="V1131" s="6">
        <f t="shared" ca="1" si="103"/>
        <v>46031</v>
      </c>
      <c r="W1131" s="6">
        <f t="shared" ca="1" si="104"/>
        <v>46037</v>
      </c>
      <c r="X1131" t="str">
        <f t="shared" ca="1" si="105"/>
        <v>Jan 9 to Jan 15</v>
      </c>
      <c r="Y1131" t="str">
        <f t="shared" ca="1" si="106"/>
        <v>⚪ SCHEDULED</v>
      </c>
      <c r="Z1131" t="str">
        <f t="shared" ca="1" si="107"/>
        <v>No action needed yet</v>
      </c>
    </row>
    <row r="1132" spans="1:26">
      <c r="A1132">
        <v>1090745272</v>
      </c>
      <c r="B1132" s="3" t="s">
        <v>3246</v>
      </c>
      <c r="C1132">
        <v>72</v>
      </c>
      <c r="D1132" t="s">
        <v>27</v>
      </c>
      <c r="E1132" t="s">
        <v>29</v>
      </c>
      <c r="F1132" t="s">
        <v>28</v>
      </c>
      <c r="G1132" t="s">
        <v>28</v>
      </c>
      <c r="H1132">
        <v>6</v>
      </c>
      <c r="I1132" t="s">
        <v>30</v>
      </c>
      <c r="J1132" t="s">
        <v>253</v>
      </c>
      <c r="K1132" t="s">
        <v>1172</v>
      </c>
      <c r="L1132" t="s">
        <v>33</v>
      </c>
      <c r="M1132" s="4" t="s">
        <v>43</v>
      </c>
      <c r="N1132" t="s">
        <v>148</v>
      </c>
      <c r="P1132" s="3" t="s">
        <v>36</v>
      </c>
      <c r="Q1132" s="3" t="s">
        <v>84</v>
      </c>
      <c r="R1132">
        <v>1</v>
      </c>
      <c r="S1132" s="5">
        <v>45868</v>
      </c>
      <c r="T1132" t="s">
        <v>38</v>
      </c>
      <c r="U1132">
        <f t="shared" ca="1" si="102"/>
        <v>13</v>
      </c>
      <c r="V1132" s="6">
        <f t="shared" ca="1" si="103"/>
        <v>46015</v>
      </c>
      <c r="W1132" s="6">
        <f t="shared" ca="1" si="104"/>
        <v>46021</v>
      </c>
      <c r="X1132" t="str">
        <f t="shared" ca="1" si="105"/>
        <v>Dec 24 to Dec 30</v>
      </c>
      <c r="Y1132" t="str">
        <f t="shared" ca="1" si="106"/>
        <v>🔵 NEXT 2 WEEKS</v>
      </c>
      <c r="Z1132" t="str">
        <f t="shared" ca="1" si="107"/>
        <v>Send reminder SMS</v>
      </c>
    </row>
    <row r="1133" spans="1:26">
      <c r="A1133">
        <v>1090975937</v>
      </c>
      <c r="B1133" s="3" t="s">
        <v>3247</v>
      </c>
      <c r="C1133">
        <v>55</v>
      </c>
      <c r="D1133" t="s">
        <v>27</v>
      </c>
      <c r="E1133" t="s">
        <v>29</v>
      </c>
      <c r="F1133" t="s">
        <v>28</v>
      </c>
      <c r="G1133" t="s">
        <v>29</v>
      </c>
      <c r="H1133">
        <v>5</v>
      </c>
      <c r="I1133" t="s">
        <v>30</v>
      </c>
      <c r="J1133" t="s">
        <v>302</v>
      </c>
      <c r="K1133" t="s">
        <v>3248</v>
      </c>
      <c r="M1133" s="4" t="s">
        <v>94</v>
      </c>
      <c r="N1133" t="s">
        <v>95</v>
      </c>
      <c r="P1133" s="3" t="s">
        <v>36</v>
      </c>
      <c r="Q1133" s="3" t="s">
        <v>84</v>
      </c>
      <c r="R1133">
        <v>1</v>
      </c>
      <c r="S1133" s="5">
        <v>45947</v>
      </c>
      <c r="T1133" t="s">
        <v>38</v>
      </c>
      <c r="U1133">
        <f t="shared" ca="1" si="102"/>
        <v>2</v>
      </c>
      <c r="V1133" s="6">
        <f t="shared" ca="1" si="103"/>
        <v>46004</v>
      </c>
      <c r="W1133" s="6">
        <f t="shared" ca="1" si="104"/>
        <v>46010</v>
      </c>
      <c r="X1133" t="str">
        <f t="shared" ca="1" si="105"/>
        <v>Dec 13 to Dec 19</v>
      </c>
      <c r="Y1133" t="str">
        <f t="shared" ca="1" si="106"/>
        <v>🟡 IMMINENT (within 3 days)</v>
      </c>
      <c r="Z1133" t="str">
        <f t="shared" ca="1" si="107"/>
        <v>Prepare medications TODAY</v>
      </c>
    </row>
    <row r="1134" spans="1:26">
      <c r="A1134">
        <v>1091040392</v>
      </c>
      <c r="B1134" s="3" t="s">
        <v>3249</v>
      </c>
      <c r="C1134">
        <v>56</v>
      </c>
      <c r="D1134" t="s">
        <v>27</v>
      </c>
      <c r="E1134" t="s">
        <v>28</v>
      </c>
      <c r="F1134" t="s">
        <v>29</v>
      </c>
      <c r="G1134" t="s">
        <v>29</v>
      </c>
      <c r="H1134">
        <v>4</v>
      </c>
      <c r="I1134" t="s">
        <v>66</v>
      </c>
      <c r="J1134" t="s">
        <v>3250</v>
      </c>
      <c r="K1134" t="s">
        <v>3251</v>
      </c>
      <c r="L1134" t="s">
        <v>428</v>
      </c>
      <c r="M1134" s="4" t="s">
        <v>94</v>
      </c>
      <c r="N1134" t="s">
        <v>1126</v>
      </c>
      <c r="P1134" s="3" t="s">
        <v>36</v>
      </c>
      <c r="Q1134" s="3" t="s">
        <v>230</v>
      </c>
      <c r="R1134">
        <v>1</v>
      </c>
      <c r="S1134" s="5">
        <v>45941</v>
      </c>
      <c r="T1134" t="s">
        <v>38</v>
      </c>
      <c r="U1134">
        <f t="shared" ca="1" si="102"/>
        <v>26</v>
      </c>
      <c r="V1134" s="6">
        <f t="shared" ca="1" si="103"/>
        <v>46028</v>
      </c>
      <c r="W1134" s="6">
        <f t="shared" ca="1" si="104"/>
        <v>46034</v>
      </c>
      <c r="X1134" t="str">
        <f t="shared" ca="1" si="105"/>
        <v>Jan 6 to Jan 12</v>
      </c>
      <c r="Y1134" t="str">
        <f t="shared" ca="1" si="106"/>
        <v>⚪ SCHEDULED</v>
      </c>
      <c r="Z1134" t="str">
        <f t="shared" ca="1" si="107"/>
        <v>No action needed yet</v>
      </c>
    </row>
    <row r="1135" spans="1:26">
      <c r="A1135">
        <v>1091097210</v>
      </c>
      <c r="B1135" s="3" t="s">
        <v>3252</v>
      </c>
      <c r="C1135">
        <v>73</v>
      </c>
      <c r="D1135" t="s">
        <v>27</v>
      </c>
      <c r="E1135" t="s">
        <v>29</v>
      </c>
      <c r="F1135" t="s">
        <v>29</v>
      </c>
      <c r="G1135" t="s">
        <v>29</v>
      </c>
      <c r="H1135">
        <v>8</v>
      </c>
      <c r="I1135" t="s">
        <v>30</v>
      </c>
      <c r="J1135" t="s">
        <v>3253</v>
      </c>
      <c r="K1135" t="s">
        <v>3254</v>
      </c>
      <c r="L1135" t="s">
        <v>100</v>
      </c>
      <c r="M1135" s="4" t="s">
        <v>34</v>
      </c>
      <c r="N1135" t="s">
        <v>76</v>
      </c>
      <c r="P1135" s="3" t="s">
        <v>36</v>
      </c>
      <c r="Q1135" s="3" t="s">
        <v>230</v>
      </c>
      <c r="R1135">
        <v>2</v>
      </c>
      <c r="S1135" s="5">
        <v>45730</v>
      </c>
      <c r="T1135" t="s">
        <v>38</v>
      </c>
      <c r="U1135">
        <f t="shared" ca="1" si="102"/>
        <v>25</v>
      </c>
      <c r="V1135" s="6">
        <f t="shared" ca="1" si="103"/>
        <v>46027</v>
      </c>
      <c r="W1135" s="6">
        <f t="shared" ca="1" si="104"/>
        <v>46033</v>
      </c>
      <c r="X1135" t="str">
        <f t="shared" ca="1" si="105"/>
        <v>Jan 5 to Jan 11</v>
      </c>
      <c r="Y1135" t="str">
        <f t="shared" ca="1" si="106"/>
        <v>⚪ SCHEDULED</v>
      </c>
      <c r="Z1135" t="str">
        <f t="shared" ca="1" si="107"/>
        <v>No action needed yet</v>
      </c>
    </row>
    <row r="1136" spans="1:26">
      <c r="A1136">
        <v>1091235992</v>
      </c>
      <c r="B1136" s="3" t="s">
        <v>3255</v>
      </c>
      <c r="C1136">
        <v>29</v>
      </c>
      <c r="D1136" t="s">
        <v>47</v>
      </c>
      <c r="E1136" t="s">
        <v>28</v>
      </c>
      <c r="F1136" t="s">
        <v>29</v>
      </c>
      <c r="G1136" t="s">
        <v>28</v>
      </c>
      <c r="H1136">
        <v>2</v>
      </c>
      <c r="I1136" t="s">
        <v>55</v>
      </c>
      <c r="J1136" t="s">
        <v>3256</v>
      </c>
      <c r="K1136" t="s">
        <v>3257</v>
      </c>
      <c r="L1136" t="s">
        <v>69</v>
      </c>
      <c r="M1136" s="4" t="s">
        <v>94</v>
      </c>
      <c r="N1136" t="s">
        <v>70</v>
      </c>
      <c r="P1136" s="3" t="s">
        <v>36</v>
      </c>
      <c r="Q1136" s="3" t="s">
        <v>230</v>
      </c>
      <c r="R1136">
        <v>1</v>
      </c>
      <c r="S1136" s="5">
        <v>45977</v>
      </c>
      <c r="T1136" t="s">
        <v>60</v>
      </c>
      <c r="U1136">
        <f t="shared" ca="1" si="102"/>
        <v>32</v>
      </c>
      <c r="V1136" s="6">
        <f t="shared" ca="1" si="103"/>
        <v>46034</v>
      </c>
      <c r="W1136" s="6">
        <f t="shared" ca="1" si="104"/>
        <v>46040</v>
      </c>
      <c r="X1136" t="str">
        <f t="shared" ca="1" si="105"/>
        <v>Jan 12 to Jan 18</v>
      </c>
      <c r="Y1136" t="str">
        <f t="shared" ca="1" si="106"/>
        <v>⚪ SCHEDULED</v>
      </c>
      <c r="Z1136" t="str">
        <f t="shared" ca="1" si="107"/>
        <v>No action needed yet</v>
      </c>
    </row>
    <row r="1137" spans="1:26">
      <c r="A1137">
        <v>1091601110</v>
      </c>
      <c r="B1137" s="3" t="s">
        <v>3258</v>
      </c>
      <c r="C1137">
        <v>52</v>
      </c>
      <c r="D1137" t="s">
        <v>27</v>
      </c>
      <c r="E1137" t="s">
        <v>29</v>
      </c>
      <c r="F1137" t="s">
        <v>29</v>
      </c>
      <c r="G1137" t="s">
        <v>28</v>
      </c>
      <c r="H1137">
        <v>5</v>
      </c>
      <c r="I1137" t="s">
        <v>30</v>
      </c>
      <c r="J1137" t="s">
        <v>260</v>
      </c>
      <c r="K1137" t="s">
        <v>3259</v>
      </c>
      <c r="M1137" s="4" t="s">
        <v>43</v>
      </c>
      <c r="N1137" t="s">
        <v>144</v>
      </c>
      <c r="P1137" s="3" t="s">
        <v>36</v>
      </c>
      <c r="Q1137" s="3" t="s">
        <v>45</v>
      </c>
      <c r="R1137">
        <v>2</v>
      </c>
      <c r="S1137" s="5">
        <v>45923</v>
      </c>
      <c r="T1137" t="s">
        <v>38</v>
      </c>
      <c r="U1137">
        <f t="shared" ca="1" si="102"/>
        <v>8</v>
      </c>
      <c r="V1137" s="6">
        <f t="shared" ca="1" si="103"/>
        <v>46010</v>
      </c>
      <c r="W1137" s="6">
        <f t="shared" ca="1" si="104"/>
        <v>46016</v>
      </c>
      <c r="X1137" t="str">
        <f t="shared" ca="1" si="105"/>
        <v>Dec 19 to Dec 25</v>
      </c>
      <c r="Y1137" t="str">
        <f t="shared" ca="1" si="106"/>
        <v>🔵 NEXT 2 WEEKS</v>
      </c>
      <c r="Z1137" t="str">
        <f t="shared" ca="1" si="107"/>
        <v>Send reminder SMS</v>
      </c>
    </row>
    <row r="1138" spans="1:26">
      <c r="A1138">
        <v>1092237146</v>
      </c>
      <c r="B1138" s="3" t="s">
        <v>3260</v>
      </c>
      <c r="C1138">
        <v>29</v>
      </c>
      <c r="D1138" t="s">
        <v>27</v>
      </c>
      <c r="E1138" t="s">
        <v>29</v>
      </c>
      <c r="F1138" t="s">
        <v>28</v>
      </c>
      <c r="G1138" t="s">
        <v>28</v>
      </c>
      <c r="H1138">
        <v>2</v>
      </c>
      <c r="I1138" t="s">
        <v>55</v>
      </c>
      <c r="J1138" t="s">
        <v>3261</v>
      </c>
      <c r="K1138" t="s">
        <v>3262</v>
      </c>
      <c r="L1138" t="s">
        <v>105</v>
      </c>
      <c r="M1138" s="4" t="s">
        <v>34</v>
      </c>
      <c r="N1138" t="s">
        <v>162</v>
      </c>
      <c r="P1138" s="3" t="s">
        <v>36</v>
      </c>
      <c r="Q1138" s="3" t="s">
        <v>90</v>
      </c>
      <c r="R1138">
        <v>2</v>
      </c>
      <c r="S1138" s="5">
        <v>45495</v>
      </c>
      <c r="T1138" t="s">
        <v>60</v>
      </c>
      <c r="U1138">
        <f t="shared" ca="1" si="102"/>
        <v>30</v>
      </c>
      <c r="V1138" s="6">
        <f t="shared" ca="1" si="103"/>
        <v>46032</v>
      </c>
      <c r="W1138" s="6">
        <f t="shared" ca="1" si="104"/>
        <v>46038</v>
      </c>
      <c r="X1138" t="str">
        <f t="shared" ca="1" si="105"/>
        <v>Jan 10 to Jan 16</v>
      </c>
      <c r="Y1138" t="str">
        <f t="shared" ca="1" si="106"/>
        <v>⚪ SCHEDULED</v>
      </c>
      <c r="Z1138" t="str">
        <f t="shared" ca="1" si="107"/>
        <v>No action needed yet</v>
      </c>
    </row>
    <row r="1139" spans="1:26">
      <c r="A1139">
        <v>1092427275</v>
      </c>
      <c r="B1139" s="3" t="s">
        <v>3263</v>
      </c>
      <c r="C1139">
        <v>49</v>
      </c>
      <c r="D1139" t="s">
        <v>47</v>
      </c>
      <c r="E1139" t="s">
        <v>29</v>
      </c>
      <c r="F1139" t="s">
        <v>28</v>
      </c>
      <c r="G1139" t="s">
        <v>28</v>
      </c>
      <c r="H1139">
        <v>2</v>
      </c>
      <c r="I1139" t="s">
        <v>55</v>
      </c>
      <c r="J1139" t="s">
        <v>3264</v>
      </c>
      <c r="K1139" t="s">
        <v>3265</v>
      </c>
      <c r="L1139" t="s">
        <v>170</v>
      </c>
      <c r="M1139" s="4" t="s">
        <v>34</v>
      </c>
      <c r="N1139" t="s">
        <v>162</v>
      </c>
      <c r="P1139" s="3" t="s">
        <v>36</v>
      </c>
      <c r="Q1139" s="3" t="s">
        <v>84</v>
      </c>
      <c r="R1139">
        <v>1</v>
      </c>
      <c r="S1139" s="5">
        <v>45835</v>
      </c>
      <c r="T1139" t="s">
        <v>60</v>
      </c>
      <c r="U1139">
        <f t="shared" ca="1" si="102"/>
        <v>10</v>
      </c>
      <c r="V1139" s="6">
        <f t="shared" ca="1" si="103"/>
        <v>46012</v>
      </c>
      <c r="W1139" s="6">
        <f t="shared" ca="1" si="104"/>
        <v>46018</v>
      </c>
      <c r="X1139" t="str">
        <f t="shared" ca="1" si="105"/>
        <v>Dec 21 to Dec 27</v>
      </c>
      <c r="Y1139" t="str">
        <f t="shared" ca="1" si="106"/>
        <v>🔵 NEXT 2 WEEKS</v>
      </c>
      <c r="Z1139" t="str">
        <f t="shared" ca="1" si="107"/>
        <v>Send reminder SMS</v>
      </c>
    </row>
    <row r="1140" spans="1:26">
      <c r="A1140">
        <v>1092794393</v>
      </c>
      <c r="B1140" s="3" t="s">
        <v>3266</v>
      </c>
      <c r="C1140">
        <v>30</v>
      </c>
      <c r="D1140" t="s">
        <v>47</v>
      </c>
      <c r="E1140" t="s">
        <v>28</v>
      </c>
      <c r="F1140" t="s">
        <v>28</v>
      </c>
      <c r="G1140" t="s">
        <v>29</v>
      </c>
      <c r="H1140">
        <v>1</v>
      </c>
      <c r="I1140" t="s">
        <v>55</v>
      </c>
      <c r="J1140" t="s">
        <v>109</v>
      </c>
      <c r="K1140" t="s">
        <v>1236</v>
      </c>
      <c r="M1140" s="4" t="s">
        <v>43</v>
      </c>
      <c r="N1140" t="s">
        <v>794</v>
      </c>
      <c r="P1140" s="3" t="s">
        <v>36</v>
      </c>
      <c r="Q1140" s="3" t="s">
        <v>96</v>
      </c>
      <c r="R1140">
        <v>2</v>
      </c>
      <c r="S1140" s="5">
        <v>45963</v>
      </c>
      <c r="T1140" t="s">
        <v>393</v>
      </c>
      <c r="U1140">
        <f t="shared" ca="1" si="102"/>
        <v>48</v>
      </c>
      <c r="V1140" s="6">
        <f t="shared" ca="1" si="103"/>
        <v>46050</v>
      </c>
      <c r="W1140" s="6">
        <f t="shared" ca="1" si="104"/>
        <v>46056</v>
      </c>
      <c r="X1140" t="str">
        <f t="shared" ca="1" si="105"/>
        <v>Jan 28 to Feb 3</v>
      </c>
      <c r="Y1140" t="str">
        <f t="shared" ca="1" si="106"/>
        <v>⚪ SCHEDULED</v>
      </c>
      <c r="Z1140" t="str">
        <f t="shared" ca="1" si="107"/>
        <v>No action needed yet</v>
      </c>
    </row>
    <row r="1141" spans="1:26">
      <c r="A1141">
        <v>1092990074</v>
      </c>
      <c r="B1141" s="3" t="s">
        <v>3267</v>
      </c>
      <c r="C1141">
        <v>29</v>
      </c>
      <c r="D1141" t="s">
        <v>47</v>
      </c>
      <c r="E1141" t="s">
        <v>29</v>
      </c>
      <c r="F1141" t="s">
        <v>29</v>
      </c>
      <c r="G1141" t="s">
        <v>28</v>
      </c>
      <c r="H1141">
        <v>4</v>
      </c>
      <c r="I1141" t="s">
        <v>66</v>
      </c>
      <c r="J1141" t="s">
        <v>1014</v>
      </c>
      <c r="K1141" t="s">
        <v>3268</v>
      </c>
      <c r="M1141" s="4" t="s">
        <v>34</v>
      </c>
      <c r="N1141" t="s">
        <v>144</v>
      </c>
      <c r="P1141" s="3" t="s">
        <v>36</v>
      </c>
      <c r="Q1141" s="3" t="s">
        <v>90</v>
      </c>
      <c r="R1141">
        <v>2</v>
      </c>
      <c r="S1141" s="5">
        <v>45447</v>
      </c>
      <c r="T1141" t="s">
        <v>38</v>
      </c>
      <c r="U1141">
        <f t="shared" ca="1" si="102"/>
        <v>12</v>
      </c>
      <c r="V1141" s="6">
        <f t="shared" ca="1" si="103"/>
        <v>46014</v>
      </c>
      <c r="W1141" s="6">
        <f t="shared" ca="1" si="104"/>
        <v>46020</v>
      </c>
      <c r="X1141" t="str">
        <f t="shared" ca="1" si="105"/>
        <v>Dec 23 to Dec 29</v>
      </c>
      <c r="Y1141" t="str">
        <f t="shared" ca="1" si="106"/>
        <v>🔵 NEXT 2 WEEKS</v>
      </c>
      <c r="Z1141" t="str">
        <f t="shared" ca="1" si="107"/>
        <v>Send reminder SMS</v>
      </c>
    </row>
    <row r="1142" spans="1:26">
      <c r="A1142">
        <v>1093049334</v>
      </c>
      <c r="B1142" s="3" t="s">
        <v>3269</v>
      </c>
      <c r="C1142">
        <v>55</v>
      </c>
      <c r="D1142" t="s">
        <v>27</v>
      </c>
      <c r="E1142" t="s">
        <v>28</v>
      </c>
      <c r="F1142" t="s">
        <v>28</v>
      </c>
      <c r="G1142" t="s">
        <v>28</v>
      </c>
      <c r="H1142">
        <v>3</v>
      </c>
      <c r="I1142" t="s">
        <v>66</v>
      </c>
      <c r="J1142" t="s">
        <v>519</v>
      </c>
      <c r="K1142" t="s">
        <v>890</v>
      </c>
      <c r="L1142" t="s">
        <v>114</v>
      </c>
      <c r="M1142" s="4" t="s">
        <v>34</v>
      </c>
      <c r="N1142" t="s">
        <v>59</v>
      </c>
      <c r="P1142" s="3" t="s">
        <v>36</v>
      </c>
      <c r="Q1142" t="s">
        <v>54</v>
      </c>
      <c r="R1142">
        <v>1</v>
      </c>
      <c r="S1142" s="5">
        <v>45478</v>
      </c>
      <c r="T1142" t="s">
        <v>38</v>
      </c>
      <c r="U1142">
        <f t="shared" ca="1" si="102"/>
        <v>13</v>
      </c>
      <c r="V1142" s="6">
        <f t="shared" ca="1" si="103"/>
        <v>46015</v>
      </c>
      <c r="W1142" s="6">
        <f t="shared" ca="1" si="104"/>
        <v>46021</v>
      </c>
      <c r="X1142" t="str">
        <f t="shared" ca="1" si="105"/>
        <v>Dec 24 to Dec 30</v>
      </c>
      <c r="Y1142" t="str">
        <f t="shared" ca="1" si="106"/>
        <v>🔵 NEXT 2 WEEKS</v>
      </c>
      <c r="Z1142" t="str">
        <f t="shared" ca="1" si="107"/>
        <v>Send reminder SMS</v>
      </c>
    </row>
    <row r="1143" spans="1:26">
      <c r="A1143">
        <v>1093277497</v>
      </c>
      <c r="B1143" s="3" t="s">
        <v>3270</v>
      </c>
      <c r="C1143">
        <v>60</v>
      </c>
      <c r="D1143" t="s">
        <v>27</v>
      </c>
      <c r="E1143" t="s">
        <v>28</v>
      </c>
      <c r="F1143" t="s">
        <v>29</v>
      </c>
      <c r="G1143" t="s">
        <v>29</v>
      </c>
      <c r="H1143">
        <v>5</v>
      </c>
      <c r="I1143" t="s">
        <v>30</v>
      </c>
      <c r="J1143" t="s">
        <v>3271</v>
      </c>
      <c r="K1143" t="s">
        <v>3272</v>
      </c>
      <c r="L1143" t="s">
        <v>586</v>
      </c>
      <c r="M1143" s="4" t="s">
        <v>94</v>
      </c>
      <c r="N1143" t="s">
        <v>333</v>
      </c>
      <c r="P1143" s="3" t="s">
        <v>36</v>
      </c>
      <c r="Q1143" s="3" t="s">
        <v>230</v>
      </c>
      <c r="R1143">
        <v>1</v>
      </c>
      <c r="S1143" s="5">
        <v>45945</v>
      </c>
      <c r="T1143" t="s">
        <v>38</v>
      </c>
      <c r="U1143">
        <f t="shared" ca="1" si="102"/>
        <v>0</v>
      </c>
      <c r="V1143" s="6">
        <f t="shared" ca="1" si="103"/>
        <v>46002</v>
      </c>
      <c r="W1143" s="6">
        <f t="shared" ca="1" si="104"/>
        <v>46008</v>
      </c>
      <c r="X1143" t="str">
        <f t="shared" ca="1" si="105"/>
        <v>Dec 11 to Dec 17</v>
      </c>
      <c r="Y1143" t="str">
        <f t="shared" ca="1" si="106"/>
        <v>🟡 IMMINENT (within 3 days)</v>
      </c>
      <c r="Z1143" t="str">
        <f t="shared" ca="1" si="107"/>
        <v>Prepare medications TODAY</v>
      </c>
    </row>
    <row r="1144" spans="1:26">
      <c r="A1144">
        <v>1093615175</v>
      </c>
      <c r="B1144" s="3" t="s">
        <v>3273</v>
      </c>
      <c r="C1144">
        <v>54</v>
      </c>
      <c r="D1144" t="s">
        <v>27</v>
      </c>
      <c r="E1144" t="s">
        <v>29</v>
      </c>
      <c r="F1144" t="s">
        <v>28</v>
      </c>
      <c r="G1144" t="s">
        <v>28</v>
      </c>
      <c r="H1144">
        <v>4</v>
      </c>
      <c r="I1144" t="s">
        <v>66</v>
      </c>
      <c r="J1144" t="s">
        <v>3274</v>
      </c>
      <c r="K1144" t="s">
        <v>3275</v>
      </c>
      <c r="M1144" s="4" t="s">
        <v>94</v>
      </c>
      <c r="N1144" t="s">
        <v>148</v>
      </c>
      <c r="P1144" s="3" t="s">
        <v>36</v>
      </c>
      <c r="Q1144" s="3" t="s">
        <v>77</v>
      </c>
      <c r="R1144">
        <v>2</v>
      </c>
      <c r="S1144" s="5">
        <v>45955</v>
      </c>
      <c r="T1144" t="s">
        <v>38</v>
      </c>
      <c r="U1144">
        <f t="shared" ca="1" si="102"/>
        <v>10</v>
      </c>
      <c r="V1144" s="6">
        <f t="shared" ca="1" si="103"/>
        <v>46012</v>
      </c>
      <c r="W1144" s="6">
        <f t="shared" ca="1" si="104"/>
        <v>46018</v>
      </c>
      <c r="X1144" t="str">
        <f t="shared" ca="1" si="105"/>
        <v>Dec 21 to Dec 27</v>
      </c>
      <c r="Y1144" t="str">
        <f t="shared" ca="1" si="106"/>
        <v>🔵 NEXT 2 WEEKS</v>
      </c>
      <c r="Z1144" t="str">
        <f t="shared" ca="1" si="107"/>
        <v>Send reminder SMS</v>
      </c>
    </row>
    <row r="1145" spans="1:26">
      <c r="A1145">
        <v>1094481528</v>
      </c>
      <c r="B1145" s="3" t="s">
        <v>3276</v>
      </c>
      <c r="C1145">
        <v>38</v>
      </c>
      <c r="D1145" t="s">
        <v>47</v>
      </c>
      <c r="E1145" t="s">
        <v>29</v>
      </c>
      <c r="F1145" t="s">
        <v>28</v>
      </c>
      <c r="G1145" t="s">
        <v>28</v>
      </c>
      <c r="H1145">
        <v>1</v>
      </c>
      <c r="I1145" t="s">
        <v>55</v>
      </c>
      <c r="J1145" t="s">
        <v>3277</v>
      </c>
      <c r="K1145" t="s">
        <v>3278</v>
      </c>
      <c r="L1145" t="s">
        <v>105</v>
      </c>
      <c r="M1145" s="4" t="s">
        <v>34</v>
      </c>
      <c r="N1145" t="s">
        <v>162</v>
      </c>
      <c r="P1145" s="3" t="s">
        <v>36</v>
      </c>
      <c r="Q1145" s="3" t="s">
        <v>313</v>
      </c>
      <c r="R1145">
        <v>1</v>
      </c>
      <c r="S1145" s="5">
        <v>45542</v>
      </c>
      <c r="T1145" t="s">
        <v>393</v>
      </c>
      <c r="U1145">
        <f t="shared" ca="1" si="102"/>
        <v>77</v>
      </c>
      <c r="V1145" s="6">
        <f t="shared" ca="1" si="103"/>
        <v>46079</v>
      </c>
      <c r="W1145" s="6">
        <f t="shared" ca="1" si="104"/>
        <v>46085</v>
      </c>
      <c r="X1145" t="str">
        <f t="shared" ca="1" si="105"/>
        <v>Feb 26 to Mar 4</v>
      </c>
      <c r="Y1145" t="str">
        <f t="shared" ca="1" si="106"/>
        <v>⚪ SCHEDULED</v>
      </c>
      <c r="Z1145" t="str">
        <f t="shared" ca="1" si="107"/>
        <v>No action needed yet</v>
      </c>
    </row>
    <row r="1146" spans="1:26">
      <c r="A1146">
        <v>1094511738</v>
      </c>
      <c r="B1146" s="3" t="s">
        <v>3279</v>
      </c>
      <c r="C1146">
        <v>29</v>
      </c>
      <c r="D1146" t="s">
        <v>27</v>
      </c>
      <c r="E1146" t="s">
        <v>54</v>
      </c>
      <c r="F1146" t="s">
        <v>54</v>
      </c>
      <c r="G1146" t="s">
        <v>54</v>
      </c>
      <c r="H1146">
        <v>0</v>
      </c>
      <c r="I1146" t="s">
        <v>55</v>
      </c>
      <c r="J1146" t="s">
        <v>2970</v>
      </c>
      <c r="K1146" t="s">
        <v>3280</v>
      </c>
      <c r="L1146" t="s">
        <v>170</v>
      </c>
      <c r="M1146" s="4" t="s">
        <v>34</v>
      </c>
      <c r="N1146" t="s">
        <v>59</v>
      </c>
      <c r="P1146" s="3" t="s">
        <v>36</v>
      </c>
      <c r="Q1146" t="s">
        <v>54</v>
      </c>
      <c r="R1146">
        <v>1</v>
      </c>
      <c r="S1146" s="5">
        <v>45684</v>
      </c>
      <c r="T1146" t="s">
        <v>393</v>
      </c>
      <c r="U1146">
        <f t="shared" ca="1" si="102"/>
        <v>39</v>
      </c>
      <c r="V1146" s="6">
        <f t="shared" ca="1" si="103"/>
        <v>46041</v>
      </c>
      <c r="W1146" s="6">
        <f t="shared" ca="1" si="104"/>
        <v>46047</v>
      </c>
      <c r="X1146" t="str">
        <f t="shared" ca="1" si="105"/>
        <v>Jan 19 to Jan 25</v>
      </c>
      <c r="Y1146" t="str">
        <f t="shared" ca="1" si="106"/>
        <v>⚪ SCHEDULED</v>
      </c>
      <c r="Z1146" t="str">
        <f t="shared" ca="1" si="107"/>
        <v>No action needed yet</v>
      </c>
    </row>
    <row r="1147" spans="1:26">
      <c r="A1147">
        <v>1094515556</v>
      </c>
      <c r="B1147" s="3" t="s">
        <v>3281</v>
      </c>
      <c r="C1147">
        <v>46</v>
      </c>
      <c r="D1147" t="s">
        <v>47</v>
      </c>
      <c r="E1147" t="s">
        <v>29</v>
      </c>
      <c r="F1147" t="s">
        <v>29</v>
      </c>
      <c r="G1147" t="s">
        <v>29</v>
      </c>
      <c r="H1147">
        <v>4</v>
      </c>
      <c r="I1147" t="s">
        <v>66</v>
      </c>
      <c r="J1147" t="s">
        <v>3282</v>
      </c>
      <c r="K1147" t="s">
        <v>3283</v>
      </c>
      <c r="L1147" t="s">
        <v>33</v>
      </c>
      <c r="M1147" s="4" t="s">
        <v>43</v>
      </c>
      <c r="N1147" t="s">
        <v>44</v>
      </c>
      <c r="P1147" s="3" t="s">
        <v>36</v>
      </c>
      <c r="Q1147" s="3" t="s">
        <v>107</v>
      </c>
      <c r="R1147">
        <v>2</v>
      </c>
      <c r="S1147" s="5">
        <v>45905</v>
      </c>
      <c r="T1147" t="s">
        <v>38</v>
      </c>
      <c r="U1147">
        <f t="shared" ca="1" si="102"/>
        <v>20</v>
      </c>
      <c r="V1147" s="6">
        <f t="shared" ca="1" si="103"/>
        <v>46022</v>
      </c>
      <c r="W1147" s="6">
        <f t="shared" ca="1" si="104"/>
        <v>46028</v>
      </c>
      <c r="X1147" t="str">
        <f t="shared" ca="1" si="105"/>
        <v>Dec 31 to Jan 6</v>
      </c>
      <c r="Y1147" t="str">
        <f t="shared" ca="1" si="106"/>
        <v>⚪ SCHEDULED</v>
      </c>
      <c r="Z1147" t="str">
        <f t="shared" ca="1" si="107"/>
        <v>No action needed yet</v>
      </c>
    </row>
    <row r="1148" spans="1:26">
      <c r="A1148">
        <v>1095575575</v>
      </c>
      <c r="B1148" s="3" t="s">
        <v>3284</v>
      </c>
      <c r="C1148">
        <v>29</v>
      </c>
      <c r="D1148" t="s">
        <v>27</v>
      </c>
      <c r="E1148" t="s">
        <v>29</v>
      </c>
      <c r="F1148" t="s">
        <v>28</v>
      </c>
      <c r="G1148" t="s">
        <v>28</v>
      </c>
      <c r="H1148">
        <v>2</v>
      </c>
      <c r="I1148" t="s">
        <v>55</v>
      </c>
      <c r="J1148" t="s">
        <v>430</v>
      </c>
      <c r="K1148" t="s">
        <v>1534</v>
      </c>
      <c r="M1148" s="4" t="s">
        <v>34</v>
      </c>
      <c r="N1148" t="s">
        <v>148</v>
      </c>
      <c r="P1148" s="3" t="s">
        <v>36</v>
      </c>
      <c r="Q1148" s="3" t="s">
        <v>84</v>
      </c>
      <c r="R1148">
        <v>1</v>
      </c>
      <c r="S1148" s="5">
        <v>45507</v>
      </c>
      <c r="T1148" t="s">
        <v>60</v>
      </c>
      <c r="U1148">
        <f t="shared" ca="1" si="102"/>
        <v>42</v>
      </c>
      <c r="V1148" s="6">
        <f t="shared" ca="1" si="103"/>
        <v>46044</v>
      </c>
      <c r="W1148" s="6">
        <f t="shared" ca="1" si="104"/>
        <v>46050</v>
      </c>
      <c r="X1148" t="str">
        <f t="shared" ca="1" si="105"/>
        <v>Jan 22 to Jan 28</v>
      </c>
      <c r="Y1148" t="str">
        <f t="shared" ca="1" si="106"/>
        <v>⚪ SCHEDULED</v>
      </c>
      <c r="Z1148" t="str">
        <f t="shared" ca="1" si="107"/>
        <v>No action needed yet</v>
      </c>
    </row>
    <row r="1149" spans="1:26">
      <c r="A1149">
        <v>1096173370</v>
      </c>
      <c r="B1149" s="3" t="s">
        <v>3285</v>
      </c>
      <c r="C1149">
        <v>43</v>
      </c>
      <c r="D1149" t="s">
        <v>47</v>
      </c>
      <c r="E1149" t="s">
        <v>29</v>
      </c>
      <c r="F1149" t="s">
        <v>28</v>
      </c>
      <c r="G1149" t="s">
        <v>28</v>
      </c>
      <c r="H1149">
        <v>3</v>
      </c>
      <c r="I1149" t="s">
        <v>66</v>
      </c>
      <c r="J1149" t="s">
        <v>3286</v>
      </c>
      <c r="K1149" t="s">
        <v>3287</v>
      </c>
      <c r="L1149" t="s">
        <v>234</v>
      </c>
      <c r="M1149" s="4" t="s">
        <v>43</v>
      </c>
      <c r="N1149" t="s">
        <v>162</v>
      </c>
      <c r="P1149" s="3" t="s">
        <v>36</v>
      </c>
      <c r="Q1149" s="3" t="s">
        <v>84</v>
      </c>
      <c r="R1149">
        <v>1</v>
      </c>
      <c r="S1149" s="5">
        <v>45885</v>
      </c>
      <c r="T1149" t="s">
        <v>38</v>
      </c>
      <c r="U1149">
        <f t="shared" ca="1" si="102"/>
        <v>0</v>
      </c>
      <c r="V1149" s="6">
        <f t="shared" ca="1" si="103"/>
        <v>46002</v>
      </c>
      <c r="W1149" s="6">
        <f t="shared" ca="1" si="104"/>
        <v>46008</v>
      </c>
      <c r="X1149" t="str">
        <f t="shared" ca="1" si="105"/>
        <v>Dec 11 to Dec 17</v>
      </c>
      <c r="Y1149" t="str">
        <f t="shared" ca="1" si="106"/>
        <v>🟡 IMMINENT (within 3 days)</v>
      </c>
      <c r="Z1149" t="str">
        <f t="shared" ca="1" si="107"/>
        <v>Prepare medications TODAY</v>
      </c>
    </row>
    <row r="1150" spans="1:26">
      <c r="A1150">
        <v>1096216021</v>
      </c>
      <c r="B1150" s="3" t="s">
        <v>3288</v>
      </c>
      <c r="C1150">
        <v>41</v>
      </c>
      <c r="D1150" t="s">
        <v>27</v>
      </c>
      <c r="E1150" t="s">
        <v>29</v>
      </c>
      <c r="F1150" t="s">
        <v>29</v>
      </c>
      <c r="G1150" t="s">
        <v>28</v>
      </c>
      <c r="H1150">
        <v>4</v>
      </c>
      <c r="I1150" t="s">
        <v>66</v>
      </c>
      <c r="J1150" t="s">
        <v>3289</v>
      </c>
      <c r="K1150" t="s">
        <v>3290</v>
      </c>
      <c r="L1150" t="s">
        <v>114</v>
      </c>
      <c r="M1150" s="4" t="s">
        <v>34</v>
      </c>
      <c r="N1150" t="s">
        <v>144</v>
      </c>
      <c r="P1150" s="3" t="s">
        <v>36</v>
      </c>
      <c r="Q1150" s="3" t="s">
        <v>858</v>
      </c>
      <c r="R1150">
        <v>1</v>
      </c>
      <c r="S1150" s="5">
        <v>45149</v>
      </c>
      <c r="T1150" t="s">
        <v>38</v>
      </c>
      <c r="U1150">
        <f t="shared" ca="1" si="102"/>
        <v>14</v>
      </c>
      <c r="V1150" s="6">
        <f t="shared" ca="1" si="103"/>
        <v>46016</v>
      </c>
      <c r="W1150" s="6">
        <f t="shared" ca="1" si="104"/>
        <v>46022</v>
      </c>
      <c r="X1150" t="str">
        <f t="shared" ca="1" si="105"/>
        <v>Dec 25 to Dec 31</v>
      </c>
      <c r="Y1150" t="str">
        <f t="shared" ca="1" si="106"/>
        <v>🔵 NEXT 2 WEEKS</v>
      </c>
      <c r="Z1150" t="str">
        <f t="shared" ca="1" si="107"/>
        <v>Send reminder SMS</v>
      </c>
    </row>
    <row r="1151" spans="1:26">
      <c r="A1151">
        <v>1096393598</v>
      </c>
      <c r="B1151" s="3" t="s">
        <v>3291</v>
      </c>
      <c r="C1151">
        <v>29</v>
      </c>
      <c r="D1151" t="s">
        <v>27</v>
      </c>
      <c r="E1151" t="s">
        <v>28</v>
      </c>
      <c r="F1151" t="s">
        <v>28</v>
      </c>
      <c r="G1151" t="s">
        <v>28</v>
      </c>
      <c r="H1151">
        <v>0</v>
      </c>
      <c r="I1151" t="s">
        <v>55</v>
      </c>
      <c r="J1151" t="s">
        <v>3292</v>
      </c>
      <c r="K1151" t="s">
        <v>3293</v>
      </c>
      <c r="L1151" t="s">
        <v>170</v>
      </c>
      <c r="M1151" s="4" t="s">
        <v>34</v>
      </c>
      <c r="N1151" t="s">
        <v>59</v>
      </c>
      <c r="P1151" s="3" t="s">
        <v>36</v>
      </c>
      <c r="Q1151" s="3" t="s">
        <v>84</v>
      </c>
      <c r="R1151">
        <v>1</v>
      </c>
      <c r="S1151" s="5">
        <v>45524</v>
      </c>
      <c r="T1151" t="s">
        <v>393</v>
      </c>
      <c r="U1151">
        <f t="shared" ca="1" si="102"/>
        <v>59</v>
      </c>
      <c r="V1151" s="6">
        <f t="shared" ca="1" si="103"/>
        <v>46061</v>
      </c>
      <c r="W1151" s="6">
        <f t="shared" ca="1" si="104"/>
        <v>46067</v>
      </c>
      <c r="X1151" t="str">
        <f t="shared" ca="1" si="105"/>
        <v>Feb 8 to Feb 14</v>
      </c>
      <c r="Y1151" t="str">
        <f t="shared" ca="1" si="106"/>
        <v>⚪ SCHEDULED</v>
      </c>
      <c r="Z1151" t="str">
        <f t="shared" ca="1" si="107"/>
        <v>No action needed yet</v>
      </c>
    </row>
    <row r="1152" spans="1:26">
      <c r="A1152">
        <v>1097047060</v>
      </c>
      <c r="B1152" s="3" t="s">
        <v>3294</v>
      </c>
      <c r="C1152">
        <v>55</v>
      </c>
      <c r="D1152" t="s">
        <v>27</v>
      </c>
      <c r="E1152" t="s">
        <v>28</v>
      </c>
      <c r="F1152" t="s">
        <v>28</v>
      </c>
      <c r="G1152" t="s">
        <v>28</v>
      </c>
      <c r="H1152">
        <v>2</v>
      </c>
      <c r="I1152" t="s">
        <v>55</v>
      </c>
      <c r="J1152" t="s">
        <v>1001</v>
      </c>
      <c r="K1152" t="s">
        <v>3295</v>
      </c>
      <c r="L1152" t="s">
        <v>1003</v>
      </c>
      <c r="M1152" s="4" t="s">
        <v>43</v>
      </c>
      <c r="N1152" t="s">
        <v>59</v>
      </c>
      <c r="P1152" s="3" t="s">
        <v>36</v>
      </c>
      <c r="Q1152" s="3" t="s">
        <v>90</v>
      </c>
      <c r="R1152">
        <v>1</v>
      </c>
      <c r="S1152" s="5">
        <v>45885</v>
      </c>
      <c r="T1152" t="s">
        <v>60</v>
      </c>
      <c r="U1152">
        <f t="shared" ca="1" si="102"/>
        <v>0</v>
      </c>
      <c r="V1152" s="6">
        <f t="shared" ca="1" si="103"/>
        <v>46002</v>
      </c>
      <c r="W1152" s="6">
        <f t="shared" ca="1" si="104"/>
        <v>46008</v>
      </c>
      <c r="X1152" t="str">
        <f t="shared" ca="1" si="105"/>
        <v>Dec 11 to Dec 17</v>
      </c>
      <c r="Y1152" t="str">
        <f t="shared" ca="1" si="106"/>
        <v>🟡 IMMINENT (within 3 days)</v>
      </c>
      <c r="Z1152" t="str">
        <f t="shared" ca="1" si="107"/>
        <v>Prepare medications TODAY</v>
      </c>
    </row>
    <row r="1153" spans="1:26">
      <c r="A1153">
        <v>1097121956</v>
      </c>
      <c r="B1153" s="3" t="s">
        <v>3296</v>
      </c>
      <c r="C1153">
        <v>51</v>
      </c>
      <c r="D1153" t="s">
        <v>27</v>
      </c>
      <c r="E1153" t="s">
        <v>28</v>
      </c>
      <c r="F1153" t="s">
        <v>29</v>
      </c>
      <c r="G1153" t="s">
        <v>28</v>
      </c>
      <c r="H1153">
        <v>3</v>
      </c>
      <c r="I1153" t="s">
        <v>66</v>
      </c>
      <c r="J1153" t="s">
        <v>253</v>
      </c>
      <c r="K1153" t="s">
        <v>1285</v>
      </c>
      <c r="L1153" t="s">
        <v>33</v>
      </c>
      <c r="M1153" s="4" t="s">
        <v>34</v>
      </c>
      <c r="N1153" t="s">
        <v>64</v>
      </c>
      <c r="P1153" s="3" t="s">
        <v>36</v>
      </c>
      <c r="Q1153" s="3" t="s">
        <v>107</v>
      </c>
      <c r="R1153">
        <v>1</v>
      </c>
      <c r="S1153" s="5">
        <v>45766</v>
      </c>
      <c r="T1153" t="s">
        <v>38</v>
      </c>
      <c r="U1153">
        <f t="shared" ca="1" si="102"/>
        <v>1</v>
      </c>
      <c r="V1153" s="6">
        <f t="shared" ca="1" si="103"/>
        <v>46003</v>
      </c>
      <c r="W1153" s="6">
        <f t="shared" ca="1" si="104"/>
        <v>46009</v>
      </c>
      <c r="X1153" t="str">
        <f t="shared" ca="1" si="105"/>
        <v>Dec 12 to Dec 18</v>
      </c>
      <c r="Y1153" t="str">
        <f t="shared" ca="1" si="106"/>
        <v>🟡 IMMINENT (within 3 days)</v>
      </c>
      <c r="Z1153" t="str">
        <f t="shared" ca="1" si="107"/>
        <v>Prepare medications TODAY</v>
      </c>
    </row>
    <row r="1154" spans="1:26">
      <c r="A1154">
        <v>1097423949</v>
      </c>
      <c r="B1154" s="3" t="s">
        <v>3297</v>
      </c>
      <c r="C1154">
        <v>50</v>
      </c>
      <c r="D1154" t="s">
        <v>27</v>
      </c>
      <c r="E1154" t="s">
        <v>29</v>
      </c>
      <c r="F1154" t="s">
        <v>28</v>
      </c>
      <c r="G1154" t="s">
        <v>28</v>
      </c>
      <c r="H1154">
        <v>3</v>
      </c>
      <c r="I1154" t="s">
        <v>66</v>
      </c>
      <c r="J1154" t="s">
        <v>455</v>
      </c>
      <c r="K1154" t="s">
        <v>3298</v>
      </c>
      <c r="M1154" s="4" t="s">
        <v>34</v>
      </c>
      <c r="N1154" t="s">
        <v>148</v>
      </c>
      <c r="P1154" s="3" t="s">
        <v>36</v>
      </c>
      <c r="Q1154" s="3" t="s">
        <v>96</v>
      </c>
      <c r="R1154">
        <v>2</v>
      </c>
      <c r="S1154" s="5">
        <v>45665</v>
      </c>
      <c r="T1154" t="s">
        <v>38</v>
      </c>
      <c r="U1154">
        <f t="shared" ref="U1154:U1217" ca="1" si="108">IF(S1154&gt;=TODAY(),S1154,S1154+CEILING((TODAY()-S1154)/IF(T1154="Monthly",30,IF(T1154="Bi-Monthly",60,90)),1)*IF(T1154="Monthly",30,IF(T1154="Bi-Monthly",60,90)))-TODAY()</f>
        <v>20</v>
      </c>
      <c r="V1154" s="6">
        <f t="shared" ref="V1154:V1217" ca="1" si="109">IF(S1154&gt;=TODAY(),S1154,S1154+CEILING((TODAY()-S1154)/IF(T1154="Monthly",30,IF(T1154="Bi-Monthly",60,90)),1)*IF(T1154="Monthly",30,IF(T1154="Bi-Monthly",60,90)))-3</f>
        <v>46022</v>
      </c>
      <c r="W1154" s="6">
        <f t="shared" ref="W1154:W1217" ca="1" si="110">IF(S1154&gt;=TODAY(),S1154,S1154+CEILING((TODAY()-S1154)/IF(T1154="Monthly",30,IF(T1154="Bi-Monthly",60,90)),1)*IF(T1154="Monthly",30,IF(T1154="Bi-Monthly",60,90)))+3</f>
        <v>46028</v>
      </c>
      <c r="X1154" t="str">
        <f t="shared" ref="X1154:X1217" ca="1" si="111">TEXT(V1154,"MMM D")&amp;" to "&amp;TEXT(W1154,"MMM D")</f>
        <v>Dec 31 to Jan 6</v>
      </c>
      <c r="Y1154" t="str">
        <f t="shared" ref="Y1154:Y1217" ca="1" si="112">IF(U1154&lt;=3,"🟡 IMMINENT (within 3 days)",IF(U1154&lt;=7,"🟢 THIS WEEK",IF(U1154&lt;=14,"🔵 NEXT 2 WEEKS","⚪ SCHEDULED")))</f>
        <v>⚪ SCHEDULED</v>
      </c>
      <c r="Z1154" t="str">
        <f t="shared" ref="Z1154:Z1217" ca="1" si="113">IF(U1154&lt;=3,"Prepare medications TODAY",IF(U1154&lt;=7,"Confirm appointment",IF(U1154&lt;=14,"Send reminder SMS","No action needed yet")))</f>
        <v>No action needed yet</v>
      </c>
    </row>
    <row r="1155" spans="1:26">
      <c r="A1155">
        <v>1098357120</v>
      </c>
      <c r="B1155" s="3" t="s">
        <v>3299</v>
      </c>
      <c r="C1155">
        <v>32</v>
      </c>
      <c r="D1155" t="s">
        <v>27</v>
      </c>
      <c r="E1155" t="s">
        <v>29</v>
      </c>
      <c r="F1155" t="s">
        <v>28</v>
      </c>
      <c r="G1155" t="s">
        <v>28</v>
      </c>
      <c r="H1155">
        <v>2</v>
      </c>
      <c r="I1155" t="s">
        <v>55</v>
      </c>
      <c r="J1155" t="s">
        <v>3300</v>
      </c>
      <c r="K1155" t="s">
        <v>3301</v>
      </c>
      <c r="L1155" t="s">
        <v>170</v>
      </c>
      <c r="M1155" s="4" t="s">
        <v>43</v>
      </c>
      <c r="N1155" t="s">
        <v>162</v>
      </c>
      <c r="P1155" s="3" t="s">
        <v>36</v>
      </c>
      <c r="Q1155" s="3" t="s">
        <v>107</v>
      </c>
      <c r="R1155">
        <v>1</v>
      </c>
      <c r="S1155" s="5">
        <v>45887</v>
      </c>
      <c r="T1155" t="s">
        <v>60</v>
      </c>
      <c r="U1155">
        <f t="shared" ca="1" si="108"/>
        <v>2</v>
      </c>
      <c r="V1155" s="6">
        <f t="shared" ca="1" si="109"/>
        <v>46004</v>
      </c>
      <c r="W1155" s="6">
        <f t="shared" ca="1" si="110"/>
        <v>46010</v>
      </c>
      <c r="X1155" t="str">
        <f t="shared" ca="1" si="111"/>
        <v>Dec 13 to Dec 19</v>
      </c>
      <c r="Y1155" t="str">
        <f t="shared" ca="1" si="112"/>
        <v>🟡 IMMINENT (within 3 days)</v>
      </c>
      <c r="Z1155" t="str">
        <f t="shared" ca="1" si="113"/>
        <v>Prepare medications TODAY</v>
      </c>
    </row>
    <row r="1156" spans="1:26">
      <c r="A1156">
        <v>1099062109</v>
      </c>
      <c r="B1156" s="3" t="s">
        <v>3302</v>
      </c>
      <c r="C1156">
        <v>28</v>
      </c>
      <c r="D1156" t="s">
        <v>27</v>
      </c>
      <c r="E1156" t="s">
        <v>54</v>
      </c>
      <c r="F1156" t="s">
        <v>54</v>
      </c>
      <c r="G1156" t="s">
        <v>54</v>
      </c>
      <c r="H1156">
        <v>0</v>
      </c>
      <c r="I1156" t="s">
        <v>55</v>
      </c>
      <c r="J1156" t="s">
        <v>3303</v>
      </c>
      <c r="K1156" t="s">
        <v>3304</v>
      </c>
      <c r="M1156" s="4" t="s">
        <v>94</v>
      </c>
      <c r="N1156" t="s">
        <v>59</v>
      </c>
      <c r="P1156" s="3" t="s">
        <v>36</v>
      </c>
      <c r="Q1156" s="3" t="s">
        <v>90</v>
      </c>
      <c r="R1156">
        <v>1</v>
      </c>
      <c r="S1156" s="5">
        <v>45992</v>
      </c>
      <c r="T1156" t="s">
        <v>393</v>
      </c>
      <c r="U1156">
        <f t="shared" ca="1" si="108"/>
        <v>77</v>
      </c>
      <c r="V1156" s="6">
        <f t="shared" ca="1" si="109"/>
        <v>46079</v>
      </c>
      <c r="W1156" s="6">
        <f t="shared" ca="1" si="110"/>
        <v>46085</v>
      </c>
      <c r="X1156" t="str">
        <f t="shared" ca="1" si="111"/>
        <v>Feb 26 to Mar 4</v>
      </c>
      <c r="Y1156" t="str">
        <f t="shared" ca="1" si="112"/>
        <v>⚪ SCHEDULED</v>
      </c>
      <c r="Z1156" t="str">
        <f t="shared" ca="1" si="113"/>
        <v>No action needed yet</v>
      </c>
    </row>
    <row r="1157" spans="1:26">
      <c r="A1157">
        <v>1099296129</v>
      </c>
      <c r="B1157" s="3" t="s">
        <v>3305</v>
      </c>
      <c r="C1157">
        <v>64</v>
      </c>
      <c r="D1157" t="s">
        <v>27</v>
      </c>
      <c r="E1157" t="s">
        <v>29</v>
      </c>
      <c r="F1157" t="s">
        <v>29</v>
      </c>
      <c r="G1157" t="s">
        <v>28</v>
      </c>
      <c r="H1157">
        <v>6</v>
      </c>
      <c r="I1157" t="s">
        <v>30</v>
      </c>
      <c r="J1157" t="s">
        <v>3306</v>
      </c>
      <c r="K1157" t="s">
        <v>3307</v>
      </c>
      <c r="M1157" s="4" t="s">
        <v>43</v>
      </c>
      <c r="N1157" t="s">
        <v>144</v>
      </c>
      <c r="P1157" s="3" t="s">
        <v>36</v>
      </c>
      <c r="Q1157" s="3" t="s">
        <v>90</v>
      </c>
      <c r="R1157">
        <v>1</v>
      </c>
      <c r="S1157" s="5">
        <v>45895</v>
      </c>
      <c r="T1157" t="s">
        <v>38</v>
      </c>
      <c r="U1157">
        <f t="shared" ca="1" si="108"/>
        <v>10</v>
      </c>
      <c r="V1157" s="6">
        <f t="shared" ca="1" si="109"/>
        <v>46012</v>
      </c>
      <c r="W1157" s="6">
        <f t="shared" ca="1" si="110"/>
        <v>46018</v>
      </c>
      <c r="X1157" t="str">
        <f t="shared" ca="1" si="111"/>
        <v>Dec 21 to Dec 27</v>
      </c>
      <c r="Y1157" t="str">
        <f t="shared" ca="1" si="112"/>
        <v>🔵 NEXT 2 WEEKS</v>
      </c>
      <c r="Z1157" t="str">
        <f t="shared" ca="1" si="113"/>
        <v>Send reminder SMS</v>
      </c>
    </row>
    <row r="1158" spans="1:26">
      <c r="A1158">
        <v>1099489625</v>
      </c>
      <c r="B1158" s="3" t="s">
        <v>3308</v>
      </c>
      <c r="C1158">
        <v>29</v>
      </c>
      <c r="D1158" t="s">
        <v>47</v>
      </c>
      <c r="E1158" t="s">
        <v>29</v>
      </c>
      <c r="F1158" t="s">
        <v>28</v>
      </c>
      <c r="G1158" t="s">
        <v>29</v>
      </c>
      <c r="H1158">
        <v>3</v>
      </c>
      <c r="I1158" t="s">
        <v>66</v>
      </c>
      <c r="J1158" t="s">
        <v>195</v>
      </c>
      <c r="K1158" t="s">
        <v>3309</v>
      </c>
      <c r="M1158" s="4" t="s">
        <v>34</v>
      </c>
      <c r="N1158" t="s">
        <v>95</v>
      </c>
      <c r="P1158" s="3" t="s">
        <v>36</v>
      </c>
      <c r="Q1158" s="3" t="s">
        <v>84</v>
      </c>
      <c r="R1158">
        <v>1</v>
      </c>
      <c r="S1158" s="5">
        <v>45657</v>
      </c>
      <c r="T1158" t="s">
        <v>38</v>
      </c>
      <c r="U1158">
        <f t="shared" ca="1" si="108"/>
        <v>12</v>
      </c>
      <c r="V1158" s="6">
        <f t="shared" ca="1" si="109"/>
        <v>46014</v>
      </c>
      <c r="W1158" s="6">
        <f t="shared" ca="1" si="110"/>
        <v>46020</v>
      </c>
      <c r="X1158" t="str">
        <f t="shared" ca="1" si="111"/>
        <v>Dec 23 to Dec 29</v>
      </c>
      <c r="Y1158" t="str">
        <f t="shared" ca="1" si="112"/>
        <v>🔵 NEXT 2 WEEKS</v>
      </c>
      <c r="Z1158" t="str">
        <f t="shared" ca="1" si="113"/>
        <v>Send reminder SMS</v>
      </c>
    </row>
    <row r="1159" spans="1:26">
      <c r="A1159">
        <v>1100332467</v>
      </c>
      <c r="B1159" s="3" t="s">
        <v>3310</v>
      </c>
      <c r="C1159">
        <v>81</v>
      </c>
      <c r="D1159" t="s">
        <v>47</v>
      </c>
      <c r="E1159" t="s">
        <v>29</v>
      </c>
      <c r="F1159" t="s">
        <v>29</v>
      </c>
      <c r="G1159" t="s">
        <v>29</v>
      </c>
      <c r="H1159">
        <v>7</v>
      </c>
      <c r="I1159" t="s">
        <v>30</v>
      </c>
      <c r="J1159" t="s">
        <v>3311</v>
      </c>
      <c r="K1159" t="s">
        <v>3312</v>
      </c>
      <c r="L1159" t="s">
        <v>355</v>
      </c>
      <c r="M1159" s="4" t="s">
        <v>34</v>
      </c>
      <c r="N1159" t="s">
        <v>76</v>
      </c>
      <c r="P1159" s="3" t="s">
        <v>36</v>
      </c>
      <c r="Q1159" s="3" t="s">
        <v>107</v>
      </c>
      <c r="R1159">
        <v>2</v>
      </c>
      <c r="S1159" s="5">
        <v>45576</v>
      </c>
      <c r="T1159" t="s">
        <v>38</v>
      </c>
      <c r="U1159">
        <f t="shared" ca="1" si="108"/>
        <v>21</v>
      </c>
      <c r="V1159" s="6">
        <f t="shared" ca="1" si="109"/>
        <v>46023</v>
      </c>
      <c r="W1159" s="6">
        <f t="shared" ca="1" si="110"/>
        <v>46029</v>
      </c>
      <c r="X1159" t="str">
        <f t="shared" ca="1" si="111"/>
        <v>Jan 1 to Jan 7</v>
      </c>
      <c r="Y1159" t="str">
        <f t="shared" ca="1" si="112"/>
        <v>⚪ SCHEDULED</v>
      </c>
      <c r="Z1159" t="str">
        <f t="shared" ca="1" si="113"/>
        <v>No action needed yet</v>
      </c>
    </row>
    <row r="1160" spans="1:26">
      <c r="A1160">
        <v>1101257267</v>
      </c>
      <c r="B1160" s="3" t="s">
        <v>3313</v>
      </c>
      <c r="C1160">
        <v>29</v>
      </c>
      <c r="D1160" t="s">
        <v>47</v>
      </c>
      <c r="E1160" t="s">
        <v>29</v>
      </c>
      <c r="F1160" t="s">
        <v>28</v>
      </c>
      <c r="G1160" t="s">
        <v>28</v>
      </c>
      <c r="H1160">
        <v>2</v>
      </c>
      <c r="I1160" t="s">
        <v>55</v>
      </c>
      <c r="J1160" t="s">
        <v>3314</v>
      </c>
      <c r="K1160" t="s">
        <v>3315</v>
      </c>
      <c r="L1160" t="s">
        <v>170</v>
      </c>
      <c r="M1160" s="4" t="s">
        <v>34</v>
      </c>
      <c r="N1160" t="s">
        <v>162</v>
      </c>
      <c r="P1160" s="3" t="s">
        <v>36</v>
      </c>
      <c r="Q1160" s="3" t="s">
        <v>96</v>
      </c>
      <c r="R1160">
        <v>1</v>
      </c>
      <c r="S1160" s="5">
        <v>45632</v>
      </c>
      <c r="T1160" t="s">
        <v>60</v>
      </c>
      <c r="U1160">
        <f t="shared" ca="1" si="108"/>
        <v>47</v>
      </c>
      <c r="V1160" s="6">
        <f t="shared" ca="1" si="109"/>
        <v>46049</v>
      </c>
      <c r="W1160" s="6">
        <f t="shared" ca="1" si="110"/>
        <v>46055</v>
      </c>
      <c r="X1160" t="str">
        <f t="shared" ca="1" si="111"/>
        <v>Jan 27 to Feb 2</v>
      </c>
      <c r="Y1160" t="str">
        <f t="shared" ca="1" si="112"/>
        <v>⚪ SCHEDULED</v>
      </c>
      <c r="Z1160" t="str">
        <f t="shared" ca="1" si="113"/>
        <v>No action needed yet</v>
      </c>
    </row>
    <row r="1161" spans="1:26">
      <c r="A1161">
        <v>1101317962</v>
      </c>
      <c r="B1161" s="3" t="s">
        <v>3316</v>
      </c>
      <c r="C1161">
        <v>46</v>
      </c>
      <c r="D1161" t="s">
        <v>47</v>
      </c>
      <c r="E1161" t="s">
        <v>28</v>
      </c>
      <c r="F1161" t="s">
        <v>29</v>
      </c>
      <c r="G1161" t="s">
        <v>29</v>
      </c>
      <c r="H1161">
        <v>3</v>
      </c>
      <c r="I1161" t="s">
        <v>66</v>
      </c>
      <c r="J1161" t="s">
        <v>112</v>
      </c>
      <c r="K1161" t="s">
        <v>113</v>
      </c>
      <c r="L1161" t="s">
        <v>114</v>
      </c>
      <c r="M1161" s="4" t="s">
        <v>34</v>
      </c>
      <c r="N1161" t="s">
        <v>209</v>
      </c>
      <c r="P1161" s="3" t="s">
        <v>36</v>
      </c>
      <c r="Q1161" s="3" t="s">
        <v>3317</v>
      </c>
      <c r="R1161">
        <v>1</v>
      </c>
      <c r="S1161" s="5">
        <v>45597</v>
      </c>
      <c r="T1161" t="s">
        <v>38</v>
      </c>
      <c r="U1161">
        <f t="shared" ca="1" si="108"/>
        <v>12</v>
      </c>
      <c r="V1161" s="6">
        <f t="shared" ca="1" si="109"/>
        <v>46014</v>
      </c>
      <c r="W1161" s="6">
        <f t="shared" ca="1" si="110"/>
        <v>46020</v>
      </c>
      <c r="X1161" t="str">
        <f t="shared" ca="1" si="111"/>
        <v>Dec 23 to Dec 29</v>
      </c>
      <c r="Y1161" t="str">
        <f t="shared" ca="1" si="112"/>
        <v>🔵 NEXT 2 WEEKS</v>
      </c>
      <c r="Z1161" t="str">
        <f t="shared" ca="1" si="113"/>
        <v>Send reminder SMS</v>
      </c>
    </row>
    <row r="1162" spans="1:26">
      <c r="A1162">
        <v>1102124334</v>
      </c>
      <c r="B1162" s="3" t="s">
        <v>3318</v>
      </c>
      <c r="C1162">
        <v>29</v>
      </c>
      <c r="D1162" t="s">
        <v>47</v>
      </c>
      <c r="E1162" t="s">
        <v>29</v>
      </c>
      <c r="F1162" t="s">
        <v>28</v>
      </c>
      <c r="G1162" t="s">
        <v>28</v>
      </c>
      <c r="H1162">
        <v>2</v>
      </c>
      <c r="I1162" t="s">
        <v>55</v>
      </c>
      <c r="J1162" t="s">
        <v>481</v>
      </c>
      <c r="K1162" t="s">
        <v>3319</v>
      </c>
      <c r="M1162" s="4" t="s">
        <v>34</v>
      </c>
      <c r="N1162" t="s">
        <v>148</v>
      </c>
      <c r="P1162" s="3" t="s">
        <v>36</v>
      </c>
      <c r="Q1162" s="3" t="s">
        <v>230</v>
      </c>
      <c r="R1162">
        <v>2</v>
      </c>
      <c r="S1162" s="5">
        <v>45767</v>
      </c>
      <c r="T1162" t="s">
        <v>60</v>
      </c>
      <c r="U1162">
        <f t="shared" ca="1" si="108"/>
        <v>2</v>
      </c>
      <c r="V1162" s="6">
        <f t="shared" ca="1" si="109"/>
        <v>46004</v>
      </c>
      <c r="W1162" s="6">
        <f t="shared" ca="1" si="110"/>
        <v>46010</v>
      </c>
      <c r="X1162" t="str">
        <f t="shared" ca="1" si="111"/>
        <v>Dec 13 to Dec 19</v>
      </c>
      <c r="Y1162" t="str">
        <f t="shared" ca="1" si="112"/>
        <v>🟡 IMMINENT (within 3 days)</v>
      </c>
      <c r="Z1162" t="str">
        <f t="shared" ca="1" si="113"/>
        <v>Prepare medications TODAY</v>
      </c>
    </row>
    <row r="1163" spans="1:26">
      <c r="A1163">
        <v>1102203989</v>
      </c>
      <c r="B1163" s="3" t="s">
        <v>3320</v>
      </c>
      <c r="C1163">
        <v>27</v>
      </c>
      <c r="D1163" t="s">
        <v>47</v>
      </c>
      <c r="E1163" t="s">
        <v>29</v>
      </c>
      <c r="F1163" t="s">
        <v>28</v>
      </c>
      <c r="G1163" t="s">
        <v>28</v>
      </c>
      <c r="H1163">
        <v>1</v>
      </c>
      <c r="I1163" t="s">
        <v>55</v>
      </c>
      <c r="J1163" t="s">
        <v>253</v>
      </c>
      <c r="K1163" t="s">
        <v>1312</v>
      </c>
      <c r="L1163" t="s">
        <v>33</v>
      </c>
      <c r="M1163" s="4" t="s">
        <v>43</v>
      </c>
      <c r="N1163" t="s">
        <v>148</v>
      </c>
      <c r="P1163" s="3" t="s">
        <v>36</v>
      </c>
      <c r="Q1163" s="3" t="s">
        <v>84</v>
      </c>
      <c r="R1163">
        <v>2</v>
      </c>
      <c r="S1163" s="5">
        <v>45986</v>
      </c>
      <c r="T1163" t="s">
        <v>393</v>
      </c>
      <c r="U1163">
        <f t="shared" ca="1" si="108"/>
        <v>71</v>
      </c>
      <c r="V1163" s="6">
        <f t="shared" ca="1" si="109"/>
        <v>46073</v>
      </c>
      <c r="W1163" s="6">
        <f t="shared" ca="1" si="110"/>
        <v>46079</v>
      </c>
      <c r="X1163" t="str">
        <f t="shared" ca="1" si="111"/>
        <v>Feb 20 to Feb 26</v>
      </c>
      <c r="Y1163" t="str">
        <f t="shared" ca="1" si="112"/>
        <v>⚪ SCHEDULED</v>
      </c>
      <c r="Z1163" t="str">
        <f t="shared" ca="1" si="113"/>
        <v>No action needed yet</v>
      </c>
    </row>
    <row r="1164" spans="1:26">
      <c r="A1164">
        <v>1102241336</v>
      </c>
      <c r="B1164" s="3" t="s">
        <v>3321</v>
      </c>
      <c r="C1164">
        <v>28</v>
      </c>
      <c r="D1164" t="s">
        <v>47</v>
      </c>
      <c r="E1164" t="s">
        <v>29</v>
      </c>
      <c r="F1164" t="s">
        <v>28</v>
      </c>
      <c r="G1164" t="s">
        <v>28</v>
      </c>
      <c r="H1164">
        <v>1</v>
      </c>
      <c r="I1164" t="s">
        <v>55</v>
      </c>
      <c r="J1164" t="s">
        <v>3322</v>
      </c>
      <c r="K1164" t="s">
        <v>3323</v>
      </c>
      <c r="L1164" t="s">
        <v>170</v>
      </c>
      <c r="M1164" s="4" t="s">
        <v>34</v>
      </c>
      <c r="N1164" t="s">
        <v>162</v>
      </c>
      <c r="P1164" s="3" t="s">
        <v>36</v>
      </c>
      <c r="Q1164" s="3" t="s">
        <v>3324</v>
      </c>
      <c r="R1164">
        <v>1</v>
      </c>
      <c r="S1164" s="5">
        <v>45756</v>
      </c>
      <c r="T1164" t="s">
        <v>393</v>
      </c>
      <c r="U1164">
        <f t="shared" ca="1" si="108"/>
        <v>21</v>
      </c>
      <c r="V1164" s="6">
        <f t="shared" ca="1" si="109"/>
        <v>46023</v>
      </c>
      <c r="W1164" s="6">
        <f t="shared" ca="1" si="110"/>
        <v>46029</v>
      </c>
      <c r="X1164" t="str">
        <f t="shared" ca="1" si="111"/>
        <v>Jan 1 to Jan 7</v>
      </c>
      <c r="Y1164" t="str">
        <f t="shared" ca="1" si="112"/>
        <v>⚪ SCHEDULED</v>
      </c>
      <c r="Z1164" t="str">
        <f t="shared" ca="1" si="113"/>
        <v>No action needed yet</v>
      </c>
    </row>
    <row r="1165" spans="1:26">
      <c r="A1165">
        <v>1102437249</v>
      </c>
      <c r="B1165" s="3" t="s">
        <v>3325</v>
      </c>
      <c r="C1165">
        <v>32</v>
      </c>
      <c r="D1165" t="s">
        <v>27</v>
      </c>
      <c r="E1165" t="s">
        <v>54</v>
      </c>
      <c r="F1165" t="s">
        <v>54</v>
      </c>
      <c r="G1165" t="s">
        <v>54</v>
      </c>
      <c r="H1165">
        <v>0</v>
      </c>
      <c r="I1165" t="s">
        <v>55</v>
      </c>
      <c r="J1165" t="s">
        <v>1110</v>
      </c>
      <c r="K1165" t="s">
        <v>1111</v>
      </c>
      <c r="L1165" t="s">
        <v>33</v>
      </c>
      <c r="M1165" s="4" t="s">
        <v>94</v>
      </c>
      <c r="N1165" t="s">
        <v>59</v>
      </c>
      <c r="P1165" s="3" t="s">
        <v>36</v>
      </c>
      <c r="Q1165" t="s">
        <v>54</v>
      </c>
      <c r="R1165">
        <v>1</v>
      </c>
      <c r="S1165" s="5">
        <v>45997</v>
      </c>
      <c r="T1165" t="s">
        <v>393</v>
      </c>
      <c r="U1165">
        <f t="shared" ca="1" si="108"/>
        <v>82</v>
      </c>
      <c r="V1165" s="6">
        <f t="shared" ca="1" si="109"/>
        <v>46084</v>
      </c>
      <c r="W1165" s="6">
        <f t="shared" ca="1" si="110"/>
        <v>46090</v>
      </c>
      <c r="X1165" t="str">
        <f t="shared" ca="1" si="111"/>
        <v>Mar 3 to Mar 9</v>
      </c>
      <c r="Y1165" t="str">
        <f t="shared" ca="1" si="112"/>
        <v>⚪ SCHEDULED</v>
      </c>
      <c r="Z1165" t="str">
        <f t="shared" ca="1" si="113"/>
        <v>No action needed yet</v>
      </c>
    </row>
    <row r="1166" spans="1:26">
      <c r="A1166">
        <v>1102579552</v>
      </c>
      <c r="B1166" s="3" t="s">
        <v>3326</v>
      </c>
      <c r="C1166">
        <v>27</v>
      </c>
      <c r="D1166" t="s">
        <v>27</v>
      </c>
      <c r="E1166" t="s">
        <v>28</v>
      </c>
      <c r="F1166" t="s">
        <v>28</v>
      </c>
      <c r="G1166" t="s">
        <v>28</v>
      </c>
      <c r="H1166">
        <v>0</v>
      </c>
      <c r="I1166" t="s">
        <v>55</v>
      </c>
      <c r="J1166" t="s">
        <v>1097</v>
      </c>
      <c r="K1166" t="s">
        <v>3327</v>
      </c>
      <c r="M1166" s="4" t="s">
        <v>34</v>
      </c>
      <c r="N1166" t="s">
        <v>59</v>
      </c>
      <c r="P1166" s="3" t="s">
        <v>36</v>
      </c>
      <c r="Q1166" s="3" t="s">
        <v>90</v>
      </c>
      <c r="R1166">
        <v>2</v>
      </c>
      <c r="S1166" s="5">
        <v>45851</v>
      </c>
      <c r="T1166" t="s">
        <v>393</v>
      </c>
      <c r="U1166">
        <f t="shared" ca="1" si="108"/>
        <v>26</v>
      </c>
      <c r="V1166" s="6">
        <f t="shared" ca="1" si="109"/>
        <v>46028</v>
      </c>
      <c r="W1166" s="6">
        <f t="shared" ca="1" si="110"/>
        <v>46034</v>
      </c>
      <c r="X1166" t="str">
        <f t="shared" ca="1" si="111"/>
        <v>Jan 6 to Jan 12</v>
      </c>
      <c r="Y1166" t="str">
        <f t="shared" ca="1" si="112"/>
        <v>⚪ SCHEDULED</v>
      </c>
      <c r="Z1166" t="str">
        <f t="shared" ca="1" si="113"/>
        <v>No action needed yet</v>
      </c>
    </row>
    <row r="1167" spans="1:26">
      <c r="A1167">
        <v>1102741095</v>
      </c>
      <c r="B1167" s="3" t="s">
        <v>3328</v>
      </c>
      <c r="C1167">
        <v>51</v>
      </c>
      <c r="D1167" t="s">
        <v>27</v>
      </c>
      <c r="E1167" t="s">
        <v>29</v>
      </c>
      <c r="F1167" t="s">
        <v>29</v>
      </c>
      <c r="G1167" t="s">
        <v>28</v>
      </c>
      <c r="H1167">
        <v>5</v>
      </c>
      <c r="I1167" t="s">
        <v>30</v>
      </c>
      <c r="J1167" t="s">
        <v>3329</v>
      </c>
      <c r="K1167" t="s">
        <v>3330</v>
      </c>
      <c r="M1167" s="4" t="s">
        <v>94</v>
      </c>
      <c r="N1167" t="s">
        <v>144</v>
      </c>
      <c r="P1167" s="3" t="s">
        <v>36</v>
      </c>
      <c r="Q1167" s="3" t="s">
        <v>90</v>
      </c>
      <c r="R1167">
        <v>1</v>
      </c>
      <c r="S1167" s="5">
        <v>45941</v>
      </c>
      <c r="T1167" t="s">
        <v>38</v>
      </c>
      <c r="U1167">
        <f t="shared" ca="1" si="108"/>
        <v>26</v>
      </c>
      <c r="V1167" s="6">
        <f t="shared" ca="1" si="109"/>
        <v>46028</v>
      </c>
      <c r="W1167" s="6">
        <f t="shared" ca="1" si="110"/>
        <v>46034</v>
      </c>
      <c r="X1167" t="str">
        <f t="shared" ca="1" si="111"/>
        <v>Jan 6 to Jan 12</v>
      </c>
      <c r="Y1167" t="str">
        <f t="shared" ca="1" si="112"/>
        <v>⚪ SCHEDULED</v>
      </c>
      <c r="Z1167" t="str">
        <f t="shared" ca="1" si="113"/>
        <v>No action needed yet</v>
      </c>
    </row>
    <row r="1168" spans="1:26">
      <c r="A1168">
        <v>1102798244</v>
      </c>
      <c r="B1168" s="3" t="s">
        <v>3331</v>
      </c>
      <c r="C1168">
        <v>46</v>
      </c>
      <c r="D1168" t="s">
        <v>47</v>
      </c>
      <c r="E1168" t="s">
        <v>29</v>
      </c>
      <c r="F1168" t="s">
        <v>28</v>
      </c>
      <c r="G1168" t="s">
        <v>28</v>
      </c>
      <c r="H1168">
        <v>2</v>
      </c>
      <c r="I1168" t="s">
        <v>55</v>
      </c>
      <c r="J1168" t="s">
        <v>3332</v>
      </c>
      <c r="K1168" t="s">
        <v>3333</v>
      </c>
      <c r="L1168" t="s">
        <v>317</v>
      </c>
      <c r="M1168" s="4" t="s">
        <v>43</v>
      </c>
      <c r="N1168" t="s">
        <v>162</v>
      </c>
      <c r="P1168" s="3" t="s">
        <v>36</v>
      </c>
      <c r="Q1168" t="s">
        <v>54</v>
      </c>
      <c r="R1168">
        <v>1</v>
      </c>
      <c r="S1168" s="5">
        <v>45893</v>
      </c>
      <c r="T1168" t="s">
        <v>60</v>
      </c>
      <c r="U1168">
        <f t="shared" ca="1" si="108"/>
        <v>8</v>
      </c>
      <c r="V1168" s="6">
        <f t="shared" ca="1" si="109"/>
        <v>46010</v>
      </c>
      <c r="W1168" s="6">
        <f t="shared" ca="1" si="110"/>
        <v>46016</v>
      </c>
      <c r="X1168" t="str">
        <f t="shared" ca="1" si="111"/>
        <v>Dec 19 to Dec 25</v>
      </c>
      <c r="Y1168" t="str">
        <f t="shared" ca="1" si="112"/>
        <v>🔵 NEXT 2 WEEKS</v>
      </c>
      <c r="Z1168" t="str">
        <f t="shared" ca="1" si="113"/>
        <v>Send reminder SMS</v>
      </c>
    </row>
    <row r="1169" spans="1:26">
      <c r="A1169">
        <v>1104126675</v>
      </c>
      <c r="B1169" s="3" t="s">
        <v>313</v>
      </c>
      <c r="C1169">
        <v>28</v>
      </c>
      <c r="D1169" t="s">
        <v>27</v>
      </c>
      <c r="E1169" t="s">
        <v>28</v>
      </c>
      <c r="F1169" t="s">
        <v>28</v>
      </c>
      <c r="G1169" t="s">
        <v>28</v>
      </c>
      <c r="H1169">
        <v>0</v>
      </c>
      <c r="I1169" t="s">
        <v>55</v>
      </c>
      <c r="J1169" t="s">
        <v>3334</v>
      </c>
      <c r="K1169" t="s">
        <v>3335</v>
      </c>
      <c r="M1169" s="4" t="s">
        <v>34</v>
      </c>
      <c r="N1169" t="s">
        <v>59</v>
      </c>
      <c r="P1169" s="3" t="s">
        <v>36</v>
      </c>
      <c r="Q1169" s="3" t="s">
        <v>96</v>
      </c>
      <c r="R1169">
        <v>2</v>
      </c>
      <c r="S1169" s="5">
        <v>45532</v>
      </c>
      <c r="T1169" t="s">
        <v>393</v>
      </c>
      <c r="U1169">
        <f t="shared" ca="1" si="108"/>
        <v>67</v>
      </c>
      <c r="V1169" s="6">
        <f t="shared" ca="1" si="109"/>
        <v>46069</v>
      </c>
      <c r="W1169" s="6">
        <f t="shared" ca="1" si="110"/>
        <v>46075</v>
      </c>
      <c r="X1169" t="str">
        <f t="shared" ca="1" si="111"/>
        <v>Feb 16 to Feb 22</v>
      </c>
      <c r="Y1169" t="str">
        <f t="shared" ca="1" si="112"/>
        <v>⚪ SCHEDULED</v>
      </c>
      <c r="Z1169" t="str">
        <f t="shared" ca="1" si="113"/>
        <v>No action needed yet</v>
      </c>
    </row>
    <row r="1170" spans="1:26">
      <c r="A1170">
        <v>1104447717</v>
      </c>
      <c r="B1170" s="3" t="s">
        <v>3336</v>
      </c>
      <c r="C1170">
        <v>27</v>
      </c>
      <c r="D1170" t="s">
        <v>27</v>
      </c>
      <c r="E1170" t="s">
        <v>28</v>
      </c>
      <c r="F1170" t="s">
        <v>28</v>
      </c>
      <c r="G1170" t="s">
        <v>29</v>
      </c>
      <c r="H1170">
        <v>2</v>
      </c>
      <c r="I1170" t="s">
        <v>55</v>
      </c>
      <c r="J1170" t="s">
        <v>519</v>
      </c>
      <c r="K1170" t="s">
        <v>3337</v>
      </c>
      <c r="L1170" t="s">
        <v>114</v>
      </c>
      <c r="M1170" s="4" t="s">
        <v>34</v>
      </c>
      <c r="N1170" t="s">
        <v>140</v>
      </c>
      <c r="P1170" s="3" t="s">
        <v>36</v>
      </c>
      <c r="Q1170" s="3" t="s">
        <v>77</v>
      </c>
      <c r="R1170">
        <v>1</v>
      </c>
      <c r="S1170" s="5">
        <v>45862</v>
      </c>
      <c r="T1170" t="s">
        <v>60</v>
      </c>
      <c r="U1170">
        <f t="shared" ca="1" si="108"/>
        <v>37</v>
      </c>
      <c r="V1170" s="6">
        <f t="shared" ca="1" si="109"/>
        <v>46039</v>
      </c>
      <c r="W1170" s="6">
        <f t="shared" ca="1" si="110"/>
        <v>46045</v>
      </c>
      <c r="X1170" t="str">
        <f t="shared" ca="1" si="111"/>
        <v>Jan 17 to Jan 23</v>
      </c>
      <c r="Y1170" t="str">
        <f t="shared" ca="1" si="112"/>
        <v>⚪ SCHEDULED</v>
      </c>
      <c r="Z1170" t="str">
        <f t="shared" ca="1" si="113"/>
        <v>No action needed yet</v>
      </c>
    </row>
    <row r="1171" spans="1:26">
      <c r="A1171">
        <v>1104453079</v>
      </c>
      <c r="B1171" s="3" t="s">
        <v>3338</v>
      </c>
      <c r="C1171">
        <v>79</v>
      </c>
      <c r="D1171" t="s">
        <v>27</v>
      </c>
      <c r="E1171" t="s">
        <v>29</v>
      </c>
      <c r="F1171" t="s">
        <v>29</v>
      </c>
      <c r="G1171" t="s">
        <v>28</v>
      </c>
      <c r="H1171">
        <v>7</v>
      </c>
      <c r="I1171" t="s">
        <v>30</v>
      </c>
      <c r="J1171" t="s">
        <v>3339</v>
      </c>
      <c r="K1171" t="s">
        <v>3340</v>
      </c>
      <c r="L1171" t="s">
        <v>100</v>
      </c>
      <c r="M1171" s="4" t="s">
        <v>43</v>
      </c>
      <c r="N1171" t="s">
        <v>119</v>
      </c>
      <c r="P1171" s="3" t="s">
        <v>36</v>
      </c>
      <c r="Q1171" s="3" t="s">
        <v>107</v>
      </c>
      <c r="R1171">
        <v>1</v>
      </c>
      <c r="S1171" s="5">
        <v>45863</v>
      </c>
      <c r="T1171" t="s">
        <v>38</v>
      </c>
      <c r="U1171">
        <f t="shared" ca="1" si="108"/>
        <v>8</v>
      </c>
      <c r="V1171" s="6">
        <f t="shared" ca="1" si="109"/>
        <v>46010</v>
      </c>
      <c r="W1171" s="6">
        <f t="shared" ca="1" si="110"/>
        <v>46016</v>
      </c>
      <c r="X1171" t="str">
        <f t="shared" ca="1" si="111"/>
        <v>Dec 19 to Dec 25</v>
      </c>
      <c r="Y1171" t="str">
        <f t="shared" ca="1" si="112"/>
        <v>🔵 NEXT 2 WEEKS</v>
      </c>
      <c r="Z1171" t="str">
        <f t="shared" ca="1" si="113"/>
        <v>Send reminder SMS</v>
      </c>
    </row>
    <row r="1172" spans="1:26">
      <c r="A1172">
        <v>1104494230</v>
      </c>
      <c r="B1172" s="3" t="s">
        <v>3341</v>
      </c>
      <c r="C1172">
        <v>29</v>
      </c>
      <c r="D1172" t="s">
        <v>27</v>
      </c>
      <c r="E1172" t="s">
        <v>28</v>
      </c>
      <c r="F1172" t="s">
        <v>28</v>
      </c>
      <c r="G1172" t="s">
        <v>28</v>
      </c>
      <c r="H1172">
        <v>0</v>
      </c>
      <c r="I1172" t="s">
        <v>55</v>
      </c>
      <c r="J1172" t="s">
        <v>3342</v>
      </c>
      <c r="K1172" t="s">
        <v>3343</v>
      </c>
      <c r="L1172" t="s">
        <v>170</v>
      </c>
      <c r="M1172" s="4" t="s">
        <v>34</v>
      </c>
      <c r="N1172" t="s">
        <v>59</v>
      </c>
      <c r="P1172" s="3" t="s">
        <v>36</v>
      </c>
      <c r="Q1172" s="3" t="s">
        <v>45</v>
      </c>
      <c r="R1172">
        <v>2</v>
      </c>
      <c r="S1172" s="5">
        <v>45885</v>
      </c>
      <c r="T1172" t="s">
        <v>393</v>
      </c>
      <c r="U1172">
        <f t="shared" ca="1" si="108"/>
        <v>60</v>
      </c>
      <c r="V1172" s="6">
        <f t="shared" ca="1" si="109"/>
        <v>46062</v>
      </c>
      <c r="W1172" s="6">
        <f t="shared" ca="1" si="110"/>
        <v>46068</v>
      </c>
      <c r="X1172" t="str">
        <f t="shared" ca="1" si="111"/>
        <v>Feb 9 to Feb 15</v>
      </c>
      <c r="Y1172" t="str">
        <f t="shared" ca="1" si="112"/>
        <v>⚪ SCHEDULED</v>
      </c>
      <c r="Z1172" t="str">
        <f t="shared" ca="1" si="113"/>
        <v>No action needed yet</v>
      </c>
    </row>
    <row r="1173" spans="1:26">
      <c r="A1173">
        <v>1104650153</v>
      </c>
      <c r="B1173" s="3" t="s">
        <v>3344</v>
      </c>
      <c r="C1173">
        <v>53</v>
      </c>
      <c r="D1173" t="s">
        <v>27</v>
      </c>
      <c r="E1173" t="s">
        <v>29</v>
      </c>
      <c r="F1173" t="s">
        <v>28</v>
      </c>
      <c r="G1173" t="s">
        <v>28</v>
      </c>
      <c r="H1173">
        <v>4</v>
      </c>
      <c r="I1173" t="s">
        <v>66</v>
      </c>
      <c r="J1173" t="s">
        <v>109</v>
      </c>
      <c r="K1173" t="s">
        <v>3345</v>
      </c>
      <c r="M1173" s="4" t="s">
        <v>43</v>
      </c>
      <c r="N1173" t="s">
        <v>148</v>
      </c>
      <c r="P1173" s="3" t="s">
        <v>36</v>
      </c>
      <c r="Q1173" s="3" t="s">
        <v>45</v>
      </c>
      <c r="R1173">
        <v>2</v>
      </c>
      <c r="S1173" s="5">
        <v>45913</v>
      </c>
      <c r="T1173" t="s">
        <v>38</v>
      </c>
      <c r="U1173">
        <f t="shared" ca="1" si="108"/>
        <v>28</v>
      </c>
      <c r="V1173" s="6">
        <f t="shared" ca="1" si="109"/>
        <v>46030</v>
      </c>
      <c r="W1173" s="6">
        <f t="shared" ca="1" si="110"/>
        <v>46036</v>
      </c>
      <c r="X1173" t="str">
        <f t="shared" ca="1" si="111"/>
        <v>Jan 8 to Jan 14</v>
      </c>
      <c r="Y1173" t="str">
        <f t="shared" ca="1" si="112"/>
        <v>⚪ SCHEDULED</v>
      </c>
      <c r="Z1173" t="str">
        <f t="shared" ca="1" si="113"/>
        <v>No action needed yet</v>
      </c>
    </row>
    <row r="1174" spans="1:26">
      <c r="A1174">
        <v>1106191479</v>
      </c>
      <c r="B1174" s="3" t="s">
        <v>3346</v>
      </c>
      <c r="C1174">
        <v>31</v>
      </c>
      <c r="D1174" t="s">
        <v>27</v>
      </c>
      <c r="E1174" t="s">
        <v>29</v>
      </c>
      <c r="F1174" t="s">
        <v>28</v>
      </c>
      <c r="G1174" t="s">
        <v>28</v>
      </c>
      <c r="H1174">
        <v>1</v>
      </c>
      <c r="I1174" t="s">
        <v>55</v>
      </c>
      <c r="J1174" t="s">
        <v>278</v>
      </c>
      <c r="K1174" t="s">
        <v>3347</v>
      </c>
      <c r="L1174" t="s">
        <v>170</v>
      </c>
      <c r="M1174" s="4" t="s">
        <v>34</v>
      </c>
      <c r="N1174" t="s">
        <v>162</v>
      </c>
      <c r="P1174" s="3" t="s">
        <v>36</v>
      </c>
      <c r="Q1174" s="3" t="s">
        <v>90</v>
      </c>
      <c r="R1174">
        <v>1</v>
      </c>
      <c r="S1174" s="5">
        <v>45804</v>
      </c>
      <c r="T1174" t="s">
        <v>393</v>
      </c>
      <c r="U1174">
        <f t="shared" ca="1" si="108"/>
        <v>69</v>
      </c>
      <c r="V1174" s="6">
        <f t="shared" ca="1" si="109"/>
        <v>46071</v>
      </c>
      <c r="W1174" s="6">
        <f t="shared" ca="1" si="110"/>
        <v>46077</v>
      </c>
      <c r="X1174" t="str">
        <f t="shared" ca="1" si="111"/>
        <v>Feb 18 to Feb 24</v>
      </c>
      <c r="Y1174" t="str">
        <f t="shared" ca="1" si="112"/>
        <v>⚪ SCHEDULED</v>
      </c>
      <c r="Z1174" t="str">
        <f t="shared" ca="1" si="113"/>
        <v>No action needed yet</v>
      </c>
    </row>
    <row r="1175" spans="1:26">
      <c r="A1175">
        <v>1106387754</v>
      </c>
      <c r="B1175" s="3" t="s">
        <v>3348</v>
      </c>
      <c r="C1175">
        <v>28</v>
      </c>
      <c r="D1175" t="s">
        <v>27</v>
      </c>
      <c r="E1175" t="s">
        <v>29</v>
      </c>
      <c r="F1175" t="s">
        <v>28</v>
      </c>
      <c r="G1175" t="s">
        <v>28</v>
      </c>
      <c r="H1175">
        <v>1</v>
      </c>
      <c r="I1175" t="s">
        <v>55</v>
      </c>
      <c r="J1175" t="s">
        <v>109</v>
      </c>
      <c r="K1175" t="s">
        <v>3162</v>
      </c>
      <c r="M1175" s="4" t="s">
        <v>94</v>
      </c>
      <c r="N1175" t="s">
        <v>148</v>
      </c>
      <c r="P1175" s="3" t="s">
        <v>36</v>
      </c>
      <c r="Q1175" s="3" t="s">
        <v>107</v>
      </c>
      <c r="R1175">
        <v>2</v>
      </c>
      <c r="S1175" s="5">
        <v>46021</v>
      </c>
      <c r="T1175" t="s">
        <v>393</v>
      </c>
      <c r="U1175">
        <f t="shared" ca="1" si="108"/>
        <v>16</v>
      </c>
      <c r="V1175" s="6">
        <f t="shared" ca="1" si="109"/>
        <v>46018</v>
      </c>
      <c r="W1175" s="6">
        <f t="shared" ca="1" si="110"/>
        <v>46024</v>
      </c>
      <c r="X1175" t="str">
        <f t="shared" ca="1" si="111"/>
        <v>Dec 27 to Jan 2</v>
      </c>
      <c r="Y1175" t="str">
        <f t="shared" ca="1" si="112"/>
        <v>⚪ SCHEDULED</v>
      </c>
      <c r="Z1175" t="str">
        <f t="shared" ca="1" si="113"/>
        <v>No action needed yet</v>
      </c>
    </row>
    <row r="1176" spans="1:26">
      <c r="A1176">
        <v>1106682410</v>
      </c>
      <c r="B1176" s="3" t="s">
        <v>3349</v>
      </c>
      <c r="C1176">
        <v>54</v>
      </c>
      <c r="D1176" t="s">
        <v>27</v>
      </c>
      <c r="E1176" t="s">
        <v>28</v>
      </c>
      <c r="F1176" t="s">
        <v>28</v>
      </c>
      <c r="G1176" t="s">
        <v>28</v>
      </c>
      <c r="H1176">
        <v>3</v>
      </c>
      <c r="I1176" t="s">
        <v>66</v>
      </c>
      <c r="J1176" t="s">
        <v>3350</v>
      </c>
      <c r="K1176" t="s">
        <v>3351</v>
      </c>
      <c r="L1176" t="s">
        <v>33</v>
      </c>
      <c r="M1176" s="4" t="s">
        <v>34</v>
      </c>
      <c r="N1176" t="s">
        <v>59</v>
      </c>
      <c r="P1176" s="3" t="s">
        <v>36</v>
      </c>
      <c r="Q1176" s="3" t="s">
        <v>365</v>
      </c>
      <c r="R1176">
        <v>1</v>
      </c>
      <c r="S1176" s="5">
        <v>45805</v>
      </c>
      <c r="T1176" t="s">
        <v>38</v>
      </c>
      <c r="U1176">
        <f t="shared" ca="1" si="108"/>
        <v>10</v>
      </c>
      <c r="V1176" s="6">
        <f t="shared" ca="1" si="109"/>
        <v>46012</v>
      </c>
      <c r="W1176" s="6">
        <f t="shared" ca="1" si="110"/>
        <v>46018</v>
      </c>
      <c r="X1176" t="str">
        <f t="shared" ca="1" si="111"/>
        <v>Dec 21 to Dec 27</v>
      </c>
      <c r="Y1176" t="str">
        <f t="shared" ca="1" si="112"/>
        <v>🔵 NEXT 2 WEEKS</v>
      </c>
      <c r="Z1176" t="str">
        <f t="shared" ca="1" si="113"/>
        <v>Send reminder SMS</v>
      </c>
    </row>
    <row r="1177" spans="1:26">
      <c r="A1177">
        <v>1107299925</v>
      </c>
      <c r="B1177" s="3" t="s">
        <v>3352</v>
      </c>
      <c r="C1177">
        <v>26</v>
      </c>
      <c r="D1177" t="s">
        <v>27</v>
      </c>
      <c r="E1177" t="s">
        <v>29</v>
      </c>
      <c r="F1177" t="s">
        <v>28</v>
      </c>
      <c r="G1177" t="s">
        <v>28</v>
      </c>
      <c r="H1177">
        <v>1</v>
      </c>
      <c r="I1177" t="s">
        <v>55</v>
      </c>
      <c r="J1177" t="s">
        <v>3353</v>
      </c>
      <c r="K1177" t="s">
        <v>3354</v>
      </c>
      <c r="L1177" t="s">
        <v>105</v>
      </c>
      <c r="M1177" s="4" t="s">
        <v>34</v>
      </c>
      <c r="N1177" t="s">
        <v>162</v>
      </c>
      <c r="P1177" s="3" t="s">
        <v>36</v>
      </c>
      <c r="Q1177" s="3" t="s">
        <v>45</v>
      </c>
      <c r="R1177">
        <v>2</v>
      </c>
      <c r="S1177" s="5">
        <v>45742</v>
      </c>
      <c r="T1177" t="s">
        <v>393</v>
      </c>
      <c r="U1177">
        <f t="shared" ca="1" si="108"/>
        <v>7</v>
      </c>
      <c r="V1177" s="6">
        <f t="shared" ca="1" si="109"/>
        <v>46009</v>
      </c>
      <c r="W1177" s="6">
        <f t="shared" ca="1" si="110"/>
        <v>46015</v>
      </c>
      <c r="X1177" t="str">
        <f t="shared" ca="1" si="111"/>
        <v>Dec 18 to Dec 24</v>
      </c>
      <c r="Y1177" t="str">
        <f t="shared" ca="1" si="112"/>
        <v>🟢 THIS WEEK</v>
      </c>
      <c r="Z1177" t="str">
        <f t="shared" ca="1" si="113"/>
        <v>Confirm appointment</v>
      </c>
    </row>
    <row r="1178" spans="1:26">
      <c r="A1178">
        <v>1107389486</v>
      </c>
      <c r="B1178" s="3" t="s">
        <v>3355</v>
      </c>
      <c r="C1178">
        <v>25</v>
      </c>
      <c r="D1178" t="s">
        <v>47</v>
      </c>
      <c r="E1178" t="s">
        <v>28</v>
      </c>
      <c r="F1178" t="s">
        <v>28</v>
      </c>
      <c r="G1178" t="s">
        <v>29</v>
      </c>
      <c r="H1178">
        <v>2</v>
      </c>
      <c r="I1178" t="s">
        <v>55</v>
      </c>
      <c r="J1178" t="s">
        <v>468</v>
      </c>
      <c r="K1178" t="s">
        <v>3356</v>
      </c>
      <c r="L1178" t="s">
        <v>114</v>
      </c>
      <c r="M1178" s="4" t="s">
        <v>34</v>
      </c>
      <c r="N1178" t="s">
        <v>140</v>
      </c>
      <c r="P1178" s="3" t="s">
        <v>36</v>
      </c>
      <c r="Q1178" s="3" t="s">
        <v>84</v>
      </c>
      <c r="R1178">
        <v>1</v>
      </c>
      <c r="S1178" s="5">
        <v>45775</v>
      </c>
      <c r="T1178" t="s">
        <v>60</v>
      </c>
      <c r="U1178">
        <f t="shared" ca="1" si="108"/>
        <v>10</v>
      </c>
      <c r="V1178" s="6">
        <f t="shared" ca="1" si="109"/>
        <v>46012</v>
      </c>
      <c r="W1178" s="6">
        <f t="shared" ca="1" si="110"/>
        <v>46018</v>
      </c>
      <c r="X1178" t="str">
        <f t="shared" ca="1" si="111"/>
        <v>Dec 21 to Dec 27</v>
      </c>
      <c r="Y1178" t="str">
        <f t="shared" ca="1" si="112"/>
        <v>🔵 NEXT 2 WEEKS</v>
      </c>
      <c r="Z1178" t="str">
        <f t="shared" ca="1" si="113"/>
        <v>Send reminder SMS</v>
      </c>
    </row>
    <row r="1179" spans="1:26">
      <c r="A1179">
        <v>1108090562</v>
      </c>
      <c r="B1179" s="3" t="s">
        <v>3357</v>
      </c>
      <c r="C1179">
        <v>55</v>
      </c>
      <c r="D1179" t="s">
        <v>27</v>
      </c>
      <c r="E1179" t="s">
        <v>28</v>
      </c>
      <c r="F1179" t="s">
        <v>28</v>
      </c>
      <c r="G1179" t="s">
        <v>29</v>
      </c>
      <c r="H1179">
        <v>4</v>
      </c>
      <c r="I1179" t="s">
        <v>66</v>
      </c>
      <c r="J1179" t="s">
        <v>3358</v>
      </c>
      <c r="K1179" t="s">
        <v>3359</v>
      </c>
      <c r="L1179" t="s">
        <v>3157</v>
      </c>
      <c r="M1179" s="4" t="s">
        <v>94</v>
      </c>
      <c r="N1179" t="s">
        <v>140</v>
      </c>
      <c r="P1179" s="3" t="s">
        <v>36</v>
      </c>
      <c r="Q1179" s="3" t="s">
        <v>77</v>
      </c>
      <c r="R1179">
        <v>2</v>
      </c>
      <c r="S1179" s="5">
        <v>45954</v>
      </c>
      <c r="T1179" t="s">
        <v>38</v>
      </c>
      <c r="U1179">
        <f t="shared" ca="1" si="108"/>
        <v>9</v>
      </c>
      <c r="V1179" s="6">
        <f t="shared" ca="1" si="109"/>
        <v>46011</v>
      </c>
      <c r="W1179" s="6">
        <f t="shared" ca="1" si="110"/>
        <v>46017</v>
      </c>
      <c r="X1179" t="str">
        <f t="shared" ca="1" si="111"/>
        <v>Dec 20 to Dec 26</v>
      </c>
      <c r="Y1179" t="str">
        <f t="shared" ca="1" si="112"/>
        <v>🔵 NEXT 2 WEEKS</v>
      </c>
      <c r="Z1179" t="str">
        <f t="shared" ca="1" si="113"/>
        <v>Send reminder SMS</v>
      </c>
    </row>
    <row r="1180" spans="1:26">
      <c r="A1180">
        <v>1108540806</v>
      </c>
      <c r="B1180" s="3" t="s">
        <v>3360</v>
      </c>
      <c r="C1180">
        <v>39</v>
      </c>
      <c r="D1180" t="s">
        <v>47</v>
      </c>
      <c r="E1180" t="s">
        <v>54</v>
      </c>
      <c r="F1180" t="s">
        <v>54</v>
      </c>
      <c r="G1180" t="s">
        <v>54</v>
      </c>
      <c r="H1180">
        <v>0</v>
      </c>
      <c r="I1180" t="s">
        <v>55</v>
      </c>
      <c r="J1180" t="s">
        <v>2665</v>
      </c>
      <c r="K1180" t="s">
        <v>3361</v>
      </c>
      <c r="L1180" t="s">
        <v>139</v>
      </c>
      <c r="M1180" s="4" t="s">
        <v>34</v>
      </c>
      <c r="N1180" t="s">
        <v>59</v>
      </c>
      <c r="P1180" s="3" t="s">
        <v>36</v>
      </c>
      <c r="Q1180" s="3" t="s">
        <v>96</v>
      </c>
      <c r="R1180">
        <v>2</v>
      </c>
      <c r="S1180" s="5">
        <v>45769</v>
      </c>
      <c r="T1180" t="s">
        <v>393</v>
      </c>
      <c r="U1180">
        <f t="shared" ca="1" si="108"/>
        <v>34</v>
      </c>
      <c r="V1180" s="6">
        <f t="shared" ca="1" si="109"/>
        <v>46036</v>
      </c>
      <c r="W1180" s="6">
        <f t="shared" ca="1" si="110"/>
        <v>46042</v>
      </c>
      <c r="X1180" t="str">
        <f t="shared" ca="1" si="111"/>
        <v>Jan 14 to Jan 20</v>
      </c>
      <c r="Y1180" t="str">
        <f t="shared" ca="1" si="112"/>
        <v>⚪ SCHEDULED</v>
      </c>
      <c r="Z1180" t="str">
        <f t="shared" ca="1" si="113"/>
        <v>No action needed yet</v>
      </c>
    </row>
    <row r="1181" spans="1:26">
      <c r="A1181">
        <v>1108643477</v>
      </c>
      <c r="B1181" s="3" t="s">
        <v>3362</v>
      </c>
      <c r="C1181">
        <v>26</v>
      </c>
      <c r="D1181" t="s">
        <v>47</v>
      </c>
      <c r="E1181" t="s">
        <v>28</v>
      </c>
      <c r="F1181" t="s">
        <v>29</v>
      </c>
      <c r="G1181" t="s">
        <v>28</v>
      </c>
      <c r="H1181">
        <v>2</v>
      </c>
      <c r="I1181" t="s">
        <v>55</v>
      </c>
      <c r="J1181" t="s">
        <v>3363</v>
      </c>
      <c r="K1181" t="s">
        <v>3364</v>
      </c>
      <c r="M1181" s="4" t="s">
        <v>43</v>
      </c>
      <c r="N1181" t="s">
        <v>64</v>
      </c>
      <c r="P1181" s="3" t="s">
        <v>36</v>
      </c>
      <c r="Q1181" s="3" t="s">
        <v>175</v>
      </c>
      <c r="R1181">
        <v>1</v>
      </c>
      <c r="S1181" s="5">
        <v>45906</v>
      </c>
      <c r="T1181" t="s">
        <v>60</v>
      </c>
      <c r="U1181">
        <f t="shared" ca="1" si="108"/>
        <v>21</v>
      </c>
      <c r="V1181" s="6">
        <f t="shared" ca="1" si="109"/>
        <v>46023</v>
      </c>
      <c r="W1181" s="6">
        <f t="shared" ca="1" si="110"/>
        <v>46029</v>
      </c>
      <c r="X1181" t="str">
        <f t="shared" ca="1" si="111"/>
        <v>Jan 1 to Jan 7</v>
      </c>
      <c r="Y1181" t="str">
        <f t="shared" ca="1" si="112"/>
        <v>⚪ SCHEDULED</v>
      </c>
      <c r="Z1181" t="str">
        <f t="shared" ca="1" si="113"/>
        <v>No action needed yet</v>
      </c>
    </row>
    <row r="1182" spans="1:26">
      <c r="A1182">
        <v>1110717350</v>
      </c>
      <c r="B1182" s="3" t="s">
        <v>3365</v>
      </c>
      <c r="C1182">
        <v>26</v>
      </c>
      <c r="D1182" t="s">
        <v>27</v>
      </c>
      <c r="E1182" t="s">
        <v>28</v>
      </c>
      <c r="F1182" t="s">
        <v>28</v>
      </c>
      <c r="G1182" t="s">
        <v>28</v>
      </c>
      <c r="H1182">
        <v>0</v>
      </c>
      <c r="I1182" t="s">
        <v>55</v>
      </c>
      <c r="J1182" t="s">
        <v>3366</v>
      </c>
      <c r="K1182" t="s">
        <v>3367</v>
      </c>
      <c r="L1182" t="s">
        <v>463</v>
      </c>
      <c r="M1182" s="4" t="s">
        <v>43</v>
      </c>
      <c r="N1182" t="s">
        <v>59</v>
      </c>
      <c r="P1182" s="3" t="s">
        <v>36</v>
      </c>
      <c r="Q1182" s="3" t="s">
        <v>45</v>
      </c>
      <c r="R1182">
        <v>1</v>
      </c>
      <c r="S1182" s="5">
        <v>45936</v>
      </c>
      <c r="T1182" t="s">
        <v>393</v>
      </c>
      <c r="U1182">
        <f t="shared" ca="1" si="108"/>
        <v>21</v>
      </c>
      <c r="V1182" s="6">
        <f t="shared" ca="1" si="109"/>
        <v>46023</v>
      </c>
      <c r="W1182" s="6">
        <f t="shared" ca="1" si="110"/>
        <v>46029</v>
      </c>
      <c r="X1182" t="str">
        <f t="shared" ca="1" si="111"/>
        <v>Jan 1 to Jan 7</v>
      </c>
      <c r="Y1182" t="str">
        <f t="shared" ca="1" si="112"/>
        <v>⚪ SCHEDULED</v>
      </c>
      <c r="Z1182" t="str">
        <f t="shared" ca="1" si="113"/>
        <v>No action needed yet</v>
      </c>
    </row>
    <row r="1183" spans="1:26">
      <c r="A1183">
        <v>1111421127</v>
      </c>
      <c r="B1183" s="3" t="s">
        <v>3368</v>
      </c>
      <c r="C1183">
        <v>44</v>
      </c>
      <c r="D1183" t="s">
        <v>27</v>
      </c>
      <c r="E1183" t="s">
        <v>28</v>
      </c>
      <c r="F1183" t="s">
        <v>29</v>
      </c>
      <c r="G1183" t="s">
        <v>28</v>
      </c>
      <c r="H1183">
        <v>2</v>
      </c>
      <c r="I1183" t="s">
        <v>55</v>
      </c>
      <c r="J1183" t="s">
        <v>3369</v>
      </c>
      <c r="K1183" t="s">
        <v>3370</v>
      </c>
      <c r="L1183" t="s">
        <v>33</v>
      </c>
      <c r="M1183" s="4" t="s">
        <v>94</v>
      </c>
      <c r="N1183" t="s">
        <v>64</v>
      </c>
      <c r="P1183" s="3" t="s">
        <v>36</v>
      </c>
      <c r="Q1183" s="3" t="s">
        <v>90</v>
      </c>
      <c r="R1183">
        <v>2</v>
      </c>
      <c r="S1183" s="5">
        <v>45962</v>
      </c>
      <c r="T1183" t="s">
        <v>60</v>
      </c>
      <c r="U1183">
        <f t="shared" ca="1" si="108"/>
        <v>17</v>
      </c>
      <c r="V1183" s="6">
        <f t="shared" ca="1" si="109"/>
        <v>46019</v>
      </c>
      <c r="W1183" s="6">
        <f t="shared" ca="1" si="110"/>
        <v>46025</v>
      </c>
      <c r="X1183" t="str">
        <f t="shared" ca="1" si="111"/>
        <v>Dec 28 to Jan 3</v>
      </c>
      <c r="Y1183" t="str">
        <f t="shared" ca="1" si="112"/>
        <v>⚪ SCHEDULED</v>
      </c>
      <c r="Z1183" t="str">
        <f t="shared" ca="1" si="113"/>
        <v>No action needed yet</v>
      </c>
    </row>
    <row r="1184" spans="1:26">
      <c r="A1184">
        <v>1112159700</v>
      </c>
      <c r="B1184" s="3" t="s">
        <v>3371</v>
      </c>
      <c r="C1184">
        <v>28</v>
      </c>
      <c r="D1184" t="s">
        <v>27</v>
      </c>
      <c r="E1184" t="s">
        <v>28</v>
      </c>
      <c r="F1184" t="s">
        <v>28</v>
      </c>
      <c r="G1184" t="s">
        <v>28</v>
      </c>
      <c r="H1184">
        <v>1</v>
      </c>
      <c r="I1184" t="s">
        <v>55</v>
      </c>
      <c r="J1184" t="s">
        <v>125</v>
      </c>
      <c r="K1184" t="s">
        <v>3372</v>
      </c>
      <c r="L1184" t="s">
        <v>69</v>
      </c>
      <c r="M1184" s="4" t="s">
        <v>94</v>
      </c>
      <c r="N1184" t="s">
        <v>59</v>
      </c>
      <c r="P1184" s="3" t="s">
        <v>36</v>
      </c>
      <c r="Q1184" s="3" t="s">
        <v>886</v>
      </c>
      <c r="R1184">
        <v>2</v>
      </c>
      <c r="S1184" s="5">
        <v>46020</v>
      </c>
      <c r="T1184" t="s">
        <v>393</v>
      </c>
      <c r="U1184">
        <f t="shared" ca="1" si="108"/>
        <v>15</v>
      </c>
      <c r="V1184" s="6">
        <f t="shared" ca="1" si="109"/>
        <v>46017</v>
      </c>
      <c r="W1184" s="6">
        <f t="shared" ca="1" si="110"/>
        <v>46023</v>
      </c>
      <c r="X1184" t="str">
        <f t="shared" ca="1" si="111"/>
        <v>Dec 26 to Jan 1</v>
      </c>
      <c r="Y1184" t="str">
        <f t="shared" ca="1" si="112"/>
        <v>⚪ SCHEDULED</v>
      </c>
      <c r="Z1184" t="str">
        <f t="shared" ca="1" si="113"/>
        <v>No action needed yet</v>
      </c>
    </row>
    <row r="1185" spans="1:26">
      <c r="A1185">
        <v>1112339211</v>
      </c>
      <c r="B1185" s="3" t="s">
        <v>3373</v>
      </c>
      <c r="C1185">
        <v>59</v>
      </c>
      <c r="D1185" t="s">
        <v>27</v>
      </c>
      <c r="E1185" t="s">
        <v>29</v>
      </c>
      <c r="F1185" t="s">
        <v>28</v>
      </c>
      <c r="G1185" t="s">
        <v>28</v>
      </c>
      <c r="H1185">
        <v>3</v>
      </c>
      <c r="I1185" t="s">
        <v>66</v>
      </c>
      <c r="J1185" t="s">
        <v>3374</v>
      </c>
      <c r="K1185" t="s">
        <v>3375</v>
      </c>
      <c r="M1185" s="4" t="s">
        <v>43</v>
      </c>
      <c r="N1185" t="s">
        <v>148</v>
      </c>
      <c r="P1185" s="3" t="s">
        <v>36</v>
      </c>
      <c r="Q1185" s="3" t="s">
        <v>175</v>
      </c>
      <c r="R1185">
        <v>1</v>
      </c>
      <c r="S1185" s="5">
        <v>45884</v>
      </c>
      <c r="T1185" t="s">
        <v>38</v>
      </c>
      <c r="U1185">
        <f t="shared" ca="1" si="108"/>
        <v>29</v>
      </c>
      <c r="V1185" s="6">
        <f t="shared" ca="1" si="109"/>
        <v>46031</v>
      </c>
      <c r="W1185" s="6">
        <f t="shared" ca="1" si="110"/>
        <v>46037</v>
      </c>
      <c r="X1185" t="str">
        <f t="shared" ca="1" si="111"/>
        <v>Jan 9 to Jan 15</v>
      </c>
      <c r="Y1185" t="str">
        <f t="shared" ca="1" si="112"/>
        <v>⚪ SCHEDULED</v>
      </c>
      <c r="Z1185" t="str">
        <f t="shared" ca="1" si="113"/>
        <v>No action needed yet</v>
      </c>
    </row>
    <row r="1186" spans="1:26">
      <c r="A1186">
        <v>1113791535</v>
      </c>
      <c r="B1186" s="3" t="s">
        <v>3376</v>
      </c>
      <c r="C1186">
        <v>24</v>
      </c>
      <c r="D1186" t="s">
        <v>47</v>
      </c>
      <c r="E1186" t="s">
        <v>28</v>
      </c>
      <c r="F1186" t="s">
        <v>28</v>
      </c>
      <c r="G1186" t="s">
        <v>28</v>
      </c>
      <c r="H1186">
        <v>0</v>
      </c>
      <c r="I1186" t="s">
        <v>55</v>
      </c>
      <c r="J1186" t="s">
        <v>3377</v>
      </c>
      <c r="K1186" t="s">
        <v>3378</v>
      </c>
      <c r="L1186" t="s">
        <v>170</v>
      </c>
      <c r="M1186" s="4" t="s">
        <v>34</v>
      </c>
      <c r="N1186" t="s">
        <v>59</v>
      </c>
      <c r="P1186" s="3" t="s">
        <v>36</v>
      </c>
      <c r="Q1186" s="3" t="s">
        <v>313</v>
      </c>
      <c r="R1186">
        <v>1</v>
      </c>
      <c r="S1186" s="5">
        <v>45580</v>
      </c>
      <c r="T1186" t="s">
        <v>393</v>
      </c>
      <c r="U1186">
        <f t="shared" ca="1" si="108"/>
        <v>25</v>
      </c>
      <c r="V1186" s="6">
        <f t="shared" ca="1" si="109"/>
        <v>46027</v>
      </c>
      <c r="W1186" s="6">
        <f t="shared" ca="1" si="110"/>
        <v>46033</v>
      </c>
      <c r="X1186" t="str">
        <f t="shared" ca="1" si="111"/>
        <v>Jan 5 to Jan 11</v>
      </c>
      <c r="Y1186" t="str">
        <f t="shared" ca="1" si="112"/>
        <v>⚪ SCHEDULED</v>
      </c>
      <c r="Z1186" t="str">
        <f t="shared" ca="1" si="113"/>
        <v>No action needed yet</v>
      </c>
    </row>
    <row r="1187" spans="1:26">
      <c r="A1187">
        <v>1114452350</v>
      </c>
      <c r="B1187" s="3" t="s">
        <v>3379</v>
      </c>
      <c r="C1187">
        <v>35</v>
      </c>
      <c r="D1187" t="s">
        <v>47</v>
      </c>
      <c r="E1187" t="s">
        <v>29</v>
      </c>
      <c r="F1187" t="s">
        <v>28</v>
      </c>
      <c r="G1187" t="s">
        <v>28</v>
      </c>
      <c r="H1187">
        <v>2</v>
      </c>
      <c r="I1187" t="s">
        <v>55</v>
      </c>
      <c r="J1187" t="s">
        <v>3380</v>
      </c>
      <c r="K1187" t="s">
        <v>3381</v>
      </c>
      <c r="M1187" s="4" t="s">
        <v>43</v>
      </c>
      <c r="N1187" t="s">
        <v>148</v>
      </c>
      <c r="P1187" s="3" t="s">
        <v>36</v>
      </c>
      <c r="Q1187" s="3" t="s">
        <v>886</v>
      </c>
      <c r="R1187">
        <v>1</v>
      </c>
      <c r="S1187" s="5">
        <v>45933</v>
      </c>
      <c r="T1187" t="s">
        <v>60</v>
      </c>
      <c r="U1187">
        <f t="shared" ca="1" si="108"/>
        <v>48</v>
      </c>
      <c r="V1187" s="6">
        <f t="shared" ca="1" si="109"/>
        <v>46050</v>
      </c>
      <c r="W1187" s="6">
        <f t="shared" ca="1" si="110"/>
        <v>46056</v>
      </c>
      <c r="X1187" t="str">
        <f t="shared" ca="1" si="111"/>
        <v>Jan 28 to Feb 3</v>
      </c>
      <c r="Y1187" t="str">
        <f t="shared" ca="1" si="112"/>
        <v>⚪ SCHEDULED</v>
      </c>
      <c r="Z1187" t="str">
        <f t="shared" ca="1" si="113"/>
        <v>No action needed yet</v>
      </c>
    </row>
    <row r="1188" spans="1:26">
      <c r="A1188">
        <v>1114782665</v>
      </c>
      <c r="B1188" s="3" t="s">
        <v>3382</v>
      </c>
      <c r="C1188">
        <v>25</v>
      </c>
      <c r="D1188" t="s">
        <v>47</v>
      </c>
      <c r="E1188" t="s">
        <v>29</v>
      </c>
      <c r="F1188" t="s">
        <v>28</v>
      </c>
      <c r="G1188" t="s">
        <v>28</v>
      </c>
      <c r="H1188">
        <v>2</v>
      </c>
      <c r="I1188" t="s">
        <v>55</v>
      </c>
      <c r="J1188" t="s">
        <v>3383</v>
      </c>
      <c r="K1188" t="s">
        <v>3384</v>
      </c>
      <c r="L1188" t="s">
        <v>234</v>
      </c>
      <c r="M1188" s="4" t="s">
        <v>34</v>
      </c>
      <c r="N1188" t="s">
        <v>162</v>
      </c>
      <c r="P1188" s="3" t="s">
        <v>36</v>
      </c>
      <c r="Q1188" s="3" t="s">
        <v>1475</v>
      </c>
      <c r="R1188">
        <v>2</v>
      </c>
      <c r="S1188" s="5">
        <v>45821</v>
      </c>
      <c r="T1188" t="s">
        <v>60</v>
      </c>
      <c r="U1188">
        <f t="shared" ca="1" si="108"/>
        <v>56</v>
      </c>
      <c r="V1188" s="6">
        <f t="shared" ca="1" si="109"/>
        <v>46058</v>
      </c>
      <c r="W1188" s="6">
        <f t="shared" ca="1" si="110"/>
        <v>46064</v>
      </c>
      <c r="X1188" t="str">
        <f t="shared" ca="1" si="111"/>
        <v>Feb 5 to Feb 11</v>
      </c>
      <c r="Y1188" t="str">
        <f t="shared" ca="1" si="112"/>
        <v>⚪ SCHEDULED</v>
      </c>
      <c r="Z1188" t="str">
        <f t="shared" ca="1" si="113"/>
        <v>No action needed yet</v>
      </c>
    </row>
    <row r="1189" spans="1:26">
      <c r="A1189">
        <v>1115602839</v>
      </c>
      <c r="B1189" s="3" t="s">
        <v>3385</v>
      </c>
      <c r="C1189">
        <v>23</v>
      </c>
      <c r="D1189" t="s">
        <v>47</v>
      </c>
      <c r="E1189" t="s">
        <v>54</v>
      </c>
      <c r="F1189" t="s">
        <v>54</v>
      </c>
      <c r="G1189" t="s">
        <v>54</v>
      </c>
      <c r="H1189">
        <v>0</v>
      </c>
      <c r="I1189" t="s">
        <v>55</v>
      </c>
      <c r="J1189" t="s">
        <v>825</v>
      </c>
      <c r="K1189" t="s">
        <v>3386</v>
      </c>
      <c r="L1189" t="s">
        <v>170</v>
      </c>
      <c r="M1189" s="4" t="s">
        <v>34</v>
      </c>
      <c r="N1189" t="s">
        <v>59</v>
      </c>
      <c r="P1189" s="3" t="s">
        <v>36</v>
      </c>
      <c r="Q1189" s="3" t="s">
        <v>3387</v>
      </c>
      <c r="R1189">
        <v>2</v>
      </c>
      <c r="S1189" s="5">
        <v>45739</v>
      </c>
      <c r="T1189" t="s">
        <v>393</v>
      </c>
      <c r="U1189">
        <f t="shared" ca="1" si="108"/>
        <v>4</v>
      </c>
      <c r="V1189" s="6">
        <f t="shared" ca="1" si="109"/>
        <v>46006</v>
      </c>
      <c r="W1189" s="6">
        <f t="shared" ca="1" si="110"/>
        <v>46012</v>
      </c>
      <c r="X1189" t="str">
        <f t="shared" ca="1" si="111"/>
        <v>Dec 15 to Dec 21</v>
      </c>
      <c r="Y1189" t="str">
        <f t="shared" ca="1" si="112"/>
        <v>🟢 THIS WEEK</v>
      </c>
      <c r="Z1189" t="str">
        <f t="shared" ca="1" si="113"/>
        <v>Confirm appointment</v>
      </c>
    </row>
    <row r="1190" spans="1:26">
      <c r="A1190">
        <v>1115914168</v>
      </c>
      <c r="B1190" s="3" t="s">
        <v>3388</v>
      </c>
      <c r="C1190">
        <v>23</v>
      </c>
      <c r="D1190" t="s">
        <v>47</v>
      </c>
      <c r="E1190" t="s">
        <v>28</v>
      </c>
      <c r="F1190" t="s">
        <v>28</v>
      </c>
      <c r="G1190" t="s">
        <v>28</v>
      </c>
      <c r="H1190">
        <v>0</v>
      </c>
      <c r="I1190" t="s">
        <v>55</v>
      </c>
      <c r="J1190" t="s">
        <v>1513</v>
      </c>
      <c r="K1190" t="s">
        <v>3389</v>
      </c>
      <c r="L1190" t="s">
        <v>170</v>
      </c>
      <c r="M1190" s="4" t="s">
        <v>94</v>
      </c>
      <c r="N1190" t="s">
        <v>59</v>
      </c>
      <c r="P1190" s="3" t="s">
        <v>36</v>
      </c>
      <c r="Q1190" s="3" t="s">
        <v>84</v>
      </c>
      <c r="R1190">
        <v>2</v>
      </c>
      <c r="S1190" s="5">
        <v>45991</v>
      </c>
      <c r="T1190" t="s">
        <v>393</v>
      </c>
      <c r="U1190">
        <f t="shared" ca="1" si="108"/>
        <v>76</v>
      </c>
      <c r="V1190" s="6">
        <f t="shared" ca="1" si="109"/>
        <v>46078</v>
      </c>
      <c r="W1190" s="6">
        <f t="shared" ca="1" si="110"/>
        <v>46084</v>
      </c>
      <c r="X1190" t="str">
        <f t="shared" ca="1" si="111"/>
        <v>Feb 25 to Mar 3</v>
      </c>
      <c r="Y1190" t="str">
        <f t="shared" ca="1" si="112"/>
        <v>⚪ SCHEDULED</v>
      </c>
      <c r="Z1190" t="str">
        <f t="shared" ca="1" si="113"/>
        <v>No action needed yet</v>
      </c>
    </row>
    <row r="1191" spans="1:26">
      <c r="A1191">
        <v>1116766005</v>
      </c>
      <c r="B1191" s="3" t="s">
        <v>3390</v>
      </c>
      <c r="C1191">
        <v>24</v>
      </c>
      <c r="D1191" t="s">
        <v>27</v>
      </c>
      <c r="E1191" t="s">
        <v>54</v>
      </c>
      <c r="F1191" t="s">
        <v>54</v>
      </c>
      <c r="G1191" t="s">
        <v>54</v>
      </c>
      <c r="H1191">
        <v>0</v>
      </c>
      <c r="I1191" t="s">
        <v>55</v>
      </c>
      <c r="J1191" t="s">
        <v>2970</v>
      </c>
      <c r="K1191" t="s">
        <v>3391</v>
      </c>
      <c r="L1191" t="s">
        <v>170</v>
      </c>
      <c r="M1191" s="4" t="s">
        <v>43</v>
      </c>
      <c r="N1191" t="s">
        <v>59</v>
      </c>
      <c r="P1191" s="3" t="s">
        <v>36</v>
      </c>
      <c r="Q1191" t="s">
        <v>54</v>
      </c>
      <c r="R1191">
        <v>1</v>
      </c>
      <c r="S1191" s="5">
        <v>45958</v>
      </c>
      <c r="T1191" t="s">
        <v>393</v>
      </c>
      <c r="U1191">
        <f t="shared" ca="1" si="108"/>
        <v>43</v>
      </c>
      <c r="V1191" s="6">
        <f t="shared" ca="1" si="109"/>
        <v>46045</v>
      </c>
      <c r="W1191" s="6">
        <f t="shared" ca="1" si="110"/>
        <v>46051</v>
      </c>
      <c r="X1191" t="str">
        <f t="shared" ca="1" si="111"/>
        <v>Jan 23 to Jan 29</v>
      </c>
      <c r="Y1191" t="str">
        <f t="shared" ca="1" si="112"/>
        <v>⚪ SCHEDULED</v>
      </c>
      <c r="Z1191" t="str">
        <f t="shared" ca="1" si="113"/>
        <v>No action needed yet</v>
      </c>
    </row>
    <row r="1192" spans="1:26">
      <c r="A1192">
        <v>1116912559</v>
      </c>
      <c r="B1192" s="3" t="s">
        <v>3392</v>
      </c>
      <c r="C1192">
        <v>23</v>
      </c>
      <c r="D1192" t="s">
        <v>27</v>
      </c>
      <c r="E1192" t="s">
        <v>54</v>
      </c>
      <c r="F1192" t="s">
        <v>54</v>
      </c>
      <c r="G1192" t="s">
        <v>54</v>
      </c>
      <c r="H1192">
        <v>0</v>
      </c>
      <c r="I1192" t="s">
        <v>55</v>
      </c>
      <c r="J1192" t="s">
        <v>3393</v>
      </c>
      <c r="K1192" t="s">
        <v>3394</v>
      </c>
      <c r="L1192" t="s">
        <v>757</v>
      </c>
      <c r="M1192" s="4" t="s">
        <v>34</v>
      </c>
      <c r="N1192" t="s">
        <v>59</v>
      </c>
      <c r="P1192" s="3" t="s">
        <v>36</v>
      </c>
      <c r="Q1192" s="3" t="s">
        <v>77</v>
      </c>
      <c r="R1192">
        <v>2</v>
      </c>
      <c r="S1192" s="5">
        <v>45641</v>
      </c>
      <c r="T1192" t="s">
        <v>393</v>
      </c>
      <c r="U1192">
        <f t="shared" ca="1" si="108"/>
        <v>86</v>
      </c>
      <c r="V1192" s="6">
        <f t="shared" ca="1" si="109"/>
        <v>46088</v>
      </c>
      <c r="W1192" s="6">
        <f t="shared" ca="1" si="110"/>
        <v>46094</v>
      </c>
      <c r="X1192" t="str">
        <f t="shared" ca="1" si="111"/>
        <v>Mar 7 to Mar 13</v>
      </c>
      <c r="Y1192" t="str">
        <f t="shared" ca="1" si="112"/>
        <v>⚪ SCHEDULED</v>
      </c>
      <c r="Z1192" t="str">
        <f t="shared" ca="1" si="113"/>
        <v>No action needed yet</v>
      </c>
    </row>
    <row r="1193" spans="1:26">
      <c r="A1193">
        <v>1117167526</v>
      </c>
      <c r="B1193" s="3" t="s">
        <v>3395</v>
      </c>
      <c r="C1193">
        <v>24</v>
      </c>
      <c r="D1193" t="s">
        <v>47</v>
      </c>
      <c r="E1193" t="s">
        <v>29</v>
      </c>
      <c r="F1193" t="s">
        <v>28</v>
      </c>
      <c r="G1193" t="s">
        <v>28</v>
      </c>
      <c r="H1193">
        <v>1</v>
      </c>
      <c r="I1193" t="s">
        <v>55</v>
      </c>
      <c r="J1193" t="s">
        <v>3396</v>
      </c>
      <c r="K1193" t="s">
        <v>3397</v>
      </c>
      <c r="M1193" s="4" t="s">
        <v>43</v>
      </c>
      <c r="N1193" t="s">
        <v>148</v>
      </c>
      <c r="P1193" s="3" t="s">
        <v>36</v>
      </c>
      <c r="Q1193" s="3" t="s">
        <v>107</v>
      </c>
      <c r="R1193">
        <v>1</v>
      </c>
      <c r="S1193" s="5">
        <v>45966</v>
      </c>
      <c r="T1193" t="s">
        <v>393</v>
      </c>
      <c r="U1193">
        <f t="shared" ca="1" si="108"/>
        <v>51</v>
      </c>
      <c r="V1193" s="6">
        <f t="shared" ca="1" si="109"/>
        <v>46053</v>
      </c>
      <c r="W1193" s="6">
        <f t="shared" ca="1" si="110"/>
        <v>46059</v>
      </c>
      <c r="X1193" t="str">
        <f t="shared" ca="1" si="111"/>
        <v>Jan 31 to Feb 6</v>
      </c>
      <c r="Y1193" t="str">
        <f t="shared" ca="1" si="112"/>
        <v>⚪ SCHEDULED</v>
      </c>
      <c r="Z1193" t="str">
        <f t="shared" ca="1" si="113"/>
        <v>No action needed yet</v>
      </c>
    </row>
    <row r="1194" spans="1:26">
      <c r="A1194">
        <v>1117363539</v>
      </c>
      <c r="B1194" s="3" t="s">
        <v>3398</v>
      </c>
      <c r="C1194">
        <v>24</v>
      </c>
      <c r="D1194" t="s">
        <v>27</v>
      </c>
      <c r="E1194" t="s">
        <v>29</v>
      </c>
      <c r="F1194" t="s">
        <v>28</v>
      </c>
      <c r="G1194" t="s">
        <v>28</v>
      </c>
      <c r="H1194">
        <v>2</v>
      </c>
      <c r="I1194" t="s">
        <v>55</v>
      </c>
      <c r="J1194" t="s">
        <v>1097</v>
      </c>
      <c r="K1194" t="s">
        <v>3399</v>
      </c>
      <c r="M1194" s="4" t="s">
        <v>34</v>
      </c>
      <c r="N1194" t="s">
        <v>148</v>
      </c>
      <c r="P1194" s="3" t="s">
        <v>36</v>
      </c>
      <c r="Q1194" s="3" t="s">
        <v>90</v>
      </c>
      <c r="R1194">
        <v>1</v>
      </c>
      <c r="S1194" s="5">
        <v>45491</v>
      </c>
      <c r="T1194" t="s">
        <v>60</v>
      </c>
      <c r="U1194">
        <f t="shared" ca="1" si="108"/>
        <v>26</v>
      </c>
      <c r="V1194" s="6">
        <f t="shared" ca="1" si="109"/>
        <v>46028</v>
      </c>
      <c r="W1194" s="6">
        <f t="shared" ca="1" si="110"/>
        <v>46034</v>
      </c>
      <c r="X1194" t="str">
        <f t="shared" ca="1" si="111"/>
        <v>Jan 6 to Jan 12</v>
      </c>
      <c r="Y1194" t="str">
        <f t="shared" ca="1" si="112"/>
        <v>⚪ SCHEDULED</v>
      </c>
      <c r="Z1194" t="str">
        <f t="shared" ca="1" si="113"/>
        <v>No action needed yet</v>
      </c>
    </row>
    <row r="1195" spans="1:26">
      <c r="A1195">
        <v>1118021896</v>
      </c>
      <c r="B1195" s="3" t="s">
        <v>3400</v>
      </c>
      <c r="C1195">
        <v>23</v>
      </c>
      <c r="D1195" t="s">
        <v>47</v>
      </c>
      <c r="E1195" t="s">
        <v>28</v>
      </c>
      <c r="F1195" t="s">
        <v>29</v>
      </c>
      <c r="G1195" t="s">
        <v>28</v>
      </c>
      <c r="H1195">
        <v>3</v>
      </c>
      <c r="I1195" t="s">
        <v>66</v>
      </c>
      <c r="J1195" t="s">
        <v>3401</v>
      </c>
      <c r="K1195" t="s">
        <v>3402</v>
      </c>
      <c r="L1195" t="s">
        <v>69</v>
      </c>
      <c r="M1195" s="4" t="s">
        <v>34</v>
      </c>
      <c r="N1195" t="s">
        <v>70</v>
      </c>
      <c r="P1195" s="3" t="s">
        <v>36</v>
      </c>
      <c r="Q1195" s="3" t="s">
        <v>96</v>
      </c>
      <c r="R1195">
        <v>1</v>
      </c>
      <c r="S1195" s="5">
        <v>45603</v>
      </c>
      <c r="T1195" t="s">
        <v>38</v>
      </c>
      <c r="U1195">
        <f t="shared" ca="1" si="108"/>
        <v>18</v>
      </c>
      <c r="V1195" s="6">
        <f t="shared" ca="1" si="109"/>
        <v>46020</v>
      </c>
      <c r="W1195" s="6">
        <f t="shared" ca="1" si="110"/>
        <v>46026</v>
      </c>
      <c r="X1195" t="str">
        <f t="shared" ca="1" si="111"/>
        <v>Dec 29 to Jan 4</v>
      </c>
      <c r="Y1195" t="str">
        <f t="shared" ca="1" si="112"/>
        <v>⚪ SCHEDULED</v>
      </c>
      <c r="Z1195" t="str">
        <f t="shared" ca="1" si="113"/>
        <v>No action needed yet</v>
      </c>
    </row>
    <row r="1196" spans="1:26">
      <c r="A1196">
        <v>1118027224</v>
      </c>
      <c r="B1196" s="3" t="s">
        <v>3403</v>
      </c>
      <c r="C1196">
        <v>25</v>
      </c>
      <c r="D1196" t="s">
        <v>27</v>
      </c>
      <c r="E1196" t="s">
        <v>29</v>
      </c>
      <c r="F1196" t="s">
        <v>28</v>
      </c>
      <c r="G1196" t="s">
        <v>28</v>
      </c>
      <c r="H1196">
        <v>2</v>
      </c>
      <c r="I1196" t="s">
        <v>55</v>
      </c>
      <c r="J1196" t="s">
        <v>1696</v>
      </c>
      <c r="K1196" t="s">
        <v>3404</v>
      </c>
      <c r="L1196" t="s">
        <v>105</v>
      </c>
      <c r="M1196" s="4" t="s">
        <v>34</v>
      </c>
      <c r="N1196" t="s">
        <v>162</v>
      </c>
      <c r="P1196" s="3" t="s">
        <v>36</v>
      </c>
      <c r="Q1196" t="s">
        <v>54</v>
      </c>
      <c r="R1196">
        <v>1</v>
      </c>
      <c r="S1196" s="5">
        <v>45436</v>
      </c>
      <c r="T1196" t="s">
        <v>60</v>
      </c>
      <c r="U1196">
        <f t="shared" ca="1" si="108"/>
        <v>31</v>
      </c>
      <c r="V1196" s="6">
        <f t="shared" ca="1" si="109"/>
        <v>46033</v>
      </c>
      <c r="W1196" s="6">
        <f t="shared" ca="1" si="110"/>
        <v>46039</v>
      </c>
      <c r="X1196" t="str">
        <f t="shared" ca="1" si="111"/>
        <v>Jan 11 to Jan 17</v>
      </c>
      <c r="Y1196" t="str">
        <f t="shared" ca="1" si="112"/>
        <v>⚪ SCHEDULED</v>
      </c>
      <c r="Z1196" t="str">
        <f t="shared" ca="1" si="113"/>
        <v>No action needed yet</v>
      </c>
    </row>
    <row r="1197" spans="1:26">
      <c r="A1197">
        <v>1119338240</v>
      </c>
      <c r="B1197" s="3" t="s">
        <v>3405</v>
      </c>
      <c r="C1197">
        <v>22</v>
      </c>
      <c r="D1197" t="s">
        <v>47</v>
      </c>
      <c r="E1197" t="s">
        <v>28</v>
      </c>
      <c r="F1197" t="s">
        <v>28</v>
      </c>
      <c r="G1197" t="s">
        <v>28</v>
      </c>
      <c r="H1197">
        <v>1</v>
      </c>
      <c r="I1197" t="s">
        <v>55</v>
      </c>
      <c r="J1197" t="s">
        <v>1681</v>
      </c>
      <c r="K1197" t="s">
        <v>3406</v>
      </c>
      <c r="M1197" s="4" t="s">
        <v>94</v>
      </c>
      <c r="N1197" t="s">
        <v>59</v>
      </c>
      <c r="P1197" s="3" t="s">
        <v>36</v>
      </c>
      <c r="Q1197" t="s">
        <v>54</v>
      </c>
      <c r="R1197">
        <v>1</v>
      </c>
      <c r="S1197" s="5">
        <v>46019</v>
      </c>
      <c r="T1197" t="s">
        <v>393</v>
      </c>
      <c r="U1197">
        <f t="shared" ca="1" si="108"/>
        <v>14</v>
      </c>
      <c r="V1197" s="6">
        <f t="shared" ca="1" si="109"/>
        <v>46016</v>
      </c>
      <c r="W1197" s="6">
        <f t="shared" ca="1" si="110"/>
        <v>46022</v>
      </c>
      <c r="X1197" t="str">
        <f t="shared" ca="1" si="111"/>
        <v>Dec 25 to Dec 31</v>
      </c>
      <c r="Y1197" t="str">
        <f t="shared" ca="1" si="112"/>
        <v>🔵 NEXT 2 WEEKS</v>
      </c>
      <c r="Z1197" t="str">
        <f t="shared" ca="1" si="113"/>
        <v>Send reminder SMS</v>
      </c>
    </row>
    <row r="1198" spans="1:26">
      <c r="A1198">
        <v>1120133143</v>
      </c>
      <c r="B1198" s="3" t="s">
        <v>3407</v>
      </c>
      <c r="C1198">
        <v>44</v>
      </c>
      <c r="D1198" t="s">
        <v>27</v>
      </c>
      <c r="E1198" t="s">
        <v>29</v>
      </c>
      <c r="F1198" t="s">
        <v>28</v>
      </c>
      <c r="G1198" t="s">
        <v>28</v>
      </c>
      <c r="H1198">
        <v>3</v>
      </c>
      <c r="I1198" t="s">
        <v>66</v>
      </c>
      <c r="J1198" t="s">
        <v>2447</v>
      </c>
      <c r="K1198" t="s">
        <v>3408</v>
      </c>
      <c r="M1198" s="4" t="s">
        <v>43</v>
      </c>
      <c r="N1198" t="s">
        <v>148</v>
      </c>
      <c r="P1198" s="3" t="s">
        <v>36</v>
      </c>
      <c r="Q1198" s="3" t="s">
        <v>45</v>
      </c>
      <c r="R1198">
        <v>1</v>
      </c>
      <c r="S1198" s="5">
        <v>45877</v>
      </c>
      <c r="T1198" t="s">
        <v>38</v>
      </c>
      <c r="U1198">
        <f t="shared" ca="1" si="108"/>
        <v>22</v>
      </c>
      <c r="V1198" s="6">
        <f t="shared" ca="1" si="109"/>
        <v>46024</v>
      </c>
      <c r="W1198" s="6">
        <f t="shared" ca="1" si="110"/>
        <v>46030</v>
      </c>
      <c r="X1198" t="str">
        <f t="shared" ca="1" si="111"/>
        <v>Jan 2 to Jan 8</v>
      </c>
      <c r="Y1198" t="str">
        <f t="shared" ca="1" si="112"/>
        <v>⚪ SCHEDULED</v>
      </c>
      <c r="Z1198" t="str">
        <f t="shared" ca="1" si="113"/>
        <v>No action needed yet</v>
      </c>
    </row>
    <row r="1199" spans="1:26">
      <c r="A1199">
        <v>1121012106</v>
      </c>
      <c r="B1199" s="3" t="s">
        <v>3409</v>
      </c>
      <c r="C1199">
        <v>45</v>
      </c>
      <c r="D1199" t="s">
        <v>47</v>
      </c>
      <c r="E1199" t="s">
        <v>29</v>
      </c>
      <c r="F1199" t="s">
        <v>29</v>
      </c>
      <c r="G1199" t="s">
        <v>28</v>
      </c>
      <c r="H1199">
        <v>4</v>
      </c>
      <c r="I1199" t="s">
        <v>66</v>
      </c>
      <c r="J1199" t="s">
        <v>109</v>
      </c>
      <c r="K1199" t="s">
        <v>3162</v>
      </c>
      <c r="M1199" s="4" t="s">
        <v>94</v>
      </c>
      <c r="N1199" t="s">
        <v>144</v>
      </c>
      <c r="P1199" s="3" t="s">
        <v>36</v>
      </c>
      <c r="Q1199" s="3" t="s">
        <v>107</v>
      </c>
      <c r="R1199">
        <v>1</v>
      </c>
      <c r="S1199" s="5">
        <v>45958</v>
      </c>
      <c r="T1199" t="s">
        <v>38</v>
      </c>
      <c r="U1199">
        <f t="shared" ca="1" si="108"/>
        <v>13</v>
      </c>
      <c r="V1199" s="6">
        <f t="shared" ca="1" si="109"/>
        <v>46015</v>
      </c>
      <c r="W1199" s="6">
        <f t="shared" ca="1" si="110"/>
        <v>46021</v>
      </c>
      <c r="X1199" t="str">
        <f t="shared" ca="1" si="111"/>
        <v>Dec 24 to Dec 30</v>
      </c>
      <c r="Y1199" t="str">
        <f t="shared" ca="1" si="112"/>
        <v>🔵 NEXT 2 WEEKS</v>
      </c>
      <c r="Z1199" t="str">
        <f t="shared" ca="1" si="113"/>
        <v>Send reminder SMS</v>
      </c>
    </row>
    <row r="1200" spans="1:26">
      <c r="A1200">
        <v>1121490419</v>
      </c>
      <c r="B1200" s="3" t="s">
        <v>3410</v>
      </c>
      <c r="C1200">
        <v>22</v>
      </c>
      <c r="D1200" t="s">
        <v>47</v>
      </c>
      <c r="E1200" t="s">
        <v>28</v>
      </c>
      <c r="F1200" t="s">
        <v>28</v>
      </c>
      <c r="G1200" t="s">
        <v>28</v>
      </c>
      <c r="H1200">
        <v>1</v>
      </c>
      <c r="I1200" t="s">
        <v>55</v>
      </c>
      <c r="J1200" t="s">
        <v>3411</v>
      </c>
      <c r="K1200" t="s">
        <v>3412</v>
      </c>
      <c r="M1200" s="4" t="s">
        <v>34</v>
      </c>
      <c r="N1200" t="s">
        <v>59</v>
      </c>
      <c r="P1200" s="3" t="s">
        <v>36</v>
      </c>
      <c r="Q1200" s="3" t="s">
        <v>96</v>
      </c>
      <c r="R1200">
        <v>1</v>
      </c>
      <c r="S1200" s="5">
        <v>45656</v>
      </c>
      <c r="T1200" t="s">
        <v>393</v>
      </c>
      <c r="U1200">
        <f t="shared" ca="1" si="108"/>
        <v>11</v>
      </c>
      <c r="V1200" s="6">
        <f t="shared" ca="1" si="109"/>
        <v>46013</v>
      </c>
      <c r="W1200" s="6">
        <f t="shared" ca="1" si="110"/>
        <v>46019</v>
      </c>
      <c r="X1200" t="str">
        <f t="shared" ca="1" si="111"/>
        <v>Dec 22 to Dec 28</v>
      </c>
      <c r="Y1200" t="str">
        <f t="shared" ca="1" si="112"/>
        <v>🔵 NEXT 2 WEEKS</v>
      </c>
      <c r="Z1200" t="str">
        <f t="shared" ca="1" si="113"/>
        <v>Send reminder SMS</v>
      </c>
    </row>
    <row r="1201" spans="1:26">
      <c r="A1201">
        <v>1123372979</v>
      </c>
      <c r="B1201" s="3" t="s">
        <v>3413</v>
      </c>
      <c r="C1201">
        <v>45</v>
      </c>
      <c r="D1201" t="s">
        <v>27</v>
      </c>
      <c r="E1201" t="s">
        <v>54</v>
      </c>
      <c r="F1201" t="s">
        <v>54</v>
      </c>
      <c r="G1201" t="s">
        <v>54</v>
      </c>
      <c r="H1201">
        <v>1</v>
      </c>
      <c r="I1201" t="s">
        <v>55</v>
      </c>
      <c r="J1201" t="s">
        <v>3414</v>
      </c>
      <c r="K1201" t="s">
        <v>3415</v>
      </c>
      <c r="L1201" t="s">
        <v>968</v>
      </c>
      <c r="M1201" s="4" t="s">
        <v>43</v>
      </c>
      <c r="N1201" t="s">
        <v>59</v>
      </c>
      <c r="P1201" s="3" t="s">
        <v>36</v>
      </c>
      <c r="Q1201" s="3" t="s">
        <v>45</v>
      </c>
      <c r="R1201">
        <v>2</v>
      </c>
      <c r="S1201" s="5">
        <v>45924</v>
      </c>
      <c r="T1201" t="s">
        <v>393</v>
      </c>
      <c r="U1201">
        <f t="shared" ca="1" si="108"/>
        <v>9</v>
      </c>
      <c r="V1201" s="6">
        <f t="shared" ca="1" si="109"/>
        <v>46011</v>
      </c>
      <c r="W1201" s="6">
        <f t="shared" ca="1" si="110"/>
        <v>46017</v>
      </c>
      <c r="X1201" t="str">
        <f t="shared" ca="1" si="111"/>
        <v>Dec 20 to Dec 26</v>
      </c>
      <c r="Y1201" t="str">
        <f t="shared" ca="1" si="112"/>
        <v>🔵 NEXT 2 WEEKS</v>
      </c>
      <c r="Z1201" t="str">
        <f t="shared" ca="1" si="113"/>
        <v>Send reminder SMS</v>
      </c>
    </row>
    <row r="1202" spans="1:26">
      <c r="A1202">
        <v>1124079276</v>
      </c>
      <c r="B1202" s="3" t="s">
        <v>3416</v>
      </c>
      <c r="C1202">
        <v>21</v>
      </c>
      <c r="D1202" t="s">
        <v>47</v>
      </c>
      <c r="E1202" t="s">
        <v>28</v>
      </c>
      <c r="F1202" t="s">
        <v>28</v>
      </c>
      <c r="G1202" t="s">
        <v>29</v>
      </c>
      <c r="H1202">
        <v>3</v>
      </c>
      <c r="I1202" t="s">
        <v>66</v>
      </c>
      <c r="J1202" t="s">
        <v>3417</v>
      </c>
      <c r="K1202" t="s">
        <v>3418</v>
      </c>
      <c r="L1202" t="s">
        <v>691</v>
      </c>
      <c r="M1202" s="4" t="s">
        <v>34</v>
      </c>
      <c r="N1202" t="s">
        <v>140</v>
      </c>
      <c r="P1202" s="3" t="s">
        <v>36</v>
      </c>
      <c r="Q1202" s="3" t="s">
        <v>3419</v>
      </c>
      <c r="R1202">
        <v>1</v>
      </c>
      <c r="S1202" s="5">
        <v>45791</v>
      </c>
      <c r="T1202" t="s">
        <v>38</v>
      </c>
      <c r="U1202">
        <f t="shared" ca="1" si="108"/>
        <v>26</v>
      </c>
      <c r="V1202" s="6">
        <f t="shared" ca="1" si="109"/>
        <v>46028</v>
      </c>
      <c r="W1202" s="6">
        <f t="shared" ca="1" si="110"/>
        <v>46034</v>
      </c>
      <c r="X1202" t="str">
        <f t="shared" ca="1" si="111"/>
        <v>Jan 6 to Jan 12</v>
      </c>
      <c r="Y1202" t="str">
        <f t="shared" ca="1" si="112"/>
        <v>⚪ SCHEDULED</v>
      </c>
      <c r="Z1202" t="str">
        <f t="shared" ca="1" si="113"/>
        <v>No action needed yet</v>
      </c>
    </row>
    <row r="1203" spans="1:26">
      <c r="A1203">
        <v>1124971811</v>
      </c>
      <c r="B1203" s="3" t="s">
        <v>3420</v>
      </c>
      <c r="C1203">
        <v>26</v>
      </c>
      <c r="D1203" t="s">
        <v>27</v>
      </c>
      <c r="E1203" t="s">
        <v>28</v>
      </c>
      <c r="F1203" t="s">
        <v>28</v>
      </c>
      <c r="G1203" t="s">
        <v>28</v>
      </c>
      <c r="H1203">
        <v>0</v>
      </c>
      <c r="I1203" t="s">
        <v>55</v>
      </c>
      <c r="J1203" t="s">
        <v>253</v>
      </c>
      <c r="K1203" t="s">
        <v>289</v>
      </c>
      <c r="L1203" t="s">
        <v>33</v>
      </c>
      <c r="M1203" s="4" t="s">
        <v>43</v>
      </c>
      <c r="N1203" t="s">
        <v>59</v>
      </c>
      <c r="P1203" s="3" t="s">
        <v>36</v>
      </c>
      <c r="Q1203" s="3" t="s">
        <v>77</v>
      </c>
      <c r="R1203">
        <v>1</v>
      </c>
      <c r="S1203" s="5">
        <v>45927</v>
      </c>
      <c r="T1203" t="s">
        <v>393</v>
      </c>
      <c r="U1203">
        <f t="shared" ca="1" si="108"/>
        <v>12</v>
      </c>
      <c r="V1203" s="6">
        <f t="shared" ca="1" si="109"/>
        <v>46014</v>
      </c>
      <c r="W1203" s="6">
        <f t="shared" ca="1" si="110"/>
        <v>46020</v>
      </c>
      <c r="X1203" t="str">
        <f t="shared" ca="1" si="111"/>
        <v>Dec 23 to Dec 29</v>
      </c>
      <c r="Y1203" t="str">
        <f t="shared" ca="1" si="112"/>
        <v>🔵 NEXT 2 WEEKS</v>
      </c>
      <c r="Z1203" t="str">
        <f t="shared" ca="1" si="113"/>
        <v>Send reminder SMS</v>
      </c>
    </row>
    <row r="1204" spans="1:26">
      <c r="A1204">
        <v>1125179612</v>
      </c>
      <c r="B1204" s="3" t="s">
        <v>3421</v>
      </c>
      <c r="C1204">
        <v>21</v>
      </c>
      <c r="D1204" t="s">
        <v>47</v>
      </c>
      <c r="E1204" t="s">
        <v>28</v>
      </c>
      <c r="F1204" t="s">
        <v>28</v>
      </c>
      <c r="G1204" t="s">
        <v>28</v>
      </c>
      <c r="H1204">
        <v>0</v>
      </c>
      <c r="I1204" t="s">
        <v>55</v>
      </c>
      <c r="J1204" t="s">
        <v>31</v>
      </c>
      <c r="K1204" t="s">
        <v>3422</v>
      </c>
      <c r="L1204" t="s">
        <v>33</v>
      </c>
      <c r="M1204" s="4" t="s">
        <v>43</v>
      </c>
      <c r="N1204" t="s">
        <v>59</v>
      </c>
      <c r="P1204" s="3" t="s">
        <v>36</v>
      </c>
      <c r="Q1204" s="3" t="s">
        <v>1095</v>
      </c>
      <c r="R1204">
        <v>1</v>
      </c>
      <c r="S1204" s="5">
        <v>45958</v>
      </c>
      <c r="T1204" t="s">
        <v>393</v>
      </c>
      <c r="U1204">
        <f t="shared" ca="1" si="108"/>
        <v>43</v>
      </c>
      <c r="V1204" s="6">
        <f t="shared" ca="1" si="109"/>
        <v>46045</v>
      </c>
      <c r="W1204" s="6">
        <f t="shared" ca="1" si="110"/>
        <v>46051</v>
      </c>
      <c r="X1204" t="str">
        <f t="shared" ca="1" si="111"/>
        <v>Jan 23 to Jan 29</v>
      </c>
      <c r="Y1204" t="str">
        <f t="shared" ca="1" si="112"/>
        <v>⚪ SCHEDULED</v>
      </c>
      <c r="Z1204" t="str">
        <f t="shared" ca="1" si="113"/>
        <v>No action needed yet</v>
      </c>
    </row>
    <row r="1205" spans="1:26">
      <c r="A1205">
        <v>1126178043</v>
      </c>
      <c r="B1205" s="3" t="s">
        <v>3423</v>
      </c>
      <c r="C1205">
        <v>24</v>
      </c>
      <c r="D1205" t="s">
        <v>27</v>
      </c>
      <c r="E1205" t="s">
        <v>54</v>
      </c>
      <c r="F1205" t="s">
        <v>54</v>
      </c>
      <c r="G1205" t="s">
        <v>54</v>
      </c>
      <c r="H1205">
        <v>0</v>
      </c>
      <c r="I1205" t="s">
        <v>55</v>
      </c>
      <c r="J1205" t="s">
        <v>3424</v>
      </c>
      <c r="K1205" t="s">
        <v>3425</v>
      </c>
      <c r="L1205" t="s">
        <v>170</v>
      </c>
      <c r="M1205" s="4" t="s">
        <v>34</v>
      </c>
      <c r="N1205" t="s">
        <v>59</v>
      </c>
      <c r="P1205" s="3" t="s">
        <v>36</v>
      </c>
      <c r="Q1205" s="3" t="s">
        <v>107</v>
      </c>
      <c r="R1205">
        <v>1</v>
      </c>
      <c r="S1205" s="5">
        <v>45749</v>
      </c>
      <c r="T1205" t="s">
        <v>393</v>
      </c>
      <c r="U1205">
        <f t="shared" ca="1" si="108"/>
        <v>14</v>
      </c>
      <c r="V1205" s="6">
        <f t="shared" ca="1" si="109"/>
        <v>46016</v>
      </c>
      <c r="W1205" s="6">
        <f t="shared" ca="1" si="110"/>
        <v>46022</v>
      </c>
      <c r="X1205" t="str">
        <f t="shared" ca="1" si="111"/>
        <v>Dec 25 to Dec 31</v>
      </c>
      <c r="Y1205" t="str">
        <f t="shared" ca="1" si="112"/>
        <v>🔵 NEXT 2 WEEKS</v>
      </c>
      <c r="Z1205" t="str">
        <f t="shared" ca="1" si="113"/>
        <v>Send reminder SMS</v>
      </c>
    </row>
    <row r="1206" spans="1:26">
      <c r="A1206">
        <v>1126888757</v>
      </c>
      <c r="B1206" s="3" t="s">
        <v>3426</v>
      </c>
      <c r="C1206">
        <v>65</v>
      </c>
      <c r="D1206" t="s">
        <v>27</v>
      </c>
      <c r="E1206" t="s">
        <v>29</v>
      </c>
      <c r="F1206" t="s">
        <v>29</v>
      </c>
      <c r="G1206" t="s">
        <v>29</v>
      </c>
      <c r="H1206">
        <v>6</v>
      </c>
      <c r="I1206" t="s">
        <v>30</v>
      </c>
      <c r="J1206" t="s">
        <v>3427</v>
      </c>
      <c r="K1206" t="s">
        <v>3428</v>
      </c>
      <c r="L1206" t="s">
        <v>75</v>
      </c>
      <c r="M1206" s="4" t="s">
        <v>94</v>
      </c>
      <c r="N1206" t="s">
        <v>76</v>
      </c>
      <c r="P1206" s="3" t="s">
        <v>36</v>
      </c>
      <c r="Q1206" s="3" t="s">
        <v>84</v>
      </c>
      <c r="R1206">
        <v>2</v>
      </c>
      <c r="S1206" s="5">
        <v>45939</v>
      </c>
      <c r="T1206" t="s">
        <v>38</v>
      </c>
      <c r="U1206">
        <f t="shared" ca="1" si="108"/>
        <v>24</v>
      </c>
      <c r="V1206" s="6">
        <f t="shared" ca="1" si="109"/>
        <v>46026</v>
      </c>
      <c r="W1206" s="6">
        <f t="shared" ca="1" si="110"/>
        <v>46032</v>
      </c>
      <c r="X1206" t="str">
        <f t="shared" ca="1" si="111"/>
        <v>Jan 4 to Jan 10</v>
      </c>
      <c r="Y1206" t="str">
        <f t="shared" ca="1" si="112"/>
        <v>⚪ SCHEDULED</v>
      </c>
      <c r="Z1206" t="str">
        <f t="shared" ca="1" si="113"/>
        <v>No action needed yet</v>
      </c>
    </row>
    <row r="1207" spans="1:26">
      <c r="A1207">
        <v>1128083282</v>
      </c>
      <c r="B1207" s="3" t="s">
        <v>3429</v>
      </c>
      <c r="C1207">
        <v>27</v>
      </c>
      <c r="D1207" t="s">
        <v>47</v>
      </c>
      <c r="E1207" t="s">
        <v>28</v>
      </c>
      <c r="F1207" t="s">
        <v>29</v>
      </c>
      <c r="G1207" t="s">
        <v>28</v>
      </c>
      <c r="H1207">
        <v>2</v>
      </c>
      <c r="I1207" t="s">
        <v>55</v>
      </c>
      <c r="J1207" t="s">
        <v>2251</v>
      </c>
      <c r="K1207" t="s">
        <v>3430</v>
      </c>
      <c r="L1207" t="s">
        <v>69</v>
      </c>
      <c r="M1207" s="4" t="s">
        <v>94</v>
      </c>
      <c r="N1207" t="s">
        <v>70</v>
      </c>
      <c r="P1207" s="3" t="s">
        <v>36</v>
      </c>
      <c r="Q1207" s="3" t="s">
        <v>777</v>
      </c>
      <c r="R1207">
        <v>1</v>
      </c>
      <c r="S1207" s="5">
        <v>45989</v>
      </c>
      <c r="T1207" t="s">
        <v>60</v>
      </c>
      <c r="U1207">
        <f t="shared" ca="1" si="108"/>
        <v>44</v>
      </c>
      <c r="V1207" s="6">
        <f t="shared" ca="1" si="109"/>
        <v>46046</v>
      </c>
      <c r="W1207" s="6">
        <f t="shared" ca="1" si="110"/>
        <v>46052</v>
      </c>
      <c r="X1207" t="str">
        <f t="shared" ca="1" si="111"/>
        <v>Jan 24 to Jan 30</v>
      </c>
      <c r="Y1207" t="str">
        <f t="shared" ca="1" si="112"/>
        <v>⚪ SCHEDULED</v>
      </c>
      <c r="Z1207" t="str">
        <f t="shared" ca="1" si="113"/>
        <v>No action needed yet</v>
      </c>
    </row>
    <row r="1208" spans="1:26">
      <c r="A1208">
        <v>1128182993</v>
      </c>
      <c r="B1208" s="3" t="s">
        <v>3431</v>
      </c>
      <c r="C1208">
        <v>25</v>
      </c>
      <c r="D1208" t="s">
        <v>47</v>
      </c>
      <c r="E1208" t="s">
        <v>28</v>
      </c>
      <c r="F1208" t="s">
        <v>28</v>
      </c>
      <c r="G1208" t="s">
        <v>28</v>
      </c>
      <c r="H1208">
        <v>1</v>
      </c>
      <c r="I1208" t="s">
        <v>55</v>
      </c>
      <c r="J1208" t="s">
        <v>3432</v>
      </c>
      <c r="K1208" t="s">
        <v>3433</v>
      </c>
      <c r="L1208" t="s">
        <v>33</v>
      </c>
      <c r="M1208" s="4" t="s">
        <v>94</v>
      </c>
      <c r="N1208" t="s">
        <v>59</v>
      </c>
      <c r="P1208" s="3" t="s">
        <v>36</v>
      </c>
      <c r="Q1208" s="3" t="s">
        <v>313</v>
      </c>
      <c r="R1208">
        <v>2</v>
      </c>
      <c r="S1208" s="5">
        <v>46019</v>
      </c>
      <c r="T1208" t="s">
        <v>393</v>
      </c>
      <c r="U1208">
        <f t="shared" ca="1" si="108"/>
        <v>14</v>
      </c>
      <c r="V1208" s="6">
        <f t="shared" ca="1" si="109"/>
        <v>46016</v>
      </c>
      <c r="W1208" s="6">
        <f t="shared" ca="1" si="110"/>
        <v>46022</v>
      </c>
      <c r="X1208" t="str">
        <f t="shared" ca="1" si="111"/>
        <v>Dec 25 to Dec 31</v>
      </c>
      <c r="Y1208" t="str">
        <f t="shared" ca="1" si="112"/>
        <v>🔵 NEXT 2 WEEKS</v>
      </c>
      <c r="Z1208" t="str">
        <f t="shared" ca="1" si="113"/>
        <v>Send reminder SMS</v>
      </c>
    </row>
    <row r="1209" spans="1:26">
      <c r="A1209">
        <v>1128498910</v>
      </c>
      <c r="B1209" s="3" t="s">
        <v>3434</v>
      </c>
      <c r="C1209">
        <v>21</v>
      </c>
      <c r="D1209" t="s">
        <v>47</v>
      </c>
      <c r="E1209" t="s">
        <v>54</v>
      </c>
      <c r="F1209" t="s">
        <v>54</v>
      </c>
      <c r="G1209" t="s">
        <v>54</v>
      </c>
      <c r="H1209">
        <v>0</v>
      </c>
      <c r="I1209" t="s">
        <v>55</v>
      </c>
      <c r="J1209" t="s">
        <v>3435</v>
      </c>
      <c r="K1209" t="s">
        <v>3436</v>
      </c>
      <c r="L1209" t="s">
        <v>105</v>
      </c>
      <c r="M1209" s="4" t="s">
        <v>43</v>
      </c>
      <c r="N1209" t="s">
        <v>59</v>
      </c>
      <c r="P1209" s="3" t="s">
        <v>36</v>
      </c>
      <c r="Q1209" s="3" t="s">
        <v>3437</v>
      </c>
      <c r="R1209">
        <v>1</v>
      </c>
      <c r="S1209" s="5">
        <v>45983</v>
      </c>
      <c r="T1209" t="s">
        <v>393</v>
      </c>
      <c r="U1209">
        <f t="shared" ca="1" si="108"/>
        <v>68</v>
      </c>
      <c r="V1209" s="6">
        <f t="shared" ca="1" si="109"/>
        <v>46070</v>
      </c>
      <c r="W1209" s="6">
        <f t="shared" ca="1" si="110"/>
        <v>46076</v>
      </c>
      <c r="X1209" t="str">
        <f t="shared" ca="1" si="111"/>
        <v>Feb 17 to Feb 23</v>
      </c>
      <c r="Y1209" t="str">
        <f t="shared" ca="1" si="112"/>
        <v>⚪ SCHEDULED</v>
      </c>
      <c r="Z1209" t="str">
        <f t="shared" ca="1" si="113"/>
        <v>No action needed yet</v>
      </c>
    </row>
    <row r="1210" spans="1:26">
      <c r="A1210">
        <v>1128781729</v>
      </c>
      <c r="B1210" s="3" t="s">
        <v>3438</v>
      </c>
      <c r="C1210">
        <v>20</v>
      </c>
      <c r="D1210" t="s">
        <v>27</v>
      </c>
      <c r="E1210" t="s">
        <v>28</v>
      </c>
      <c r="F1210" t="s">
        <v>28</v>
      </c>
      <c r="G1210" t="s">
        <v>28</v>
      </c>
      <c r="H1210">
        <v>1</v>
      </c>
      <c r="I1210" t="s">
        <v>55</v>
      </c>
      <c r="J1210" t="s">
        <v>2447</v>
      </c>
      <c r="K1210" t="s">
        <v>3439</v>
      </c>
      <c r="M1210" s="4" t="s">
        <v>43</v>
      </c>
      <c r="N1210" t="s">
        <v>59</v>
      </c>
      <c r="P1210" s="3" t="s">
        <v>36</v>
      </c>
      <c r="Q1210" s="3" t="s">
        <v>230</v>
      </c>
      <c r="R1210">
        <v>2</v>
      </c>
      <c r="S1210" s="5">
        <v>45970</v>
      </c>
      <c r="T1210" t="s">
        <v>393</v>
      </c>
      <c r="U1210">
        <f t="shared" ca="1" si="108"/>
        <v>55</v>
      </c>
      <c r="V1210" s="6">
        <f t="shared" ca="1" si="109"/>
        <v>46057</v>
      </c>
      <c r="W1210" s="6">
        <f t="shared" ca="1" si="110"/>
        <v>46063</v>
      </c>
      <c r="X1210" t="str">
        <f t="shared" ca="1" si="111"/>
        <v>Feb 4 to Feb 10</v>
      </c>
      <c r="Y1210" t="str">
        <f t="shared" ca="1" si="112"/>
        <v>⚪ SCHEDULED</v>
      </c>
      <c r="Z1210" t="str">
        <f t="shared" ca="1" si="113"/>
        <v>No action needed yet</v>
      </c>
    </row>
    <row r="1211" spans="1:26">
      <c r="A1211">
        <v>1128838883</v>
      </c>
      <c r="B1211" s="3" t="s">
        <v>3440</v>
      </c>
      <c r="C1211">
        <v>53</v>
      </c>
      <c r="D1211" t="s">
        <v>27</v>
      </c>
      <c r="E1211" t="s">
        <v>28</v>
      </c>
      <c r="F1211" t="s">
        <v>28</v>
      </c>
      <c r="G1211" t="s">
        <v>28</v>
      </c>
      <c r="H1211">
        <v>2</v>
      </c>
      <c r="I1211" t="s">
        <v>55</v>
      </c>
      <c r="J1211" t="s">
        <v>3441</v>
      </c>
      <c r="K1211" t="s">
        <v>3442</v>
      </c>
      <c r="L1211" t="s">
        <v>135</v>
      </c>
      <c r="M1211" s="4" t="s">
        <v>43</v>
      </c>
      <c r="N1211" t="s">
        <v>59</v>
      </c>
      <c r="P1211" s="3" t="s">
        <v>36</v>
      </c>
      <c r="Q1211" s="3" t="s">
        <v>52</v>
      </c>
      <c r="R1211">
        <v>2</v>
      </c>
      <c r="S1211" s="5">
        <v>45911</v>
      </c>
      <c r="T1211" t="s">
        <v>60</v>
      </c>
      <c r="U1211">
        <f t="shared" ca="1" si="108"/>
        <v>26</v>
      </c>
      <c r="V1211" s="6">
        <f t="shared" ca="1" si="109"/>
        <v>46028</v>
      </c>
      <c r="W1211" s="6">
        <f t="shared" ca="1" si="110"/>
        <v>46034</v>
      </c>
      <c r="X1211" t="str">
        <f t="shared" ca="1" si="111"/>
        <v>Jan 6 to Jan 12</v>
      </c>
      <c r="Y1211" t="str">
        <f t="shared" ca="1" si="112"/>
        <v>⚪ SCHEDULED</v>
      </c>
      <c r="Z1211" t="str">
        <f t="shared" ca="1" si="113"/>
        <v>No action needed yet</v>
      </c>
    </row>
    <row r="1212" spans="1:26">
      <c r="A1212">
        <v>1129298251</v>
      </c>
      <c r="B1212" s="3" t="s">
        <v>3443</v>
      </c>
      <c r="C1212">
        <v>51</v>
      </c>
      <c r="D1212" t="s">
        <v>27</v>
      </c>
      <c r="E1212" t="s">
        <v>29</v>
      </c>
      <c r="F1212" t="s">
        <v>29</v>
      </c>
      <c r="G1212" t="s">
        <v>29</v>
      </c>
      <c r="H1212">
        <v>6</v>
      </c>
      <c r="I1212" t="s">
        <v>30</v>
      </c>
      <c r="J1212" t="s">
        <v>1752</v>
      </c>
      <c r="K1212" t="s">
        <v>3444</v>
      </c>
      <c r="L1212" t="s">
        <v>166</v>
      </c>
      <c r="M1212" s="4" t="s">
        <v>34</v>
      </c>
      <c r="N1212" t="s">
        <v>558</v>
      </c>
      <c r="P1212" s="3" t="s">
        <v>36</v>
      </c>
      <c r="Q1212" t="s">
        <v>54</v>
      </c>
      <c r="R1212">
        <v>2</v>
      </c>
      <c r="S1212" s="5">
        <v>45721</v>
      </c>
      <c r="T1212" t="s">
        <v>38</v>
      </c>
      <c r="U1212">
        <f t="shared" ca="1" si="108"/>
        <v>16</v>
      </c>
      <c r="V1212" s="6">
        <f t="shared" ca="1" si="109"/>
        <v>46018</v>
      </c>
      <c r="W1212" s="6">
        <f t="shared" ca="1" si="110"/>
        <v>46024</v>
      </c>
      <c r="X1212" t="str">
        <f t="shared" ca="1" si="111"/>
        <v>Dec 27 to Jan 2</v>
      </c>
      <c r="Y1212" t="str">
        <f t="shared" ca="1" si="112"/>
        <v>⚪ SCHEDULED</v>
      </c>
      <c r="Z1212" t="str">
        <f t="shared" ca="1" si="113"/>
        <v>No action needed yet</v>
      </c>
    </row>
    <row r="1213" spans="1:26">
      <c r="A1213">
        <v>1130325341</v>
      </c>
      <c r="B1213" s="3" t="s">
        <v>3445</v>
      </c>
      <c r="C1213">
        <v>20</v>
      </c>
      <c r="D1213" t="s">
        <v>47</v>
      </c>
      <c r="E1213" t="s">
        <v>28</v>
      </c>
      <c r="F1213" t="s">
        <v>28</v>
      </c>
      <c r="G1213" t="s">
        <v>28</v>
      </c>
      <c r="H1213">
        <v>0</v>
      </c>
      <c r="I1213" t="s">
        <v>55</v>
      </c>
      <c r="J1213" t="s">
        <v>3446</v>
      </c>
      <c r="K1213" t="s">
        <v>3447</v>
      </c>
      <c r="L1213" t="s">
        <v>170</v>
      </c>
      <c r="M1213" s="4" t="s">
        <v>43</v>
      </c>
      <c r="N1213" t="s">
        <v>59</v>
      </c>
      <c r="P1213" s="3" t="s">
        <v>36</v>
      </c>
      <c r="Q1213" s="3" t="s">
        <v>230</v>
      </c>
      <c r="R1213">
        <v>2</v>
      </c>
      <c r="S1213" s="5">
        <v>45990</v>
      </c>
      <c r="T1213" t="s">
        <v>393</v>
      </c>
      <c r="U1213">
        <f t="shared" ca="1" si="108"/>
        <v>75</v>
      </c>
      <c r="V1213" s="6">
        <f t="shared" ca="1" si="109"/>
        <v>46077</v>
      </c>
      <c r="W1213" s="6">
        <f t="shared" ca="1" si="110"/>
        <v>46083</v>
      </c>
      <c r="X1213" t="str">
        <f t="shared" ca="1" si="111"/>
        <v>Feb 24 to Mar 2</v>
      </c>
      <c r="Y1213" t="str">
        <f t="shared" ca="1" si="112"/>
        <v>⚪ SCHEDULED</v>
      </c>
      <c r="Z1213" t="str">
        <f t="shared" ca="1" si="113"/>
        <v>No action needed yet</v>
      </c>
    </row>
    <row r="1214" spans="1:26">
      <c r="A1214">
        <v>1130490327</v>
      </c>
      <c r="B1214" s="3" t="s">
        <v>3448</v>
      </c>
      <c r="C1214">
        <v>20</v>
      </c>
      <c r="D1214" t="s">
        <v>47</v>
      </c>
      <c r="E1214" t="s">
        <v>29</v>
      </c>
      <c r="F1214" t="s">
        <v>28</v>
      </c>
      <c r="G1214" t="s">
        <v>29</v>
      </c>
      <c r="H1214">
        <v>3</v>
      </c>
      <c r="I1214" t="s">
        <v>66</v>
      </c>
      <c r="J1214" t="s">
        <v>3449</v>
      </c>
      <c r="K1214" t="s">
        <v>3450</v>
      </c>
      <c r="L1214" t="s">
        <v>75</v>
      </c>
      <c r="M1214" s="4" t="s">
        <v>43</v>
      </c>
      <c r="N1214" t="s">
        <v>51</v>
      </c>
      <c r="P1214" s="3" t="s">
        <v>36</v>
      </c>
      <c r="Q1214" t="s">
        <v>54</v>
      </c>
      <c r="R1214">
        <v>2</v>
      </c>
      <c r="S1214" s="5">
        <v>45881</v>
      </c>
      <c r="T1214" t="s">
        <v>38</v>
      </c>
      <c r="U1214">
        <f t="shared" ca="1" si="108"/>
        <v>26</v>
      </c>
      <c r="V1214" s="6">
        <f t="shared" ca="1" si="109"/>
        <v>46028</v>
      </c>
      <c r="W1214" s="6">
        <f t="shared" ca="1" si="110"/>
        <v>46034</v>
      </c>
      <c r="X1214" t="str">
        <f t="shared" ca="1" si="111"/>
        <v>Jan 6 to Jan 12</v>
      </c>
      <c r="Y1214" t="str">
        <f t="shared" ca="1" si="112"/>
        <v>⚪ SCHEDULED</v>
      </c>
      <c r="Z1214" t="str">
        <f t="shared" ca="1" si="113"/>
        <v>No action needed yet</v>
      </c>
    </row>
    <row r="1215" spans="1:26">
      <c r="A1215">
        <v>1132904093</v>
      </c>
      <c r="B1215" s="3" t="s">
        <v>3451</v>
      </c>
      <c r="C1215">
        <v>62</v>
      </c>
      <c r="D1215" t="s">
        <v>27</v>
      </c>
      <c r="E1215" t="s">
        <v>29</v>
      </c>
      <c r="F1215" t="s">
        <v>28</v>
      </c>
      <c r="G1215" t="s">
        <v>29</v>
      </c>
      <c r="H1215">
        <v>6</v>
      </c>
      <c r="I1215" t="s">
        <v>30</v>
      </c>
      <c r="J1215" t="s">
        <v>2431</v>
      </c>
      <c r="K1215" t="s">
        <v>3452</v>
      </c>
      <c r="L1215" t="s">
        <v>783</v>
      </c>
      <c r="M1215" s="4" t="s">
        <v>43</v>
      </c>
      <c r="N1215" t="s">
        <v>115</v>
      </c>
      <c r="P1215" s="3" t="s">
        <v>36</v>
      </c>
      <c r="Q1215" s="3" t="s">
        <v>45</v>
      </c>
      <c r="R1215">
        <v>2</v>
      </c>
      <c r="S1215" s="5">
        <v>45897</v>
      </c>
      <c r="T1215" t="s">
        <v>38</v>
      </c>
      <c r="U1215">
        <f t="shared" ca="1" si="108"/>
        <v>12</v>
      </c>
      <c r="V1215" s="6">
        <f t="shared" ca="1" si="109"/>
        <v>46014</v>
      </c>
      <c r="W1215" s="6">
        <f t="shared" ca="1" si="110"/>
        <v>46020</v>
      </c>
      <c r="X1215" t="str">
        <f t="shared" ca="1" si="111"/>
        <v>Dec 23 to Dec 29</v>
      </c>
      <c r="Y1215" t="str">
        <f t="shared" ca="1" si="112"/>
        <v>🔵 NEXT 2 WEEKS</v>
      </c>
      <c r="Z1215" t="str">
        <f t="shared" ca="1" si="113"/>
        <v>Send reminder SMS</v>
      </c>
    </row>
    <row r="1216" spans="1:26">
      <c r="A1216">
        <v>1134535879</v>
      </c>
      <c r="B1216" s="3" t="s">
        <v>3453</v>
      </c>
      <c r="C1216">
        <v>50</v>
      </c>
      <c r="D1216" t="s">
        <v>27</v>
      </c>
      <c r="E1216" t="s">
        <v>28</v>
      </c>
      <c r="F1216" t="s">
        <v>29</v>
      </c>
      <c r="G1216" t="s">
        <v>29</v>
      </c>
      <c r="H1216">
        <v>5</v>
      </c>
      <c r="I1216" t="s">
        <v>30</v>
      </c>
      <c r="J1216" t="s">
        <v>3454</v>
      </c>
      <c r="K1216" t="s">
        <v>3455</v>
      </c>
      <c r="L1216" t="s">
        <v>166</v>
      </c>
      <c r="M1216" s="4" t="s">
        <v>34</v>
      </c>
      <c r="N1216" t="s">
        <v>333</v>
      </c>
      <c r="P1216" s="3" t="s">
        <v>36</v>
      </c>
      <c r="Q1216" s="3" t="s">
        <v>45</v>
      </c>
      <c r="R1216">
        <v>1</v>
      </c>
      <c r="S1216" s="5">
        <v>45681</v>
      </c>
      <c r="T1216" t="s">
        <v>38</v>
      </c>
      <c r="U1216">
        <f t="shared" ca="1" si="108"/>
        <v>6</v>
      </c>
      <c r="V1216" s="6">
        <f t="shared" ca="1" si="109"/>
        <v>46008</v>
      </c>
      <c r="W1216" s="6">
        <f t="shared" ca="1" si="110"/>
        <v>46014</v>
      </c>
      <c r="X1216" t="str">
        <f t="shared" ca="1" si="111"/>
        <v>Dec 17 to Dec 23</v>
      </c>
      <c r="Y1216" t="str">
        <f t="shared" ca="1" si="112"/>
        <v>🟢 THIS WEEK</v>
      </c>
      <c r="Z1216" t="str">
        <f t="shared" ca="1" si="113"/>
        <v>Confirm appointment</v>
      </c>
    </row>
    <row r="1217" spans="1:26">
      <c r="A1217">
        <v>1134818036</v>
      </c>
      <c r="B1217" s="3" t="s">
        <v>3456</v>
      </c>
      <c r="C1217">
        <v>19</v>
      </c>
      <c r="D1217" t="s">
        <v>47</v>
      </c>
      <c r="E1217" t="s">
        <v>28</v>
      </c>
      <c r="F1217" t="s">
        <v>28</v>
      </c>
      <c r="G1217" t="s">
        <v>28</v>
      </c>
      <c r="H1217">
        <v>2</v>
      </c>
      <c r="I1217" t="s">
        <v>55</v>
      </c>
      <c r="J1217" t="s">
        <v>1239</v>
      </c>
      <c r="K1217" t="s">
        <v>3457</v>
      </c>
      <c r="M1217" s="4" t="s">
        <v>34</v>
      </c>
      <c r="N1217" t="s">
        <v>59</v>
      </c>
      <c r="P1217" s="3" t="s">
        <v>36</v>
      </c>
      <c r="Q1217" s="3" t="s">
        <v>175</v>
      </c>
      <c r="R1217">
        <v>1</v>
      </c>
      <c r="S1217" s="5">
        <v>45817</v>
      </c>
      <c r="T1217" t="s">
        <v>60</v>
      </c>
      <c r="U1217">
        <f t="shared" ca="1" si="108"/>
        <v>52</v>
      </c>
      <c r="V1217" s="6">
        <f t="shared" ca="1" si="109"/>
        <v>46054</v>
      </c>
      <c r="W1217" s="6">
        <f t="shared" ca="1" si="110"/>
        <v>46060</v>
      </c>
      <c r="X1217" t="str">
        <f t="shared" ca="1" si="111"/>
        <v>Feb 1 to Feb 7</v>
      </c>
      <c r="Y1217" t="str">
        <f t="shared" ca="1" si="112"/>
        <v>⚪ SCHEDULED</v>
      </c>
      <c r="Z1217" t="str">
        <f t="shared" ca="1" si="113"/>
        <v>No action needed yet</v>
      </c>
    </row>
    <row r="1218" spans="1:26">
      <c r="A1218">
        <v>1134867256</v>
      </c>
      <c r="B1218" s="3" t="s">
        <v>3458</v>
      </c>
      <c r="C1218">
        <v>20</v>
      </c>
      <c r="D1218" t="s">
        <v>27</v>
      </c>
      <c r="E1218" t="s">
        <v>28</v>
      </c>
      <c r="F1218" t="s">
        <v>28</v>
      </c>
      <c r="G1218" t="s">
        <v>28</v>
      </c>
      <c r="H1218">
        <v>0</v>
      </c>
      <c r="I1218" t="s">
        <v>55</v>
      </c>
      <c r="J1218" t="s">
        <v>3459</v>
      </c>
      <c r="K1218" t="s">
        <v>3460</v>
      </c>
      <c r="L1218" t="s">
        <v>186</v>
      </c>
      <c r="M1218" s="4" t="s">
        <v>43</v>
      </c>
      <c r="N1218" t="s">
        <v>59</v>
      </c>
      <c r="P1218" s="3" t="s">
        <v>36</v>
      </c>
      <c r="Q1218" s="3" t="s">
        <v>84</v>
      </c>
      <c r="R1218">
        <v>1</v>
      </c>
      <c r="S1218" s="5">
        <v>45906</v>
      </c>
      <c r="T1218" t="s">
        <v>393</v>
      </c>
      <c r="U1218">
        <f t="shared" ref="U1218:U1281" ca="1" si="114">IF(S1218&gt;=TODAY(),S1218,S1218+CEILING((TODAY()-S1218)/IF(T1218="Monthly",30,IF(T1218="Bi-Monthly",60,90)),1)*IF(T1218="Monthly",30,IF(T1218="Bi-Monthly",60,90)))-TODAY()</f>
        <v>81</v>
      </c>
      <c r="V1218" s="6">
        <f t="shared" ref="V1218:V1240" ca="1" si="115">IF(S1218&gt;=TODAY(),S1218,S1218+CEILING((TODAY()-S1218)/IF(T1218="Monthly",30,IF(T1218="Bi-Monthly",60,90)),1)*IF(T1218="Monthly",30,IF(T1218="Bi-Monthly",60,90)))-3</f>
        <v>46083</v>
      </c>
      <c r="W1218" s="6">
        <f t="shared" ref="W1218:W1240" ca="1" si="116">IF(S1218&gt;=TODAY(),S1218,S1218+CEILING((TODAY()-S1218)/IF(T1218="Monthly",30,IF(T1218="Bi-Monthly",60,90)),1)*IF(T1218="Monthly",30,IF(T1218="Bi-Monthly",60,90)))+3</f>
        <v>46089</v>
      </c>
      <c r="X1218" t="str">
        <f t="shared" ref="X1218:X1281" ca="1" si="117">TEXT(V1218,"MMM D")&amp;" to "&amp;TEXT(W1218,"MMM D")</f>
        <v>Mar 2 to Mar 8</v>
      </c>
      <c r="Y1218" t="str">
        <f t="shared" ref="Y1218:Y1240" ca="1" si="118">IF(U1218&lt;=3,"🟡 IMMINENT (within 3 days)",IF(U1218&lt;=7,"🟢 THIS WEEK",IF(U1218&lt;=14,"🔵 NEXT 2 WEEKS","⚪ SCHEDULED")))</f>
        <v>⚪ SCHEDULED</v>
      </c>
      <c r="Z1218" t="str">
        <f t="shared" ref="Z1218:Z1240" ca="1" si="119">IF(U1218&lt;=3,"Prepare medications TODAY",IF(U1218&lt;=7,"Confirm appointment",IF(U1218&lt;=14,"Send reminder SMS","No action needed yet")))</f>
        <v>No action needed yet</v>
      </c>
    </row>
    <row r="1219" spans="1:26">
      <c r="A1219">
        <v>1135840914</v>
      </c>
      <c r="B1219" s="3" t="s">
        <v>3461</v>
      </c>
      <c r="C1219">
        <v>19</v>
      </c>
      <c r="D1219" t="s">
        <v>47</v>
      </c>
      <c r="E1219" t="s">
        <v>28</v>
      </c>
      <c r="F1219" t="s">
        <v>28</v>
      </c>
      <c r="G1219" t="s">
        <v>28</v>
      </c>
      <c r="H1219">
        <v>0</v>
      </c>
      <c r="I1219" t="s">
        <v>55</v>
      </c>
      <c r="J1219" t="s">
        <v>3462</v>
      </c>
      <c r="K1219" t="s">
        <v>3463</v>
      </c>
      <c r="L1219" t="s">
        <v>170</v>
      </c>
      <c r="M1219" s="4" t="s">
        <v>94</v>
      </c>
      <c r="N1219" t="s">
        <v>59</v>
      </c>
      <c r="P1219" s="3" t="s">
        <v>36</v>
      </c>
      <c r="Q1219" s="3" t="s">
        <v>107</v>
      </c>
      <c r="R1219">
        <v>1</v>
      </c>
      <c r="S1219" s="5">
        <v>46018</v>
      </c>
      <c r="T1219" t="s">
        <v>393</v>
      </c>
      <c r="U1219">
        <f t="shared" ca="1" si="114"/>
        <v>13</v>
      </c>
      <c r="V1219" s="6">
        <f t="shared" ca="1" si="115"/>
        <v>46015</v>
      </c>
      <c r="W1219" s="6">
        <f t="shared" ca="1" si="116"/>
        <v>46021</v>
      </c>
      <c r="X1219" t="str">
        <f t="shared" ca="1" si="117"/>
        <v>Dec 24 to Dec 30</v>
      </c>
      <c r="Y1219" t="str">
        <f t="shared" ca="1" si="118"/>
        <v>🔵 NEXT 2 WEEKS</v>
      </c>
      <c r="Z1219" t="str">
        <f t="shared" ca="1" si="119"/>
        <v>Send reminder SMS</v>
      </c>
    </row>
    <row r="1220" spans="1:26">
      <c r="A1220">
        <v>1137649156</v>
      </c>
      <c r="B1220" s="3" t="s">
        <v>3464</v>
      </c>
      <c r="C1220">
        <v>46</v>
      </c>
      <c r="D1220" t="s">
        <v>27</v>
      </c>
      <c r="E1220" t="s">
        <v>29</v>
      </c>
      <c r="F1220" t="s">
        <v>28</v>
      </c>
      <c r="G1220" t="s">
        <v>29</v>
      </c>
      <c r="H1220">
        <v>3</v>
      </c>
      <c r="I1220" t="s">
        <v>66</v>
      </c>
      <c r="J1220" t="s">
        <v>3465</v>
      </c>
      <c r="K1220" t="s">
        <v>3466</v>
      </c>
      <c r="L1220" t="s">
        <v>234</v>
      </c>
      <c r="M1220" s="4" t="s">
        <v>34</v>
      </c>
      <c r="N1220" t="s">
        <v>51</v>
      </c>
      <c r="P1220" s="3" t="s">
        <v>36</v>
      </c>
      <c r="Q1220" s="3" t="s">
        <v>45</v>
      </c>
      <c r="R1220">
        <v>1</v>
      </c>
      <c r="S1220" s="5">
        <v>45791</v>
      </c>
      <c r="T1220" t="s">
        <v>38</v>
      </c>
      <c r="U1220">
        <f t="shared" ca="1" si="114"/>
        <v>26</v>
      </c>
      <c r="V1220" s="6">
        <f t="shared" ca="1" si="115"/>
        <v>46028</v>
      </c>
      <c r="W1220" s="6">
        <f t="shared" ca="1" si="116"/>
        <v>46034</v>
      </c>
      <c r="X1220" t="str">
        <f t="shared" ca="1" si="117"/>
        <v>Jan 6 to Jan 12</v>
      </c>
      <c r="Y1220" t="str">
        <f t="shared" ca="1" si="118"/>
        <v>⚪ SCHEDULED</v>
      </c>
      <c r="Z1220" t="str">
        <f t="shared" ca="1" si="119"/>
        <v>No action needed yet</v>
      </c>
    </row>
    <row r="1221" spans="1:26">
      <c r="A1221">
        <v>1137761837</v>
      </c>
      <c r="B1221" s="3" t="s">
        <v>3467</v>
      </c>
      <c r="C1221">
        <v>19</v>
      </c>
      <c r="D1221" t="s">
        <v>27</v>
      </c>
      <c r="E1221" t="s">
        <v>28</v>
      </c>
      <c r="F1221" t="s">
        <v>28</v>
      </c>
      <c r="G1221" t="s">
        <v>28</v>
      </c>
      <c r="H1221">
        <v>0</v>
      </c>
      <c r="I1221" t="s">
        <v>55</v>
      </c>
      <c r="J1221" t="s">
        <v>2796</v>
      </c>
      <c r="K1221" t="s">
        <v>3468</v>
      </c>
      <c r="L1221" t="s">
        <v>170</v>
      </c>
      <c r="M1221" s="4" t="s">
        <v>34</v>
      </c>
      <c r="N1221" t="s">
        <v>59</v>
      </c>
      <c r="P1221" s="3" t="s">
        <v>36</v>
      </c>
      <c r="Q1221" s="3" t="s">
        <v>77</v>
      </c>
      <c r="R1221">
        <v>2</v>
      </c>
      <c r="S1221" s="5">
        <v>45644</v>
      </c>
      <c r="T1221" t="s">
        <v>393</v>
      </c>
      <c r="U1221">
        <f t="shared" ca="1" si="114"/>
        <v>89</v>
      </c>
      <c r="V1221" s="6">
        <f t="shared" ca="1" si="115"/>
        <v>46091</v>
      </c>
      <c r="W1221" s="6">
        <f t="shared" ca="1" si="116"/>
        <v>46097</v>
      </c>
      <c r="X1221" t="str">
        <f t="shared" ca="1" si="117"/>
        <v>Mar 10 to Mar 16</v>
      </c>
      <c r="Y1221" t="str">
        <f t="shared" ca="1" si="118"/>
        <v>⚪ SCHEDULED</v>
      </c>
      <c r="Z1221" t="str">
        <f t="shared" ca="1" si="119"/>
        <v>No action needed yet</v>
      </c>
    </row>
    <row r="1222" spans="1:26">
      <c r="A1222">
        <v>1138466436</v>
      </c>
      <c r="B1222" s="3" t="s">
        <v>3469</v>
      </c>
      <c r="C1222">
        <v>18</v>
      </c>
      <c r="D1222" t="s">
        <v>47</v>
      </c>
      <c r="E1222" t="s">
        <v>28</v>
      </c>
      <c r="F1222" t="s">
        <v>28</v>
      </c>
      <c r="G1222" t="s">
        <v>28</v>
      </c>
      <c r="H1222">
        <v>1</v>
      </c>
      <c r="I1222" t="s">
        <v>55</v>
      </c>
      <c r="J1222" t="s">
        <v>184</v>
      </c>
      <c r="K1222" t="s">
        <v>1802</v>
      </c>
      <c r="L1222" t="s">
        <v>186</v>
      </c>
      <c r="M1222" s="4" t="s">
        <v>34</v>
      </c>
      <c r="N1222" t="s">
        <v>59</v>
      </c>
      <c r="P1222" s="3" t="s">
        <v>36</v>
      </c>
      <c r="Q1222" s="3" t="s">
        <v>84</v>
      </c>
      <c r="R1222">
        <v>2</v>
      </c>
      <c r="S1222" s="5">
        <v>45745</v>
      </c>
      <c r="T1222" t="s">
        <v>393</v>
      </c>
      <c r="U1222">
        <f t="shared" ca="1" si="114"/>
        <v>10</v>
      </c>
      <c r="V1222" s="6">
        <f t="shared" ca="1" si="115"/>
        <v>46012</v>
      </c>
      <c r="W1222" s="6">
        <f t="shared" ca="1" si="116"/>
        <v>46018</v>
      </c>
      <c r="X1222" t="str">
        <f t="shared" ca="1" si="117"/>
        <v>Dec 21 to Dec 27</v>
      </c>
      <c r="Y1222" t="str">
        <f t="shared" ca="1" si="118"/>
        <v>🔵 NEXT 2 WEEKS</v>
      </c>
      <c r="Z1222" t="str">
        <f t="shared" ca="1" si="119"/>
        <v>Send reminder SMS</v>
      </c>
    </row>
    <row r="1223" spans="1:26">
      <c r="A1223">
        <v>1139905515</v>
      </c>
      <c r="B1223" s="3" t="s">
        <v>3470</v>
      </c>
      <c r="C1223">
        <v>18</v>
      </c>
      <c r="D1223" t="s">
        <v>47</v>
      </c>
      <c r="E1223" t="s">
        <v>54</v>
      </c>
      <c r="F1223" t="s">
        <v>54</v>
      </c>
      <c r="G1223" t="s">
        <v>54</v>
      </c>
      <c r="H1223">
        <v>0</v>
      </c>
      <c r="I1223" t="s">
        <v>55</v>
      </c>
      <c r="J1223" t="s">
        <v>3471</v>
      </c>
      <c r="K1223" t="s">
        <v>3472</v>
      </c>
      <c r="L1223" t="s">
        <v>105</v>
      </c>
      <c r="M1223" s="4" t="s">
        <v>34</v>
      </c>
      <c r="N1223" t="s">
        <v>59</v>
      </c>
      <c r="P1223" s="3" t="s">
        <v>36</v>
      </c>
      <c r="Q1223" t="s">
        <v>54</v>
      </c>
      <c r="R1223">
        <v>2</v>
      </c>
      <c r="S1223" s="5">
        <v>45874</v>
      </c>
      <c r="T1223" t="s">
        <v>393</v>
      </c>
      <c r="U1223">
        <f t="shared" ca="1" si="114"/>
        <v>49</v>
      </c>
      <c r="V1223" s="6">
        <f t="shared" ca="1" si="115"/>
        <v>46051</v>
      </c>
      <c r="W1223" s="6">
        <f t="shared" ca="1" si="116"/>
        <v>46057</v>
      </c>
      <c r="X1223" t="str">
        <f t="shared" ca="1" si="117"/>
        <v>Jan 29 to Feb 4</v>
      </c>
      <c r="Y1223" t="str">
        <f t="shared" ca="1" si="118"/>
        <v>⚪ SCHEDULED</v>
      </c>
      <c r="Z1223" t="str">
        <f t="shared" ca="1" si="119"/>
        <v>No action needed yet</v>
      </c>
    </row>
    <row r="1224" spans="1:26">
      <c r="A1224">
        <v>1140255751</v>
      </c>
      <c r="B1224" s="3" t="s">
        <v>3473</v>
      </c>
      <c r="C1224">
        <v>18</v>
      </c>
      <c r="D1224" t="s">
        <v>47</v>
      </c>
      <c r="E1224" t="s">
        <v>29</v>
      </c>
      <c r="F1224" t="s">
        <v>28</v>
      </c>
      <c r="G1224" t="s">
        <v>28</v>
      </c>
      <c r="H1224">
        <v>1</v>
      </c>
      <c r="I1224" t="s">
        <v>55</v>
      </c>
      <c r="J1224" t="s">
        <v>2351</v>
      </c>
      <c r="K1224" t="s">
        <v>3474</v>
      </c>
      <c r="M1224" s="4" t="s">
        <v>94</v>
      </c>
      <c r="N1224" t="s">
        <v>148</v>
      </c>
      <c r="P1224" s="3" t="s">
        <v>36</v>
      </c>
      <c r="Q1224" s="3" t="s">
        <v>84</v>
      </c>
      <c r="R1224">
        <v>1</v>
      </c>
      <c r="S1224" s="5">
        <v>45999</v>
      </c>
      <c r="T1224" t="s">
        <v>393</v>
      </c>
      <c r="U1224">
        <f t="shared" ca="1" si="114"/>
        <v>84</v>
      </c>
      <c r="V1224" s="6">
        <f t="shared" ca="1" si="115"/>
        <v>46086</v>
      </c>
      <c r="W1224" s="6">
        <f t="shared" ca="1" si="116"/>
        <v>46092</v>
      </c>
      <c r="X1224" t="str">
        <f t="shared" ca="1" si="117"/>
        <v>Mar 5 to Mar 11</v>
      </c>
      <c r="Y1224" t="str">
        <f t="shared" ca="1" si="118"/>
        <v>⚪ SCHEDULED</v>
      </c>
      <c r="Z1224" t="str">
        <f t="shared" ca="1" si="119"/>
        <v>No action needed yet</v>
      </c>
    </row>
    <row r="1225" spans="1:26">
      <c r="A1225">
        <v>1140504919</v>
      </c>
      <c r="B1225" s="3" t="s">
        <v>3475</v>
      </c>
      <c r="C1225">
        <v>18</v>
      </c>
      <c r="D1225" t="s">
        <v>47</v>
      </c>
      <c r="E1225" t="s">
        <v>29</v>
      </c>
      <c r="F1225" t="s">
        <v>29</v>
      </c>
      <c r="G1225" t="s">
        <v>28</v>
      </c>
      <c r="H1225">
        <v>3</v>
      </c>
      <c r="I1225" t="s">
        <v>66</v>
      </c>
      <c r="J1225" t="s">
        <v>3476</v>
      </c>
      <c r="K1225" t="s">
        <v>3477</v>
      </c>
      <c r="L1225" t="s">
        <v>75</v>
      </c>
      <c r="M1225" s="4" t="s">
        <v>34</v>
      </c>
      <c r="N1225" t="s">
        <v>119</v>
      </c>
      <c r="P1225" s="3" t="s">
        <v>36</v>
      </c>
      <c r="Q1225" s="3" t="s">
        <v>84</v>
      </c>
      <c r="R1225">
        <v>2</v>
      </c>
      <c r="S1225" s="5">
        <v>45665</v>
      </c>
      <c r="T1225" t="s">
        <v>38</v>
      </c>
      <c r="U1225">
        <f t="shared" ca="1" si="114"/>
        <v>20</v>
      </c>
      <c r="V1225" s="6">
        <f t="shared" ca="1" si="115"/>
        <v>46022</v>
      </c>
      <c r="W1225" s="6">
        <f t="shared" ca="1" si="116"/>
        <v>46028</v>
      </c>
      <c r="X1225" t="str">
        <f t="shared" ca="1" si="117"/>
        <v>Dec 31 to Jan 6</v>
      </c>
      <c r="Y1225" t="str">
        <f t="shared" ca="1" si="118"/>
        <v>⚪ SCHEDULED</v>
      </c>
      <c r="Z1225" t="str">
        <f t="shared" ca="1" si="119"/>
        <v>No action needed yet</v>
      </c>
    </row>
    <row r="1226" spans="1:26">
      <c r="A1226">
        <v>1141809234</v>
      </c>
      <c r="B1226" s="3" t="s">
        <v>3478</v>
      </c>
      <c r="C1226">
        <v>22</v>
      </c>
      <c r="D1226" t="s">
        <v>47</v>
      </c>
      <c r="E1226" t="s">
        <v>28</v>
      </c>
      <c r="F1226" t="s">
        <v>28</v>
      </c>
      <c r="G1226" t="s">
        <v>28</v>
      </c>
      <c r="H1226">
        <v>0</v>
      </c>
      <c r="I1226" t="s">
        <v>55</v>
      </c>
      <c r="J1226" t="s">
        <v>3479</v>
      </c>
      <c r="K1226" t="s">
        <v>3480</v>
      </c>
      <c r="L1226" t="s">
        <v>105</v>
      </c>
      <c r="M1226" s="4" t="s">
        <v>43</v>
      </c>
      <c r="N1226" t="s">
        <v>59</v>
      </c>
      <c r="P1226" s="3" t="s">
        <v>36</v>
      </c>
      <c r="Q1226" s="3" t="s">
        <v>90</v>
      </c>
      <c r="R1226">
        <v>1</v>
      </c>
      <c r="S1226" s="5">
        <v>45929</v>
      </c>
      <c r="T1226" t="s">
        <v>393</v>
      </c>
      <c r="U1226">
        <f t="shared" ca="1" si="114"/>
        <v>14</v>
      </c>
      <c r="V1226" s="6">
        <f t="shared" ca="1" si="115"/>
        <v>46016</v>
      </c>
      <c r="W1226" s="6">
        <f t="shared" ca="1" si="116"/>
        <v>46022</v>
      </c>
      <c r="X1226" t="str">
        <f t="shared" ca="1" si="117"/>
        <v>Dec 25 to Dec 31</v>
      </c>
      <c r="Y1226" t="str">
        <f t="shared" ca="1" si="118"/>
        <v>🔵 NEXT 2 WEEKS</v>
      </c>
      <c r="Z1226" t="str">
        <f t="shared" ca="1" si="119"/>
        <v>Send reminder SMS</v>
      </c>
    </row>
    <row r="1227" spans="1:26">
      <c r="A1227">
        <v>1142529476</v>
      </c>
      <c r="B1227" s="3" t="s">
        <v>3481</v>
      </c>
      <c r="C1227">
        <v>17</v>
      </c>
      <c r="D1227" t="s">
        <v>47</v>
      </c>
      <c r="E1227" t="s">
        <v>28</v>
      </c>
      <c r="F1227" t="s">
        <v>28</v>
      </c>
      <c r="G1227" t="s">
        <v>28</v>
      </c>
      <c r="H1227">
        <v>0</v>
      </c>
      <c r="I1227" t="s">
        <v>55</v>
      </c>
      <c r="J1227" t="s">
        <v>3424</v>
      </c>
      <c r="K1227" t="s">
        <v>3482</v>
      </c>
      <c r="L1227" t="s">
        <v>170</v>
      </c>
      <c r="M1227" s="4" t="s">
        <v>43</v>
      </c>
      <c r="N1227" t="s">
        <v>59</v>
      </c>
      <c r="P1227" s="3" t="s">
        <v>36</v>
      </c>
      <c r="Q1227" s="3" t="s">
        <v>90</v>
      </c>
      <c r="R1227">
        <v>1</v>
      </c>
      <c r="S1227" s="5">
        <v>45941</v>
      </c>
      <c r="T1227" t="s">
        <v>393</v>
      </c>
      <c r="U1227">
        <f t="shared" ca="1" si="114"/>
        <v>26</v>
      </c>
      <c r="V1227" s="6">
        <f t="shared" ca="1" si="115"/>
        <v>46028</v>
      </c>
      <c r="W1227" s="6">
        <f t="shared" ca="1" si="116"/>
        <v>46034</v>
      </c>
      <c r="X1227" t="str">
        <f t="shared" ca="1" si="117"/>
        <v>Jan 6 to Jan 12</v>
      </c>
      <c r="Y1227" t="str">
        <f t="shared" ca="1" si="118"/>
        <v>⚪ SCHEDULED</v>
      </c>
      <c r="Z1227" t="str">
        <f t="shared" ca="1" si="119"/>
        <v>No action needed yet</v>
      </c>
    </row>
    <row r="1228" spans="1:26">
      <c r="A1228">
        <v>1144337001</v>
      </c>
      <c r="B1228" s="3" t="s">
        <v>3483</v>
      </c>
      <c r="C1228">
        <v>17</v>
      </c>
      <c r="D1228" t="s">
        <v>47</v>
      </c>
      <c r="E1228" t="s">
        <v>28</v>
      </c>
      <c r="F1228" t="s">
        <v>28</v>
      </c>
      <c r="G1228" t="s">
        <v>28</v>
      </c>
      <c r="H1228">
        <v>0</v>
      </c>
      <c r="I1228" t="s">
        <v>55</v>
      </c>
      <c r="J1228" t="s">
        <v>3484</v>
      </c>
      <c r="K1228" t="s">
        <v>3485</v>
      </c>
      <c r="L1228" t="s">
        <v>2441</v>
      </c>
      <c r="M1228" s="4" t="s">
        <v>43</v>
      </c>
      <c r="N1228" t="s">
        <v>59</v>
      </c>
      <c r="P1228" s="3" t="s">
        <v>36</v>
      </c>
      <c r="Q1228" s="3" t="s">
        <v>3486</v>
      </c>
      <c r="R1228">
        <v>1</v>
      </c>
      <c r="S1228" s="5">
        <v>45934</v>
      </c>
      <c r="T1228" t="s">
        <v>393</v>
      </c>
      <c r="U1228">
        <f t="shared" ca="1" si="114"/>
        <v>19</v>
      </c>
      <c r="V1228" s="6">
        <f t="shared" ca="1" si="115"/>
        <v>46021</v>
      </c>
      <c r="W1228" s="6">
        <f t="shared" ca="1" si="116"/>
        <v>46027</v>
      </c>
      <c r="X1228" t="str">
        <f t="shared" ca="1" si="117"/>
        <v>Dec 30 to Jan 5</v>
      </c>
      <c r="Y1228" t="str">
        <f t="shared" ca="1" si="118"/>
        <v>⚪ SCHEDULED</v>
      </c>
      <c r="Z1228" t="str">
        <f t="shared" ca="1" si="119"/>
        <v>No action needed yet</v>
      </c>
    </row>
    <row r="1229" spans="1:26">
      <c r="A1229">
        <v>1147157463</v>
      </c>
      <c r="B1229" s="3" t="s">
        <v>3487</v>
      </c>
      <c r="C1229">
        <v>16</v>
      </c>
      <c r="D1229" t="s">
        <v>47</v>
      </c>
      <c r="E1229" t="s">
        <v>28</v>
      </c>
      <c r="F1229" t="s">
        <v>28</v>
      </c>
      <c r="G1229" t="s">
        <v>28</v>
      </c>
      <c r="H1229">
        <v>0</v>
      </c>
      <c r="I1229" t="s">
        <v>55</v>
      </c>
      <c r="J1229" t="s">
        <v>3488</v>
      </c>
      <c r="K1229" t="s">
        <v>3489</v>
      </c>
      <c r="L1229" t="s">
        <v>170</v>
      </c>
      <c r="M1229" s="4" t="s">
        <v>34</v>
      </c>
      <c r="N1229" t="s">
        <v>59</v>
      </c>
      <c r="P1229" s="3" t="s">
        <v>36</v>
      </c>
      <c r="Q1229" s="3" t="s">
        <v>175</v>
      </c>
      <c r="R1229">
        <v>2</v>
      </c>
      <c r="S1229" s="5">
        <v>45629</v>
      </c>
      <c r="T1229" t="s">
        <v>393</v>
      </c>
      <c r="U1229">
        <f t="shared" ca="1" si="114"/>
        <v>74</v>
      </c>
      <c r="V1229" s="6">
        <f t="shared" ca="1" si="115"/>
        <v>46076</v>
      </c>
      <c r="W1229" s="6">
        <f t="shared" ca="1" si="116"/>
        <v>46082</v>
      </c>
      <c r="X1229" t="str">
        <f t="shared" ca="1" si="117"/>
        <v>Feb 23 to Mar 1</v>
      </c>
      <c r="Y1229" t="str">
        <f t="shared" ca="1" si="118"/>
        <v>⚪ SCHEDULED</v>
      </c>
      <c r="Z1229" t="str">
        <f t="shared" ca="1" si="119"/>
        <v>No action needed yet</v>
      </c>
    </row>
    <row r="1230" spans="1:26">
      <c r="A1230">
        <v>1147407884</v>
      </c>
      <c r="B1230" s="3" t="s">
        <v>3490</v>
      </c>
      <c r="C1230">
        <v>16</v>
      </c>
      <c r="D1230" t="s">
        <v>27</v>
      </c>
      <c r="E1230" t="s">
        <v>28</v>
      </c>
      <c r="F1230" t="s">
        <v>28</v>
      </c>
      <c r="G1230" t="s">
        <v>28</v>
      </c>
      <c r="H1230">
        <v>0</v>
      </c>
      <c r="I1230" t="s">
        <v>55</v>
      </c>
      <c r="J1230" t="s">
        <v>3491</v>
      </c>
      <c r="K1230" t="s">
        <v>3492</v>
      </c>
      <c r="L1230" t="s">
        <v>170</v>
      </c>
      <c r="M1230" s="4" t="s">
        <v>43</v>
      </c>
      <c r="N1230" t="s">
        <v>59</v>
      </c>
      <c r="P1230" s="3" t="s">
        <v>36</v>
      </c>
      <c r="Q1230" s="3" t="s">
        <v>1566</v>
      </c>
      <c r="R1230">
        <v>2</v>
      </c>
      <c r="S1230" s="5">
        <v>45920</v>
      </c>
      <c r="T1230" t="s">
        <v>393</v>
      </c>
      <c r="U1230">
        <f t="shared" ca="1" si="114"/>
        <v>5</v>
      </c>
      <c r="V1230" s="6">
        <f t="shared" ca="1" si="115"/>
        <v>46007</v>
      </c>
      <c r="W1230" s="6">
        <f t="shared" ca="1" si="116"/>
        <v>46013</v>
      </c>
      <c r="X1230" t="str">
        <f t="shared" ca="1" si="117"/>
        <v>Dec 16 to Dec 22</v>
      </c>
      <c r="Y1230" t="str">
        <f t="shared" ca="1" si="118"/>
        <v>🟢 THIS WEEK</v>
      </c>
      <c r="Z1230" t="str">
        <f t="shared" ca="1" si="119"/>
        <v>Confirm appointment</v>
      </c>
    </row>
    <row r="1231" spans="1:26">
      <c r="A1231">
        <v>1148152851</v>
      </c>
      <c r="B1231" s="3" t="s">
        <v>3493</v>
      </c>
      <c r="C1231">
        <v>19</v>
      </c>
      <c r="D1231" t="s">
        <v>47</v>
      </c>
      <c r="E1231" t="s">
        <v>29</v>
      </c>
      <c r="F1231" t="s">
        <v>28</v>
      </c>
      <c r="G1231" t="s">
        <v>28</v>
      </c>
      <c r="H1231">
        <v>2</v>
      </c>
      <c r="I1231" t="s">
        <v>55</v>
      </c>
      <c r="J1231" t="s">
        <v>564</v>
      </c>
      <c r="K1231" t="s">
        <v>3494</v>
      </c>
      <c r="L1231" t="s">
        <v>105</v>
      </c>
      <c r="M1231" s="4" t="s">
        <v>43</v>
      </c>
      <c r="N1231" t="s">
        <v>162</v>
      </c>
      <c r="P1231" s="3" t="s">
        <v>36</v>
      </c>
      <c r="Q1231" s="3" t="s">
        <v>969</v>
      </c>
      <c r="R1231">
        <v>2</v>
      </c>
      <c r="S1231" s="5">
        <v>45898</v>
      </c>
      <c r="T1231" t="s">
        <v>60</v>
      </c>
      <c r="U1231">
        <f t="shared" ca="1" si="114"/>
        <v>13</v>
      </c>
      <c r="V1231" s="6">
        <f t="shared" ca="1" si="115"/>
        <v>46015</v>
      </c>
      <c r="W1231" s="6">
        <f t="shared" ca="1" si="116"/>
        <v>46021</v>
      </c>
      <c r="X1231" t="str">
        <f t="shared" ca="1" si="117"/>
        <v>Dec 24 to Dec 30</v>
      </c>
      <c r="Y1231" t="str">
        <f t="shared" ca="1" si="118"/>
        <v>🔵 NEXT 2 WEEKS</v>
      </c>
      <c r="Z1231" t="str">
        <f t="shared" ca="1" si="119"/>
        <v>Send reminder SMS</v>
      </c>
    </row>
    <row r="1232" spans="1:26">
      <c r="A1232">
        <v>1151146105</v>
      </c>
      <c r="B1232" s="3" t="s">
        <v>3495</v>
      </c>
      <c r="C1232">
        <v>15</v>
      </c>
      <c r="D1232" t="s">
        <v>27</v>
      </c>
      <c r="E1232" t="s">
        <v>28</v>
      </c>
      <c r="F1232" t="s">
        <v>28</v>
      </c>
      <c r="G1232" t="s">
        <v>28</v>
      </c>
      <c r="H1232">
        <v>0</v>
      </c>
      <c r="I1232" t="s">
        <v>55</v>
      </c>
      <c r="J1232" t="s">
        <v>3496</v>
      </c>
      <c r="K1232" t="s">
        <v>3497</v>
      </c>
      <c r="L1232" t="s">
        <v>234</v>
      </c>
      <c r="M1232" s="4" t="s">
        <v>34</v>
      </c>
      <c r="N1232" t="s">
        <v>59</v>
      </c>
      <c r="P1232" s="3" t="s">
        <v>36</v>
      </c>
      <c r="Q1232" s="3" t="s">
        <v>84</v>
      </c>
      <c r="R1232">
        <v>2</v>
      </c>
      <c r="S1232" s="5">
        <v>45685</v>
      </c>
      <c r="T1232" t="s">
        <v>393</v>
      </c>
      <c r="U1232">
        <f t="shared" ca="1" si="114"/>
        <v>40</v>
      </c>
      <c r="V1232" s="6">
        <f t="shared" ca="1" si="115"/>
        <v>46042</v>
      </c>
      <c r="W1232" s="6">
        <f t="shared" ca="1" si="116"/>
        <v>46048</v>
      </c>
      <c r="X1232" t="str">
        <f t="shared" ca="1" si="117"/>
        <v>Jan 20 to Jan 26</v>
      </c>
      <c r="Y1232" t="str">
        <f t="shared" ca="1" si="118"/>
        <v>⚪ SCHEDULED</v>
      </c>
      <c r="Z1232" t="str">
        <f t="shared" ca="1" si="119"/>
        <v>No action needed yet</v>
      </c>
    </row>
    <row r="1233" spans="1:26">
      <c r="A1233">
        <v>1151947981</v>
      </c>
      <c r="B1233" s="3" t="s">
        <v>3498</v>
      </c>
      <c r="C1233">
        <v>15</v>
      </c>
      <c r="D1233" t="s">
        <v>27</v>
      </c>
      <c r="E1233" t="s">
        <v>28</v>
      </c>
      <c r="F1233" t="s">
        <v>28</v>
      </c>
      <c r="G1233" t="s">
        <v>28</v>
      </c>
      <c r="H1233">
        <v>1</v>
      </c>
      <c r="I1233" t="s">
        <v>55</v>
      </c>
      <c r="J1233" t="s">
        <v>3499</v>
      </c>
      <c r="K1233" t="s">
        <v>3500</v>
      </c>
      <c r="L1233" t="s">
        <v>170</v>
      </c>
      <c r="M1233" s="4" t="s">
        <v>34</v>
      </c>
      <c r="N1233" t="s">
        <v>59</v>
      </c>
      <c r="P1233" s="3" t="s">
        <v>36</v>
      </c>
      <c r="Q1233" s="3" t="s">
        <v>84</v>
      </c>
      <c r="R1233">
        <v>1</v>
      </c>
      <c r="S1233" s="5">
        <v>45467</v>
      </c>
      <c r="T1233" t="s">
        <v>393</v>
      </c>
      <c r="U1233">
        <f t="shared" ca="1" si="114"/>
        <v>2</v>
      </c>
      <c r="V1233" s="6">
        <f t="shared" ca="1" si="115"/>
        <v>46004</v>
      </c>
      <c r="W1233" s="6">
        <f t="shared" ca="1" si="116"/>
        <v>46010</v>
      </c>
      <c r="X1233" t="str">
        <f t="shared" ca="1" si="117"/>
        <v>Dec 13 to Dec 19</v>
      </c>
      <c r="Y1233" t="str">
        <f t="shared" ca="1" si="118"/>
        <v>🟡 IMMINENT (within 3 days)</v>
      </c>
      <c r="Z1233" t="str">
        <f t="shared" ca="1" si="119"/>
        <v>Prepare medications TODAY</v>
      </c>
    </row>
    <row r="1234" spans="1:26">
      <c r="A1234">
        <v>1153256431</v>
      </c>
      <c r="B1234" s="3" t="s">
        <v>3501</v>
      </c>
      <c r="C1234">
        <v>15</v>
      </c>
      <c r="D1234" t="s">
        <v>27</v>
      </c>
      <c r="E1234" t="s">
        <v>28</v>
      </c>
      <c r="F1234" t="s">
        <v>28</v>
      </c>
      <c r="G1234" t="s">
        <v>28</v>
      </c>
      <c r="H1234">
        <v>0</v>
      </c>
      <c r="I1234" t="s">
        <v>55</v>
      </c>
      <c r="J1234" t="s">
        <v>168</v>
      </c>
      <c r="K1234" t="s">
        <v>1536</v>
      </c>
      <c r="L1234" t="s">
        <v>170</v>
      </c>
      <c r="M1234" s="4" t="s">
        <v>34</v>
      </c>
      <c r="N1234" t="s">
        <v>59</v>
      </c>
      <c r="P1234" s="3" t="s">
        <v>36</v>
      </c>
      <c r="Q1234" s="3" t="s">
        <v>84</v>
      </c>
      <c r="R1234">
        <v>2</v>
      </c>
      <c r="S1234" s="5">
        <v>45871</v>
      </c>
      <c r="T1234" t="s">
        <v>393</v>
      </c>
      <c r="U1234">
        <f t="shared" ca="1" si="114"/>
        <v>46</v>
      </c>
      <c r="V1234" s="6">
        <f t="shared" ca="1" si="115"/>
        <v>46048</v>
      </c>
      <c r="W1234" s="6">
        <f t="shared" ca="1" si="116"/>
        <v>46054</v>
      </c>
      <c r="X1234" t="str">
        <f t="shared" ca="1" si="117"/>
        <v>Jan 26 to Feb 1</v>
      </c>
      <c r="Y1234" t="str">
        <f t="shared" ca="1" si="118"/>
        <v>⚪ SCHEDULED</v>
      </c>
      <c r="Z1234" t="str">
        <f t="shared" ca="1" si="119"/>
        <v>No action needed yet</v>
      </c>
    </row>
    <row r="1235" spans="1:26">
      <c r="A1235">
        <v>1154153280</v>
      </c>
      <c r="B1235" s="3" t="s">
        <v>3502</v>
      </c>
      <c r="C1235">
        <v>14</v>
      </c>
      <c r="D1235" t="s">
        <v>27</v>
      </c>
      <c r="E1235" t="s">
        <v>29</v>
      </c>
      <c r="F1235" t="s">
        <v>28</v>
      </c>
      <c r="G1235" t="s">
        <v>28</v>
      </c>
      <c r="H1235">
        <v>1</v>
      </c>
      <c r="I1235" t="s">
        <v>55</v>
      </c>
      <c r="J1235" t="s">
        <v>2970</v>
      </c>
      <c r="K1235" t="s">
        <v>3503</v>
      </c>
      <c r="L1235" t="s">
        <v>170</v>
      </c>
      <c r="M1235" s="4" t="s">
        <v>43</v>
      </c>
      <c r="N1235" t="s">
        <v>162</v>
      </c>
      <c r="P1235" s="3" t="s">
        <v>36</v>
      </c>
      <c r="Q1235" s="3" t="s">
        <v>107</v>
      </c>
      <c r="R1235">
        <v>2</v>
      </c>
      <c r="S1235" s="5">
        <v>45972</v>
      </c>
      <c r="T1235" t="s">
        <v>393</v>
      </c>
      <c r="U1235">
        <f t="shared" ca="1" si="114"/>
        <v>57</v>
      </c>
      <c r="V1235" s="6">
        <f t="shared" ca="1" si="115"/>
        <v>46059</v>
      </c>
      <c r="W1235" s="6">
        <f t="shared" ca="1" si="116"/>
        <v>46065</v>
      </c>
      <c r="X1235" t="str">
        <f t="shared" ca="1" si="117"/>
        <v>Feb 6 to Feb 12</v>
      </c>
      <c r="Y1235" t="str">
        <f t="shared" ca="1" si="118"/>
        <v>⚪ SCHEDULED</v>
      </c>
      <c r="Z1235" t="str">
        <f t="shared" ca="1" si="119"/>
        <v>No action needed yet</v>
      </c>
    </row>
    <row r="1236" spans="1:26">
      <c r="A1236">
        <v>1163905522</v>
      </c>
      <c r="B1236" s="3" t="s">
        <v>3504</v>
      </c>
      <c r="C1236">
        <v>49</v>
      </c>
      <c r="D1236" t="s">
        <v>27</v>
      </c>
      <c r="E1236" t="s">
        <v>28</v>
      </c>
      <c r="F1236" t="s">
        <v>28</v>
      </c>
      <c r="G1236" t="s">
        <v>29</v>
      </c>
      <c r="H1236">
        <v>2</v>
      </c>
      <c r="I1236" t="s">
        <v>55</v>
      </c>
      <c r="J1236" t="s">
        <v>1137</v>
      </c>
      <c r="K1236" t="s">
        <v>3505</v>
      </c>
      <c r="M1236" s="4" t="s">
        <v>34</v>
      </c>
      <c r="N1236" t="s">
        <v>794</v>
      </c>
      <c r="P1236" s="3" t="s">
        <v>36</v>
      </c>
      <c r="Q1236" s="3" t="s">
        <v>96</v>
      </c>
      <c r="R1236">
        <v>2</v>
      </c>
      <c r="S1236" s="5">
        <v>45849</v>
      </c>
      <c r="T1236" t="s">
        <v>60</v>
      </c>
      <c r="U1236">
        <f t="shared" ca="1" si="114"/>
        <v>24</v>
      </c>
      <c r="V1236" s="6">
        <f t="shared" ca="1" si="115"/>
        <v>46026</v>
      </c>
      <c r="W1236" s="6">
        <f t="shared" ca="1" si="116"/>
        <v>46032</v>
      </c>
      <c r="X1236" t="str">
        <f t="shared" ca="1" si="117"/>
        <v>Jan 4 to Jan 10</v>
      </c>
      <c r="Y1236" t="str">
        <f t="shared" ca="1" si="118"/>
        <v>⚪ SCHEDULED</v>
      </c>
      <c r="Z1236" t="str">
        <f t="shared" ca="1" si="119"/>
        <v>No action needed yet</v>
      </c>
    </row>
    <row r="1237" spans="1:26">
      <c r="A1237">
        <v>1168815361</v>
      </c>
      <c r="B1237" s="3" t="s">
        <v>3506</v>
      </c>
      <c r="C1237">
        <v>11</v>
      </c>
      <c r="D1237" t="s">
        <v>47</v>
      </c>
      <c r="E1237" t="s">
        <v>28</v>
      </c>
      <c r="F1237" t="s">
        <v>28</v>
      </c>
      <c r="G1237" t="s">
        <v>28</v>
      </c>
      <c r="H1237">
        <v>0</v>
      </c>
      <c r="I1237" t="s">
        <v>55</v>
      </c>
      <c r="J1237" t="s">
        <v>3507</v>
      </c>
      <c r="K1237" t="s">
        <v>3508</v>
      </c>
      <c r="L1237" t="s">
        <v>170</v>
      </c>
      <c r="M1237" s="4" t="s">
        <v>34</v>
      </c>
      <c r="N1237" t="s">
        <v>59</v>
      </c>
      <c r="P1237" s="3" t="s">
        <v>36</v>
      </c>
      <c r="Q1237" s="3" t="s">
        <v>84</v>
      </c>
      <c r="R1237">
        <v>1</v>
      </c>
      <c r="S1237" s="5">
        <v>45508</v>
      </c>
      <c r="T1237" t="s">
        <v>393</v>
      </c>
      <c r="U1237">
        <f t="shared" ca="1" si="114"/>
        <v>43</v>
      </c>
      <c r="V1237" s="6">
        <f t="shared" ca="1" si="115"/>
        <v>46045</v>
      </c>
      <c r="W1237" s="6">
        <f t="shared" ca="1" si="116"/>
        <v>46051</v>
      </c>
      <c r="X1237" t="str">
        <f t="shared" ca="1" si="117"/>
        <v>Jan 23 to Jan 29</v>
      </c>
      <c r="Y1237" t="str">
        <f t="shared" ca="1" si="118"/>
        <v>⚪ SCHEDULED</v>
      </c>
      <c r="Z1237" t="str">
        <f t="shared" ca="1" si="119"/>
        <v>No action needed yet</v>
      </c>
    </row>
    <row r="1238" spans="1:26">
      <c r="A1238">
        <v>1176889911</v>
      </c>
      <c r="B1238" s="3" t="s">
        <v>3509</v>
      </c>
      <c r="C1238">
        <v>9</v>
      </c>
      <c r="D1238" t="s">
        <v>47</v>
      </c>
      <c r="E1238" t="s">
        <v>29</v>
      </c>
      <c r="F1238" t="s">
        <v>28</v>
      </c>
      <c r="G1238" t="s">
        <v>28</v>
      </c>
      <c r="H1238">
        <v>1</v>
      </c>
      <c r="I1238" t="s">
        <v>55</v>
      </c>
      <c r="J1238" t="s">
        <v>3510</v>
      </c>
      <c r="K1238" t="s">
        <v>3511</v>
      </c>
      <c r="L1238" t="s">
        <v>105</v>
      </c>
      <c r="M1238" s="4" t="s">
        <v>34</v>
      </c>
      <c r="N1238" t="s">
        <v>162</v>
      </c>
      <c r="P1238" s="3" t="s">
        <v>36</v>
      </c>
      <c r="Q1238" s="3" t="s">
        <v>230</v>
      </c>
      <c r="R1238">
        <v>1</v>
      </c>
      <c r="S1238" s="5">
        <v>45843</v>
      </c>
      <c r="T1238" t="s">
        <v>393</v>
      </c>
      <c r="U1238">
        <f t="shared" ca="1" si="114"/>
        <v>18</v>
      </c>
      <c r="V1238" s="6">
        <f t="shared" ca="1" si="115"/>
        <v>46020</v>
      </c>
      <c r="W1238" s="6">
        <f t="shared" ca="1" si="116"/>
        <v>46026</v>
      </c>
      <c r="X1238" t="str">
        <f t="shared" ca="1" si="117"/>
        <v>Dec 29 to Jan 4</v>
      </c>
      <c r="Y1238" t="str">
        <f t="shared" ca="1" si="118"/>
        <v>⚪ SCHEDULED</v>
      </c>
      <c r="Z1238" t="str">
        <f t="shared" ca="1" si="119"/>
        <v>No action needed yet</v>
      </c>
    </row>
    <row r="1239" spans="1:26">
      <c r="A1239">
        <v>1181529783</v>
      </c>
      <c r="B1239" s="3" t="s">
        <v>3512</v>
      </c>
      <c r="C1239">
        <v>8</v>
      </c>
      <c r="D1239" t="s">
        <v>47</v>
      </c>
      <c r="E1239" t="s">
        <v>29</v>
      </c>
      <c r="F1239" t="s">
        <v>28</v>
      </c>
      <c r="G1239" t="s">
        <v>28</v>
      </c>
      <c r="H1239">
        <v>1</v>
      </c>
      <c r="I1239" t="s">
        <v>55</v>
      </c>
      <c r="J1239" t="s">
        <v>3513</v>
      </c>
      <c r="K1239" t="s">
        <v>3514</v>
      </c>
      <c r="L1239" t="s">
        <v>170</v>
      </c>
      <c r="M1239" s="4" t="s">
        <v>34</v>
      </c>
      <c r="N1239" t="s">
        <v>162</v>
      </c>
      <c r="P1239" s="3" t="s">
        <v>36</v>
      </c>
      <c r="Q1239" s="3" t="s">
        <v>84</v>
      </c>
      <c r="R1239">
        <v>2</v>
      </c>
      <c r="S1239" s="5">
        <v>45789</v>
      </c>
      <c r="T1239" t="s">
        <v>393</v>
      </c>
      <c r="U1239">
        <f t="shared" ca="1" si="114"/>
        <v>54</v>
      </c>
      <c r="V1239" s="6">
        <f t="shared" ca="1" si="115"/>
        <v>46056</v>
      </c>
      <c r="W1239" s="6">
        <f t="shared" ca="1" si="116"/>
        <v>46062</v>
      </c>
      <c r="X1239" t="str">
        <f t="shared" ca="1" si="117"/>
        <v>Feb 3 to Feb 9</v>
      </c>
      <c r="Y1239" t="str">
        <f t="shared" ca="1" si="118"/>
        <v>⚪ SCHEDULED</v>
      </c>
      <c r="Z1239" t="str">
        <f t="shared" ca="1" si="119"/>
        <v>No action needed yet</v>
      </c>
    </row>
    <row r="1240" spans="1:26">
      <c r="A1240">
        <v>1195090442</v>
      </c>
      <c r="B1240" s="3" t="s">
        <v>3515</v>
      </c>
      <c r="C1240">
        <v>6</v>
      </c>
      <c r="D1240" t="s">
        <v>47</v>
      </c>
      <c r="E1240" t="s">
        <v>54</v>
      </c>
      <c r="F1240" t="s">
        <v>54</v>
      </c>
      <c r="G1240" t="s">
        <v>54</v>
      </c>
      <c r="H1240">
        <v>0</v>
      </c>
      <c r="I1240" t="s">
        <v>55</v>
      </c>
      <c r="J1240" t="s">
        <v>3342</v>
      </c>
      <c r="K1240" t="s">
        <v>3516</v>
      </c>
      <c r="L1240" t="s">
        <v>170</v>
      </c>
      <c r="M1240" s="4" t="s">
        <v>34</v>
      </c>
      <c r="N1240" t="s">
        <v>59</v>
      </c>
      <c r="P1240" s="3" t="s">
        <v>36</v>
      </c>
      <c r="Q1240" s="3" t="s">
        <v>313</v>
      </c>
      <c r="R1240">
        <v>2</v>
      </c>
      <c r="S1240" s="5">
        <v>45609</v>
      </c>
      <c r="T1240" t="s">
        <v>393</v>
      </c>
      <c r="U1240">
        <f t="shared" ca="1" si="114"/>
        <v>54</v>
      </c>
      <c r="V1240" s="6">
        <f t="shared" ca="1" si="115"/>
        <v>46056</v>
      </c>
      <c r="W1240" s="6">
        <f t="shared" ca="1" si="116"/>
        <v>46062</v>
      </c>
      <c r="X1240" t="str">
        <f t="shared" ca="1" si="117"/>
        <v>Feb 3 to Feb 9</v>
      </c>
      <c r="Y1240" t="str">
        <f t="shared" ca="1" si="118"/>
        <v>⚪ SCHEDULED</v>
      </c>
      <c r="Z1240" t="str">
        <f t="shared" ca="1" si="119"/>
        <v>No action needed yet</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December 2025 Predictions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ray mrz</cp:lastModifiedBy>
  <cp:revision>0</cp:revision>
  <dcterms:created xsi:type="dcterms:W3CDTF">2025-11-29T12:18:40Z</dcterms:created>
  <dcterms:modified xsi:type="dcterms:W3CDTF">2025-12-14T19:46:42Z</dcterms:modified>
  <dc:language>en-US</dc:language>
</cp:coreProperties>
</file>